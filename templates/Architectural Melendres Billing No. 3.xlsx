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EGINA\Documents\JOHN KARL FILES\Cavite-Melendres-Architectural Finishes\ARCHITECTURAL BILLING\"/>
    </mc:Choice>
  </mc:AlternateContent>
  <xr:revisionPtr revIDLastSave="0" documentId="13_ncr:1_{1A6851E7-FAC1-4849-9820-5F7BAB2351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BOQ" sheetId="2" r:id="rId2"/>
    <sheet name="wall" sheetId="3" r:id="rId3"/>
    <sheet name="CABINETS" sheetId="4" r:id="rId4"/>
    <sheet name="DOORS &amp; WINDOW, PLUMBING, WOODE" sheetId="5" r:id="rId5"/>
    <sheet name="ELECTRICAL" sheetId="6" r:id="rId6"/>
    <sheet name="Material and Labor Cost" sheetId="7" state="hidden" r:id="rId7"/>
    <sheet name="MATERIAL AND LABOR COST FOR WAL" sheetId="8" state="hidden" r:id="rId8"/>
    <sheet name="Materials labor doors and windo" sheetId="9" state="hidden" r:id="rId9"/>
    <sheet name="electrical labor and materials" sheetId="10" state="hidden" r:id="rId10"/>
  </sheets>
  <definedNames>
    <definedName name="_xlnm.Print_Area" localSheetId="1">BOQ!$A$1:$AO$234</definedName>
    <definedName name="_xlnm.Print_Area" localSheetId="3">CABINETS!$A$1:$AG$240</definedName>
    <definedName name="_xlnm.Print_Area" localSheetId="4">'DOORS &amp; WINDOW, PLUMBING, WOODE'!$A$1:$T$1000</definedName>
    <definedName name="_xlnm.Print_Area" localSheetId="5">ELECTRICAL!$A$1:$AK$79</definedName>
    <definedName name="_xlnm.Print_Area" localSheetId="0">SUMMARY!$A$1:$AA$82</definedName>
    <definedName name="_xlnm.Print_Area" localSheetId="2">wall!$A$1:$Y$129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9" i="1" l="1"/>
  <c r="C42" i="1"/>
  <c r="F42" i="1" s="1"/>
  <c r="AB48" i="1"/>
  <c r="AB49" i="1" s="1"/>
  <c r="AB46" i="1"/>
  <c r="C50" i="1"/>
  <c r="C51" i="1"/>
  <c r="C52" i="1"/>
  <c r="F43" i="1"/>
  <c r="C47" i="1"/>
  <c r="AC22" i="6"/>
  <c r="BA66" i="4"/>
  <c r="AG66" i="4" s="1"/>
  <c r="AV180" i="2"/>
  <c r="AV207" i="2"/>
  <c r="AG22" i="4"/>
  <c r="AG29" i="4"/>
  <c r="AG30" i="4"/>
  <c r="AG31" i="4"/>
  <c r="AG36" i="4"/>
  <c r="AG37" i="4"/>
  <c r="AG38" i="4"/>
  <c r="AG43" i="4"/>
  <c r="AG44" i="4"/>
  <c r="AG45" i="4"/>
  <c r="AG50" i="4"/>
  <c r="AG51" i="4"/>
  <c r="AG52" i="4"/>
  <c r="AG53" i="4"/>
  <c r="AG54" i="4"/>
  <c r="AG55" i="4"/>
  <c r="AG57" i="4"/>
  <c r="AG58" i="4"/>
  <c r="AG59" i="4"/>
  <c r="AG60" i="4"/>
  <c r="AG61" i="4"/>
  <c r="AG62" i="4"/>
  <c r="AG63" i="4"/>
  <c r="AG69" i="4"/>
  <c r="AG70" i="4"/>
  <c r="AG71" i="4"/>
  <c r="AG72" i="4"/>
  <c r="AG73" i="4"/>
  <c r="AG74" i="4"/>
  <c r="AG76" i="4"/>
  <c r="AG77" i="4"/>
  <c r="AG78" i="4"/>
  <c r="AG81" i="4"/>
  <c r="AG82" i="4"/>
  <c r="AG84" i="4"/>
  <c r="AG85" i="4"/>
  <c r="AG86" i="4"/>
  <c r="AG89" i="4"/>
  <c r="AG90" i="4"/>
  <c r="AG92" i="4"/>
  <c r="AG93" i="4"/>
  <c r="AG94" i="4"/>
  <c r="AG97" i="4"/>
  <c r="AG98" i="4"/>
  <c r="AG100" i="4"/>
  <c r="AG101" i="4"/>
  <c r="AG102" i="4"/>
  <c r="AG103" i="4"/>
  <c r="AG104" i="4"/>
  <c r="AG105" i="4"/>
  <c r="AG106" i="4"/>
  <c r="AG108" i="4"/>
  <c r="AG109" i="4"/>
  <c r="AG110" i="4"/>
  <c r="AG113" i="4"/>
  <c r="AG114" i="4"/>
  <c r="AG116" i="4"/>
  <c r="AG117" i="4"/>
  <c r="AG118" i="4"/>
  <c r="AG119" i="4"/>
  <c r="AG120" i="4"/>
  <c r="AG121" i="4"/>
  <c r="AG122" i="4"/>
  <c r="AG123" i="4"/>
  <c r="AG124" i="4"/>
  <c r="AG125" i="4"/>
  <c r="AG127" i="4"/>
  <c r="AG128" i="4"/>
  <c r="AG129" i="4"/>
  <c r="AG133" i="4"/>
  <c r="AG134" i="4"/>
  <c r="AG135" i="4"/>
  <c r="AG136" i="4"/>
  <c r="AG138" i="4"/>
  <c r="AG139" i="4"/>
  <c r="AG140" i="4"/>
  <c r="AG141" i="4"/>
  <c r="AG142" i="4"/>
  <c r="AG143" i="4"/>
  <c r="AG144" i="4"/>
  <c r="AG145" i="4"/>
  <c r="AG147" i="4"/>
  <c r="AG148" i="4"/>
  <c r="AG149" i="4"/>
  <c r="AG152" i="4"/>
  <c r="AG153" i="4"/>
  <c r="AG156" i="4"/>
  <c r="AG157" i="4"/>
  <c r="AG158" i="4"/>
  <c r="AG159" i="4"/>
  <c r="AG160" i="4"/>
  <c r="AG161" i="4"/>
  <c r="AG162" i="4"/>
  <c r="AG164" i="4"/>
  <c r="AG165" i="4"/>
  <c r="AG166" i="4"/>
  <c r="AG167" i="4"/>
  <c r="AG168" i="4"/>
  <c r="AG169" i="4"/>
  <c r="AG171" i="4"/>
  <c r="AG172" i="4"/>
  <c r="AG173" i="4"/>
  <c r="AG177" i="4"/>
  <c r="AG178" i="4"/>
  <c r="AG180" i="4"/>
  <c r="AG181" i="4"/>
  <c r="AG182" i="4"/>
  <c r="AG186" i="4"/>
  <c r="AG187" i="4"/>
  <c r="AG189" i="4"/>
  <c r="AG190" i="4"/>
  <c r="AG191" i="4"/>
  <c r="AG195" i="4"/>
  <c r="AG196" i="4"/>
  <c r="AG198" i="4"/>
  <c r="AG199" i="4"/>
  <c r="AG200" i="4"/>
  <c r="AG203" i="4"/>
  <c r="AG204" i="4"/>
  <c r="AG206" i="4"/>
  <c r="AG207" i="4"/>
  <c r="AG208" i="4"/>
  <c r="AG212" i="4"/>
  <c r="AG213" i="4"/>
  <c r="AG215" i="4"/>
  <c r="AG216" i="4"/>
  <c r="AG217" i="4"/>
  <c r="AG218" i="4"/>
  <c r="AG219" i="4"/>
  <c r="AG220" i="4"/>
  <c r="AG221" i="4"/>
  <c r="AG222" i="4"/>
  <c r="AG224" i="4"/>
  <c r="AG225" i="4"/>
  <c r="AG226" i="4"/>
  <c r="AG227" i="4"/>
  <c r="AG228" i="4"/>
  <c r="AG229" i="4"/>
  <c r="AG231" i="4"/>
  <c r="AG232" i="4"/>
  <c r="AG233" i="4"/>
  <c r="AG236" i="4"/>
  <c r="AG21" i="4"/>
  <c r="AO34" i="5"/>
  <c r="BD235" i="4"/>
  <c r="BD234" i="4"/>
  <c r="BD237" i="4" s="1"/>
  <c r="BD230" i="4"/>
  <c r="BD223" i="4"/>
  <c r="BD213" i="4"/>
  <c r="BD212" i="4"/>
  <c r="BD211" i="4"/>
  <c r="BD210" i="4"/>
  <c r="BD209" i="4"/>
  <c r="BD208" i="4"/>
  <c r="BD207" i="4"/>
  <c r="BD204" i="4"/>
  <c r="BD203" i="4"/>
  <c r="BD202" i="4"/>
  <c r="BD201" i="4"/>
  <c r="BD200" i="4"/>
  <c r="BD199" i="4"/>
  <c r="BD196" i="4"/>
  <c r="BD195" i="4"/>
  <c r="BD194" i="4"/>
  <c r="BD193" i="4"/>
  <c r="BD192" i="4"/>
  <c r="BD191" i="4"/>
  <c r="BD190" i="4"/>
  <c r="BD187" i="4"/>
  <c r="BD186" i="4"/>
  <c r="BD185" i="4"/>
  <c r="BD184" i="4"/>
  <c r="BD183" i="4"/>
  <c r="BD182" i="4"/>
  <c r="BD181" i="4"/>
  <c r="BD178" i="4"/>
  <c r="BD177" i="4"/>
  <c r="BD176" i="4"/>
  <c r="BD175" i="4"/>
  <c r="BD174" i="4"/>
  <c r="BD173" i="4"/>
  <c r="BD172" i="4"/>
  <c r="BD179" i="4" s="1"/>
  <c r="BD170" i="4"/>
  <c r="BD163" i="4"/>
  <c r="BD153" i="4"/>
  <c r="BD152" i="4"/>
  <c r="BD151" i="4"/>
  <c r="BD150" i="4"/>
  <c r="BD149" i="4"/>
  <c r="BD148" i="4"/>
  <c r="BD144" i="4"/>
  <c r="BD143" i="4"/>
  <c r="BD146" i="4" s="1"/>
  <c r="BD136" i="4"/>
  <c r="BD135" i="4"/>
  <c r="BD134" i="4"/>
  <c r="BD133" i="4"/>
  <c r="BD132" i="4"/>
  <c r="BD131" i="4"/>
  <c r="BD130" i="4"/>
  <c r="BD129" i="4"/>
  <c r="BD128" i="4"/>
  <c r="BD137" i="4" s="1"/>
  <c r="BD125" i="4"/>
  <c r="BD124" i="4"/>
  <c r="BD123" i="4"/>
  <c r="BD122" i="4"/>
  <c r="BD121" i="4"/>
  <c r="BD120" i="4"/>
  <c r="BD119" i="4"/>
  <c r="BD118" i="4"/>
  <c r="BD117" i="4"/>
  <c r="BD114" i="4"/>
  <c r="BD113" i="4"/>
  <c r="BD112" i="4"/>
  <c r="BD111" i="4"/>
  <c r="BD115" i="4" s="1"/>
  <c r="BD110" i="4"/>
  <c r="BD109" i="4"/>
  <c r="BD106" i="4"/>
  <c r="BD105" i="4"/>
  <c r="BD104" i="4"/>
  <c r="BD103" i="4"/>
  <c r="BD102" i="4"/>
  <c r="BD101" i="4"/>
  <c r="BD107" i="4" s="1"/>
  <c r="BD98" i="4"/>
  <c r="BD97" i="4"/>
  <c r="BD96" i="4"/>
  <c r="BD95" i="4"/>
  <c r="BD94" i="4"/>
  <c r="BD93" i="4"/>
  <c r="BD90" i="4"/>
  <c r="BD89" i="4"/>
  <c r="BD88" i="4"/>
  <c r="BD87" i="4"/>
  <c r="BD86" i="4"/>
  <c r="BD85" i="4"/>
  <c r="BD91" i="4" s="1"/>
  <c r="BD82" i="4"/>
  <c r="BD81" i="4"/>
  <c r="BD80" i="4"/>
  <c r="BD79" i="4"/>
  <c r="BD78" i="4"/>
  <c r="BD83" i="4" s="1"/>
  <c r="BD77" i="4"/>
  <c r="BD74" i="4"/>
  <c r="BD73" i="4"/>
  <c r="BD72" i="4"/>
  <c r="BD71" i="4"/>
  <c r="BD75" i="4" s="1"/>
  <c r="BD66" i="4"/>
  <c r="BD65" i="4"/>
  <c r="BD64" i="4"/>
  <c r="BD63" i="4"/>
  <c r="BD62" i="4"/>
  <c r="BD61" i="4"/>
  <c r="BD60" i="4"/>
  <c r="BD59" i="4"/>
  <c r="BD58" i="4"/>
  <c r="BD67" i="4" s="1"/>
  <c r="BD55" i="4"/>
  <c r="BD54" i="4"/>
  <c r="BD53" i="4"/>
  <c r="BD52" i="4"/>
  <c r="BD51" i="4"/>
  <c r="BD48" i="4"/>
  <c r="BD47" i="4"/>
  <c r="BD46" i="4"/>
  <c r="BD45" i="4"/>
  <c r="BD44" i="4"/>
  <c r="BD49" i="4" s="1"/>
  <c r="BD41" i="4"/>
  <c r="BD40" i="4"/>
  <c r="BD39" i="4"/>
  <c r="BD38" i="4"/>
  <c r="BD37" i="4"/>
  <c r="BD34" i="4"/>
  <c r="BD33" i="4"/>
  <c r="BD32" i="4"/>
  <c r="BD31" i="4"/>
  <c r="BD30" i="4"/>
  <c r="BD35" i="4" s="1"/>
  <c r="BD27" i="4"/>
  <c r="BD26" i="4"/>
  <c r="BD25" i="4"/>
  <c r="BD24" i="4"/>
  <c r="BD23" i="4"/>
  <c r="BD22" i="4"/>
  <c r="BD21" i="4"/>
  <c r="BC126" i="3"/>
  <c r="BC127" i="3" s="1"/>
  <c r="BC118" i="3"/>
  <c r="BC109" i="3"/>
  <c r="BC90" i="3"/>
  <c r="BC79" i="3"/>
  <c r="BC49" i="3"/>
  <c r="BC40" i="3"/>
  <c r="AV231" i="2"/>
  <c r="AV232" i="2" s="1"/>
  <c r="AV166" i="2"/>
  <c r="AV167" i="2" s="1"/>
  <c r="AV127" i="2"/>
  <c r="AV63" i="2"/>
  <c r="AV31" i="2"/>
  <c r="BD214" i="4" l="1"/>
  <c r="BD205" i="4"/>
  <c r="BD197" i="4"/>
  <c r="BD188" i="4"/>
  <c r="BD238" i="4" s="1"/>
  <c r="BD239" i="4" s="1"/>
  <c r="BD154" i="4"/>
  <c r="BD155" i="4" s="1"/>
  <c r="BD126" i="4"/>
  <c r="BD99" i="4"/>
  <c r="BD56" i="4"/>
  <c r="BD42" i="4"/>
  <c r="BD28" i="4"/>
  <c r="BD68" i="4" s="1"/>
  <c r="F59" i="10" l="1"/>
  <c r="D59" i="10"/>
  <c r="F58" i="10"/>
  <c r="D58" i="10"/>
  <c r="F57" i="10"/>
  <c r="D57" i="10"/>
  <c r="F56" i="10"/>
  <c r="D56" i="10"/>
  <c r="F55" i="10"/>
  <c r="D55" i="10"/>
  <c r="D54" i="10"/>
  <c r="E54" i="10" s="1"/>
  <c r="F54" i="10" s="1"/>
  <c r="G56" i="6" s="1"/>
  <c r="F52" i="10"/>
  <c r="D52" i="10"/>
  <c r="F51" i="10"/>
  <c r="D51" i="10"/>
  <c r="D50" i="10"/>
  <c r="E50" i="10" s="1"/>
  <c r="F50" i="10" s="1"/>
  <c r="D49" i="10"/>
  <c r="D48" i="10"/>
  <c r="E48" i="10" s="1"/>
  <c r="F48" i="10" s="1"/>
  <c r="D47" i="10"/>
  <c r="E47" i="10" s="1"/>
  <c r="F47" i="10" s="1"/>
  <c r="D45" i="10"/>
  <c r="E45" i="10" s="1"/>
  <c r="F45" i="10" s="1"/>
  <c r="D44" i="10"/>
  <c r="E44" i="10" s="1"/>
  <c r="F44" i="10" s="1"/>
  <c r="D43" i="10"/>
  <c r="E43" i="10" s="1"/>
  <c r="F43" i="10" s="1"/>
  <c r="D42" i="10"/>
  <c r="E42" i="10" s="1"/>
  <c r="F42" i="10" s="1"/>
  <c r="D41" i="10"/>
  <c r="E41" i="10" s="1"/>
  <c r="F41" i="10" s="1"/>
  <c r="F39" i="10"/>
  <c r="D39" i="10"/>
  <c r="F37" i="10"/>
  <c r="G45" i="6" s="1"/>
  <c r="D37" i="10"/>
  <c r="F36" i="10"/>
  <c r="D36" i="10"/>
  <c r="F33" i="10"/>
  <c r="D33" i="10"/>
  <c r="F32" i="10"/>
  <c r="D32" i="10"/>
  <c r="F31" i="10"/>
  <c r="D31" i="10"/>
  <c r="F30" i="10"/>
  <c r="D30" i="10"/>
  <c r="F29" i="10"/>
  <c r="G36" i="6" s="1"/>
  <c r="D29" i="10"/>
  <c r="F28" i="10"/>
  <c r="D28" i="10"/>
  <c r="F27" i="10"/>
  <c r="G34" i="6" s="1"/>
  <c r="D27" i="10"/>
  <c r="F26" i="10"/>
  <c r="D26" i="10"/>
  <c r="F25" i="10"/>
  <c r="D25" i="10"/>
  <c r="F24" i="10"/>
  <c r="D24" i="10"/>
  <c r="F23" i="10"/>
  <c r="D23" i="10"/>
  <c r="F22" i="10"/>
  <c r="D22" i="10"/>
  <c r="F21" i="10"/>
  <c r="G26" i="6" s="1"/>
  <c r="D21" i="10"/>
  <c r="F19" i="10"/>
  <c r="D19" i="10"/>
  <c r="F18" i="10"/>
  <c r="D18" i="10"/>
  <c r="D38" i="9"/>
  <c r="D37" i="9"/>
  <c r="D36" i="9"/>
  <c r="D35" i="9"/>
  <c r="D34" i="9"/>
  <c r="D33" i="9"/>
  <c r="D32" i="9"/>
  <c r="D31" i="9"/>
  <c r="D30" i="9"/>
  <c r="F30" i="9" s="1"/>
  <c r="F29" i="9"/>
  <c r="D29" i="9"/>
  <c r="D28" i="9"/>
  <c r="E28" i="9" s="1"/>
  <c r="F28" i="9" s="1"/>
  <c r="D27" i="9"/>
  <c r="E27" i="9" s="1"/>
  <c r="F27" i="9" s="1"/>
  <c r="D26" i="9"/>
  <c r="E26" i="9" s="1"/>
  <c r="F26" i="9" s="1"/>
  <c r="F41" i="5" s="1"/>
  <c r="D25" i="9"/>
  <c r="E25" i="9" s="1"/>
  <c r="F25" i="9" s="1"/>
  <c r="F40" i="5" s="1"/>
  <c r="G40" i="5" s="1"/>
  <c r="H40" i="5" s="1"/>
  <c r="D24" i="9"/>
  <c r="E24" i="9" s="1"/>
  <c r="F24" i="9" s="1"/>
  <c r="F39" i="5" s="1"/>
  <c r="D23" i="9"/>
  <c r="E23" i="9" s="1"/>
  <c r="F23" i="9" s="1"/>
  <c r="D22" i="9"/>
  <c r="E22" i="9" s="1"/>
  <c r="F22" i="9" s="1"/>
  <c r="D21" i="9"/>
  <c r="E21" i="9" s="1"/>
  <c r="F21" i="9" s="1"/>
  <c r="F36" i="5" s="1"/>
  <c r="G36" i="5" s="1"/>
  <c r="H36" i="5" s="1"/>
  <c r="D18" i="9"/>
  <c r="E18" i="9" s="1"/>
  <c r="F18" i="9" s="1"/>
  <c r="F33" i="5" s="1"/>
  <c r="D17" i="9"/>
  <c r="E17" i="9" s="1"/>
  <c r="F17" i="9" s="1"/>
  <c r="F32" i="5" s="1"/>
  <c r="D16" i="9"/>
  <c r="E16" i="9" s="1"/>
  <c r="F16" i="9" s="1"/>
  <c r="F31" i="5" s="1"/>
  <c r="D15" i="9"/>
  <c r="E15" i="9" s="1"/>
  <c r="F15" i="9" s="1"/>
  <c r="F30" i="5" s="1"/>
  <c r="D14" i="9"/>
  <c r="E14" i="9" s="1"/>
  <c r="F14" i="9" s="1"/>
  <c r="D13" i="9"/>
  <c r="E13" i="9" s="1"/>
  <c r="F13" i="9" s="1"/>
  <c r="D12" i="9"/>
  <c r="E12" i="9" s="1"/>
  <c r="F12" i="9" s="1"/>
  <c r="D11" i="9"/>
  <c r="E11" i="9" s="1"/>
  <c r="F11" i="9" s="1"/>
  <c r="F26" i="5" s="1"/>
  <c r="D10" i="9"/>
  <c r="E10" i="9" s="1"/>
  <c r="F10" i="9" s="1"/>
  <c r="D9" i="9"/>
  <c r="E9" i="9" s="1"/>
  <c r="F9" i="9" s="1"/>
  <c r="D8" i="9"/>
  <c r="E8" i="9" s="1"/>
  <c r="F8" i="9" s="1"/>
  <c r="F23" i="5" s="1"/>
  <c r="D7" i="9"/>
  <c r="E7" i="9" s="1"/>
  <c r="F7" i="9" s="1"/>
  <c r="F22" i="5" s="1"/>
  <c r="D6" i="9"/>
  <c r="E6" i="9" s="1"/>
  <c r="F6" i="9" s="1"/>
  <c r="D5" i="9"/>
  <c r="E5" i="9" s="1"/>
  <c r="F5" i="9" s="1"/>
  <c r="D4" i="9"/>
  <c r="E4" i="9" s="1"/>
  <c r="F4" i="9" s="1"/>
  <c r="C89" i="8"/>
  <c r="C88" i="8"/>
  <c r="C87" i="8"/>
  <c r="E86" i="8"/>
  <c r="F86" i="8" s="1"/>
  <c r="D86" i="8"/>
  <c r="E85" i="8"/>
  <c r="F85" i="8" s="1"/>
  <c r="D85" i="8"/>
  <c r="E84" i="8"/>
  <c r="F84" i="8" s="1"/>
  <c r="C84" i="8"/>
  <c r="D84" i="8" s="1"/>
  <c r="E83" i="8"/>
  <c r="F83" i="8" s="1"/>
  <c r="D83" i="8"/>
  <c r="F81" i="8"/>
  <c r="D81" i="8"/>
  <c r="F80" i="8"/>
  <c r="D80" i="8"/>
  <c r="E79" i="8"/>
  <c r="F79" i="8" s="1"/>
  <c r="G113" i="3" s="1"/>
  <c r="C79" i="8"/>
  <c r="D79" i="8" s="1"/>
  <c r="F76" i="8"/>
  <c r="C76" i="8"/>
  <c r="D76" i="8" s="1"/>
  <c r="E75" i="8"/>
  <c r="F75" i="8" s="1"/>
  <c r="C75" i="8"/>
  <c r="D75" i="8" s="1"/>
  <c r="E73" i="8"/>
  <c r="F73" i="8" s="1"/>
  <c r="C73" i="8"/>
  <c r="D73" i="8" s="1"/>
  <c r="F72" i="8"/>
  <c r="D72" i="8"/>
  <c r="F70" i="8"/>
  <c r="C70" i="8"/>
  <c r="D70" i="8" s="1"/>
  <c r="F100" i="3" s="1"/>
  <c r="H100" i="3" s="1"/>
  <c r="F69" i="8"/>
  <c r="D69" i="8"/>
  <c r="E67" i="8"/>
  <c r="F67" i="8" s="1"/>
  <c r="G97" i="3" s="1"/>
  <c r="C67" i="8"/>
  <c r="D67" i="8" s="1"/>
  <c r="F97" i="3" s="1"/>
  <c r="H97" i="3" s="1"/>
  <c r="F66" i="8"/>
  <c r="D66" i="8"/>
  <c r="F64" i="8"/>
  <c r="C64" i="8"/>
  <c r="D64" i="8" s="1"/>
  <c r="F60" i="8"/>
  <c r="D60" i="8"/>
  <c r="C59" i="8"/>
  <c r="D59" i="8" s="1"/>
  <c r="E58" i="8"/>
  <c r="F58" i="8" s="1"/>
  <c r="C58" i="8"/>
  <c r="D58" i="8" s="1"/>
  <c r="E57" i="8"/>
  <c r="F57" i="8" s="1"/>
  <c r="D57" i="8"/>
  <c r="F56" i="8"/>
  <c r="D56" i="8"/>
  <c r="C53" i="8"/>
  <c r="D53" i="8" s="1"/>
  <c r="F77" i="3" s="1"/>
  <c r="H77" i="3" s="1"/>
  <c r="E52" i="8"/>
  <c r="F52" i="8" s="1"/>
  <c r="D52" i="8"/>
  <c r="F51" i="8"/>
  <c r="D51" i="8"/>
  <c r="F50" i="8"/>
  <c r="C50" i="8"/>
  <c r="D50" i="8" s="1"/>
  <c r="F74" i="3" s="1"/>
  <c r="H74" i="3" s="1"/>
  <c r="I74" i="3" s="1"/>
  <c r="E48" i="8"/>
  <c r="F48" i="8" s="1"/>
  <c r="G72" i="3" s="1"/>
  <c r="C48" i="8"/>
  <c r="D48" i="8" s="1"/>
  <c r="F72" i="3" s="1"/>
  <c r="H72" i="3" s="1"/>
  <c r="I72" i="3" s="1"/>
  <c r="E46" i="8"/>
  <c r="F46" i="8" s="1"/>
  <c r="C46" i="8"/>
  <c r="D46" i="8" s="1"/>
  <c r="F70" i="3" s="1"/>
  <c r="H70" i="3" s="1"/>
  <c r="F45" i="8"/>
  <c r="C45" i="8"/>
  <c r="D45" i="8" s="1"/>
  <c r="F44" i="8"/>
  <c r="D44" i="8"/>
  <c r="E42" i="8"/>
  <c r="F42" i="8" s="1"/>
  <c r="C42" i="8"/>
  <c r="D42" i="8" s="1"/>
  <c r="F41" i="8"/>
  <c r="C41" i="8"/>
  <c r="D41" i="8" s="1"/>
  <c r="F65" i="3" s="1"/>
  <c r="H65" i="3" s="1"/>
  <c r="I65" i="3" s="1"/>
  <c r="E40" i="8"/>
  <c r="F40" i="8" s="1"/>
  <c r="G64" i="3" s="1"/>
  <c r="C40" i="8"/>
  <c r="D40" i="8" s="1"/>
  <c r="F64" i="3" s="1"/>
  <c r="H64" i="3" s="1"/>
  <c r="I64" i="3" s="1"/>
  <c r="E39" i="8"/>
  <c r="F39" i="8" s="1"/>
  <c r="G63" i="3" s="1"/>
  <c r="H63" i="3" s="1"/>
  <c r="I63" i="3" s="1"/>
  <c r="C39" i="8"/>
  <c r="D39" i="8" s="1"/>
  <c r="F63" i="3" s="1"/>
  <c r="F37" i="8"/>
  <c r="G61" i="3" s="1"/>
  <c r="H61" i="3" s="1"/>
  <c r="D37" i="8"/>
  <c r="F61" i="3" s="1"/>
  <c r="F36" i="8"/>
  <c r="G60" i="3" s="1"/>
  <c r="D36" i="8"/>
  <c r="F60" i="3" s="1"/>
  <c r="E35" i="8"/>
  <c r="F35" i="8" s="1"/>
  <c r="G59" i="3" s="1"/>
  <c r="D35" i="8"/>
  <c r="F59" i="3" s="1"/>
  <c r="H59" i="3" s="1"/>
  <c r="I59" i="3" s="1"/>
  <c r="F34" i="8"/>
  <c r="G58" i="3" s="1"/>
  <c r="D34" i="8"/>
  <c r="F58" i="3" s="1"/>
  <c r="H58" i="3" s="1"/>
  <c r="I58" i="3" s="1"/>
  <c r="E33" i="8"/>
  <c r="F33" i="8" s="1"/>
  <c r="G57" i="3" s="1"/>
  <c r="D33" i="8"/>
  <c r="F57" i="3" s="1"/>
  <c r="H57" i="3" s="1"/>
  <c r="I57" i="3" s="1"/>
  <c r="F32" i="8"/>
  <c r="G56" i="3" s="1"/>
  <c r="D32" i="8"/>
  <c r="F56" i="3" s="1"/>
  <c r="H56" i="3" s="1"/>
  <c r="I56" i="3" s="1"/>
  <c r="F30" i="8"/>
  <c r="G54" i="3" s="1"/>
  <c r="D30" i="8"/>
  <c r="F54" i="3" s="1"/>
  <c r="H54" i="3" s="1"/>
  <c r="I54" i="3" s="1"/>
  <c r="F29" i="8"/>
  <c r="G53" i="3" s="1"/>
  <c r="D29" i="8"/>
  <c r="F53" i="3" s="1"/>
  <c r="H53" i="3" s="1"/>
  <c r="I53" i="3" s="1"/>
  <c r="F26" i="8"/>
  <c r="G47" i="3" s="1"/>
  <c r="D26" i="8"/>
  <c r="F47" i="3" s="1"/>
  <c r="H47" i="3" s="1"/>
  <c r="F25" i="8"/>
  <c r="G46" i="3" s="1"/>
  <c r="D25" i="8"/>
  <c r="F46" i="3" s="1"/>
  <c r="H46" i="3" s="1"/>
  <c r="I46" i="3" s="1"/>
  <c r="E24" i="8"/>
  <c r="F24" i="8" s="1"/>
  <c r="G45" i="3" s="1"/>
  <c r="H45" i="3" s="1"/>
  <c r="I45" i="3" s="1"/>
  <c r="D24" i="8"/>
  <c r="F45" i="3" s="1"/>
  <c r="E23" i="8"/>
  <c r="E59" i="8" s="1"/>
  <c r="F59" i="8" s="1"/>
  <c r="D23" i="8"/>
  <c r="F44" i="3" s="1"/>
  <c r="E22" i="8"/>
  <c r="F22" i="8" s="1"/>
  <c r="G43" i="3" s="1"/>
  <c r="H43" i="3" s="1"/>
  <c r="C22" i="8"/>
  <c r="D22" i="8" s="1"/>
  <c r="F43" i="3" s="1"/>
  <c r="F20" i="8"/>
  <c r="G38" i="3" s="1"/>
  <c r="D20" i="8"/>
  <c r="F38" i="3" s="1"/>
  <c r="H38" i="3" s="1"/>
  <c r="F19" i="8"/>
  <c r="G35" i="3" s="1"/>
  <c r="C19" i="8"/>
  <c r="D19" i="8" s="1"/>
  <c r="F35" i="3" s="1"/>
  <c r="H35" i="3" s="1"/>
  <c r="I35" i="3" s="1"/>
  <c r="E18" i="8"/>
  <c r="F18" i="8" s="1"/>
  <c r="G34" i="3" s="1"/>
  <c r="D18" i="8"/>
  <c r="F34" i="3" s="1"/>
  <c r="H34" i="3" s="1"/>
  <c r="I34" i="3" s="1"/>
  <c r="D17" i="8"/>
  <c r="F16" i="8"/>
  <c r="G32" i="3" s="1"/>
  <c r="D16" i="8"/>
  <c r="F32" i="3" s="1"/>
  <c r="H32" i="3" s="1"/>
  <c r="I32" i="3" s="1"/>
  <c r="E14" i="8"/>
  <c r="F14" i="8" s="1"/>
  <c r="G29" i="3" s="1"/>
  <c r="D14" i="8"/>
  <c r="F29" i="3" s="1"/>
  <c r="H29" i="3" s="1"/>
  <c r="F13" i="8"/>
  <c r="G28" i="3" s="1"/>
  <c r="D13" i="8"/>
  <c r="F28" i="3" s="1"/>
  <c r="H28" i="3" s="1"/>
  <c r="F12" i="8"/>
  <c r="G27" i="3" s="1"/>
  <c r="D12" i="8"/>
  <c r="F27" i="3" s="1"/>
  <c r="H27" i="3" s="1"/>
  <c r="I27" i="3" s="1"/>
  <c r="E11" i="8"/>
  <c r="D11" i="8"/>
  <c r="F26" i="3" s="1"/>
  <c r="E10" i="8"/>
  <c r="F10" i="8" s="1"/>
  <c r="G25" i="3" s="1"/>
  <c r="D10" i="8"/>
  <c r="F25" i="3" s="1"/>
  <c r="H25" i="3" s="1"/>
  <c r="I25" i="3" s="1"/>
  <c r="F9" i="8"/>
  <c r="G24" i="3" s="1"/>
  <c r="D9" i="8"/>
  <c r="F24" i="3" s="1"/>
  <c r="D8" i="8"/>
  <c r="F7" i="8"/>
  <c r="G22" i="3" s="1"/>
  <c r="D7" i="8"/>
  <c r="F22" i="3" s="1"/>
  <c r="H22" i="3" s="1"/>
  <c r="I22" i="3" s="1"/>
  <c r="D103" i="7"/>
  <c r="F102" i="7"/>
  <c r="D102" i="7"/>
  <c r="D101" i="7"/>
  <c r="D100" i="7"/>
  <c r="F99" i="7"/>
  <c r="D99" i="7"/>
  <c r="D98" i="7"/>
  <c r="D97" i="7"/>
  <c r="F96" i="7"/>
  <c r="D96" i="7"/>
  <c r="D95" i="7"/>
  <c r="D94" i="7"/>
  <c r="F93" i="7"/>
  <c r="D93" i="7"/>
  <c r="D92" i="7"/>
  <c r="D91" i="7"/>
  <c r="F90" i="7"/>
  <c r="D90" i="7"/>
  <c r="D89" i="7"/>
  <c r="D88" i="7"/>
  <c r="F87" i="7"/>
  <c r="D87" i="7"/>
  <c r="D86" i="7"/>
  <c r="D85" i="7"/>
  <c r="F84" i="7"/>
  <c r="D84" i="7"/>
  <c r="D83" i="7"/>
  <c r="D82" i="7"/>
  <c r="D81" i="7"/>
  <c r="D80" i="7"/>
  <c r="F79" i="7"/>
  <c r="D79" i="7"/>
  <c r="D78" i="7"/>
  <c r="D77" i="7"/>
  <c r="F76" i="7"/>
  <c r="D76" i="7"/>
  <c r="D75" i="7"/>
  <c r="D74" i="7"/>
  <c r="F73" i="7"/>
  <c r="D73" i="7"/>
  <c r="D72" i="7"/>
  <c r="D71" i="7"/>
  <c r="F70" i="7"/>
  <c r="D70" i="7"/>
  <c r="D69" i="7"/>
  <c r="D68" i="7"/>
  <c r="F67" i="7"/>
  <c r="D67" i="7"/>
  <c r="D66" i="7"/>
  <c r="D65" i="7"/>
  <c r="F64" i="7"/>
  <c r="D64" i="7"/>
  <c r="D63" i="7"/>
  <c r="D62" i="7"/>
  <c r="F61" i="7"/>
  <c r="D61" i="7"/>
  <c r="D60" i="7"/>
  <c r="D59" i="7"/>
  <c r="F58" i="7"/>
  <c r="D58" i="7"/>
  <c r="D57" i="7"/>
  <c r="D56" i="7"/>
  <c r="D55" i="7"/>
  <c r="F54" i="7"/>
  <c r="D54" i="7"/>
  <c r="F51" i="7"/>
  <c r="D51" i="7"/>
  <c r="F48" i="7"/>
  <c r="D48" i="7"/>
  <c r="E37" i="7"/>
  <c r="F37" i="7" s="1"/>
  <c r="D37" i="7"/>
  <c r="E36" i="7"/>
  <c r="F36" i="7" s="1"/>
  <c r="G142" i="4" s="1"/>
  <c r="D36" i="7"/>
  <c r="F142" i="4" s="1"/>
  <c r="E35" i="7"/>
  <c r="F35" i="7" s="1"/>
  <c r="D35" i="7"/>
  <c r="E34" i="7"/>
  <c r="F34" i="7" s="1"/>
  <c r="D34" i="7"/>
  <c r="E33" i="7"/>
  <c r="F33" i="7" s="1"/>
  <c r="D33" i="7"/>
  <c r="E32" i="7"/>
  <c r="F32" i="7" s="1"/>
  <c r="D32" i="7"/>
  <c r="E31" i="7"/>
  <c r="F31" i="7" s="1"/>
  <c r="D31" i="7"/>
  <c r="E30" i="7"/>
  <c r="F30" i="7" s="1"/>
  <c r="D30" i="7"/>
  <c r="E29" i="7"/>
  <c r="F29" i="7" s="1"/>
  <c r="D29" i="7"/>
  <c r="D28" i="7"/>
  <c r="E27" i="7"/>
  <c r="F27" i="7" s="1"/>
  <c r="G151" i="4" s="1"/>
  <c r="D27" i="7"/>
  <c r="F151" i="4" s="1"/>
  <c r="H151" i="4" s="1"/>
  <c r="I151" i="4" s="1"/>
  <c r="E26" i="7"/>
  <c r="F26" i="7" s="1"/>
  <c r="D26" i="7"/>
  <c r="E25" i="7"/>
  <c r="F25" i="7" s="1"/>
  <c r="D25" i="7"/>
  <c r="E24" i="7"/>
  <c r="F24" i="7" s="1"/>
  <c r="D24" i="7"/>
  <c r="E23" i="7"/>
  <c r="F23" i="7" s="1"/>
  <c r="D23" i="7"/>
  <c r="O22" i="7"/>
  <c r="E22" i="7"/>
  <c r="F22" i="7" s="1"/>
  <c r="D22" i="7"/>
  <c r="F23" i="4" s="1"/>
  <c r="O21" i="7"/>
  <c r="E21" i="7"/>
  <c r="F21" i="7" s="1"/>
  <c r="D21" i="7"/>
  <c r="E20" i="7"/>
  <c r="F20" i="7" s="1"/>
  <c r="G21" i="4" s="1"/>
  <c r="D20" i="7"/>
  <c r="F21" i="4" s="1"/>
  <c r="H21" i="4" s="1"/>
  <c r="I21" i="4" s="1"/>
  <c r="F18" i="7"/>
  <c r="G82" i="2" s="1"/>
  <c r="D18" i="7"/>
  <c r="F82" i="2" s="1"/>
  <c r="F17" i="7"/>
  <c r="D17" i="7"/>
  <c r="F16" i="7"/>
  <c r="D16" i="7"/>
  <c r="F15" i="7"/>
  <c r="D15" i="7"/>
  <c r="F14" i="7"/>
  <c r="D14" i="7"/>
  <c r="E13" i="7"/>
  <c r="F13" i="7" s="1"/>
  <c r="D13" i="7"/>
  <c r="F12" i="7"/>
  <c r="D12" i="7"/>
  <c r="F11" i="7"/>
  <c r="D11" i="7"/>
  <c r="E10" i="7"/>
  <c r="F10" i="7" s="1"/>
  <c r="D10" i="7"/>
  <c r="E9" i="7"/>
  <c r="F9" i="7" s="1"/>
  <c r="D9" i="7"/>
  <c r="F8" i="7"/>
  <c r="D8" i="7"/>
  <c r="T81" i="6"/>
  <c r="T80" i="6"/>
  <c r="T79" i="6"/>
  <c r="BF67" i="6"/>
  <c r="BE67" i="6"/>
  <c r="BD67" i="6"/>
  <c r="BC67" i="6"/>
  <c r="BB67" i="6"/>
  <c r="BA67" i="6"/>
  <c r="AZ67" i="6"/>
  <c r="AY67" i="6"/>
  <c r="AC67" i="6"/>
  <c r="Y67" i="6"/>
  <c r="V67" i="6"/>
  <c r="U67" i="6"/>
  <c r="W67" i="6" s="1"/>
  <c r="X67" i="6" s="1"/>
  <c r="BF65" i="6"/>
  <c r="BE65" i="6"/>
  <c r="BD65" i="6"/>
  <c r="BC65" i="6"/>
  <c r="BB65" i="6"/>
  <c r="BA65" i="6"/>
  <c r="AZ65" i="6"/>
  <c r="AY65" i="6"/>
  <c r="AC65" i="6"/>
  <c r="Y65" i="6"/>
  <c r="V65" i="6"/>
  <c r="U65" i="6"/>
  <c r="F65" i="6"/>
  <c r="G65" i="6" s="1"/>
  <c r="BF64" i="6"/>
  <c r="BE64" i="6"/>
  <c r="BD64" i="6"/>
  <c r="BC64" i="6"/>
  <c r="BB64" i="6"/>
  <c r="BA64" i="6"/>
  <c r="AZ64" i="6"/>
  <c r="AY64" i="6"/>
  <c r="AC64" i="6"/>
  <c r="Y64" i="6"/>
  <c r="U64" i="6"/>
  <c r="P64" i="6"/>
  <c r="D64" i="6"/>
  <c r="V64" i="6" s="1"/>
  <c r="BF56" i="6"/>
  <c r="BE56" i="6"/>
  <c r="BD56" i="6"/>
  <c r="BC56" i="6"/>
  <c r="BB56" i="6"/>
  <c r="BA56" i="6"/>
  <c r="AZ56" i="6"/>
  <c r="AY56" i="6"/>
  <c r="AC56" i="6"/>
  <c r="V56" i="6" s="1"/>
  <c r="Y56" i="6"/>
  <c r="U56" i="6"/>
  <c r="F56" i="6"/>
  <c r="BF53" i="6"/>
  <c r="BE53" i="6"/>
  <c r="BD53" i="6"/>
  <c r="BC53" i="6"/>
  <c r="BB53" i="6"/>
  <c r="BA53" i="6"/>
  <c r="AZ53" i="6"/>
  <c r="AY53" i="6"/>
  <c r="AC53" i="6"/>
  <c r="Y53" i="6"/>
  <c r="U53" i="6"/>
  <c r="G53" i="6"/>
  <c r="F53" i="6"/>
  <c r="H53" i="6" s="1"/>
  <c r="D53" i="6"/>
  <c r="BF52" i="6"/>
  <c r="BF77" i="6" s="1"/>
  <c r="BE52" i="6"/>
  <c r="BD52" i="6"/>
  <c r="BD77" i="6" s="1"/>
  <c r="BC52" i="6"/>
  <c r="BB52" i="6"/>
  <c r="BA52" i="6"/>
  <c r="AZ52" i="6"/>
  <c r="AY52" i="6"/>
  <c r="AC52" i="6"/>
  <c r="AC77" i="6" s="1"/>
  <c r="M37" i="1" s="1"/>
  <c r="Y52" i="6"/>
  <c r="Y77" i="6" s="1"/>
  <c r="U52" i="6"/>
  <c r="U77" i="6" s="1"/>
  <c r="G52" i="6"/>
  <c r="F52" i="6"/>
  <c r="H52" i="6" s="1"/>
  <c r="I52" i="6" s="1"/>
  <c r="D52" i="6"/>
  <c r="BF49" i="6"/>
  <c r="BE49" i="6"/>
  <c r="BD49" i="6"/>
  <c r="BC49" i="6"/>
  <c r="BB49" i="6"/>
  <c r="BA49" i="6"/>
  <c r="AZ49" i="6"/>
  <c r="AY49" i="6"/>
  <c r="AC48" i="6"/>
  <c r="Y48" i="6"/>
  <c r="V48" i="6"/>
  <c r="U48" i="6"/>
  <c r="AC47" i="6"/>
  <c r="Y47" i="6"/>
  <c r="U47" i="6"/>
  <c r="G47" i="6"/>
  <c r="F47" i="6"/>
  <c r="H47" i="6" s="1"/>
  <c r="D47" i="6"/>
  <c r="V47" i="6" s="1"/>
  <c r="AC45" i="6"/>
  <c r="Y45" i="6"/>
  <c r="U45" i="6"/>
  <c r="P45" i="6"/>
  <c r="F45" i="6"/>
  <c r="D45" i="6"/>
  <c r="AC44" i="6"/>
  <c r="Y44" i="6"/>
  <c r="U44" i="6"/>
  <c r="P44" i="6"/>
  <c r="G44" i="6"/>
  <c r="F44" i="6"/>
  <c r="H44" i="6" s="1"/>
  <c r="D44" i="6"/>
  <c r="V44" i="6" s="1"/>
  <c r="W44" i="6" s="1"/>
  <c r="X44" i="6" s="1"/>
  <c r="BF40" i="6"/>
  <c r="BE40" i="6"/>
  <c r="BD40" i="6"/>
  <c r="BC40" i="6"/>
  <c r="BB40" i="6"/>
  <c r="BA40" i="6"/>
  <c r="AZ40" i="6"/>
  <c r="AY40" i="6"/>
  <c r="AC40" i="6"/>
  <c r="Y40" i="6"/>
  <c r="U40" i="6"/>
  <c r="G40" i="6"/>
  <c r="F40" i="6"/>
  <c r="D40" i="6"/>
  <c r="BF39" i="6"/>
  <c r="BE39" i="6"/>
  <c r="BD39" i="6"/>
  <c r="BC39" i="6"/>
  <c r="BB39" i="6"/>
  <c r="BA39" i="6"/>
  <c r="AZ39" i="6"/>
  <c r="AY39" i="6"/>
  <c r="AC39" i="6"/>
  <c r="V39" i="6" s="1"/>
  <c r="Y39" i="6"/>
  <c r="U39" i="6"/>
  <c r="G39" i="6"/>
  <c r="F39" i="6"/>
  <c r="H39" i="6" s="1"/>
  <c r="I39" i="6" s="1"/>
  <c r="BF38" i="6"/>
  <c r="BE38" i="6"/>
  <c r="BD38" i="6"/>
  <c r="BC38" i="6"/>
  <c r="BB38" i="6"/>
  <c r="BA38" i="6"/>
  <c r="AZ38" i="6"/>
  <c r="AY38" i="6"/>
  <c r="AC38" i="6"/>
  <c r="Y38" i="6"/>
  <c r="V38" i="6"/>
  <c r="W38" i="6" s="1"/>
  <c r="X38" i="6" s="1"/>
  <c r="U38" i="6"/>
  <c r="N38" i="6"/>
  <c r="G38" i="6"/>
  <c r="F38" i="6"/>
  <c r="BF37" i="6"/>
  <c r="BE37" i="6"/>
  <c r="BD37" i="6"/>
  <c r="BC37" i="6"/>
  <c r="BB37" i="6"/>
  <c r="BA37" i="6"/>
  <c r="AZ37" i="6"/>
  <c r="AY37" i="6"/>
  <c r="AC37" i="6"/>
  <c r="Y37" i="6"/>
  <c r="V37" i="6"/>
  <c r="W37" i="6" s="1"/>
  <c r="X37" i="6" s="1"/>
  <c r="U37" i="6"/>
  <c r="O37" i="6"/>
  <c r="P37" i="6" s="1"/>
  <c r="N37" i="6"/>
  <c r="G37" i="6"/>
  <c r="F37" i="6"/>
  <c r="H37" i="6" s="1"/>
  <c r="I37" i="6" s="1"/>
  <c r="BF36" i="6"/>
  <c r="BE36" i="6"/>
  <c r="BD36" i="6"/>
  <c r="BC36" i="6"/>
  <c r="BB36" i="6"/>
  <c r="BA36" i="6"/>
  <c r="AZ36" i="6"/>
  <c r="AY36" i="6"/>
  <c r="AC36" i="6"/>
  <c r="Y36" i="6"/>
  <c r="V36" i="6"/>
  <c r="W36" i="6" s="1"/>
  <c r="X36" i="6" s="1"/>
  <c r="U36" i="6"/>
  <c r="O36" i="6"/>
  <c r="N36" i="6"/>
  <c r="F36" i="6"/>
  <c r="BF35" i="6"/>
  <c r="BE35" i="6"/>
  <c r="BD35" i="6"/>
  <c r="BC35" i="6"/>
  <c r="BB35" i="6"/>
  <c r="BA35" i="6"/>
  <c r="AZ35" i="6"/>
  <c r="AY35" i="6"/>
  <c r="AC35" i="6"/>
  <c r="Y35" i="6"/>
  <c r="V35" i="6"/>
  <c r="W35" i="6" s="1"/>
  <c r="X35" i="6" s="1"/>
  <c r="U35" i="6"/>
  <c r="G35" i="6"/>
  <c r="F35" i="6"/>
  <c r="BF34" i="6"/>
  <c r="BE34" i="6"/>
  <c r="BD34" i="6"/>
  <c r="BC34" i="6"/>
  <c r="BB34" i="6"/>
  <c r="BA34" i="6"/>
  <c r="AZ34" i="6"/>
  <c r="AY34" i="6"/>
  <c r="AC34" i="6"/>
  <c r="Y34" i="6"/>
  <c r="V34" i="6"/>
  <c r="U34" i="6"/>
  <c r="F34" i="6"/>
  <c r="BF33" i="6"/>
  <c r="BE33" i="6"/>
  <c r="BD33" i="6"/>
  <c r="BC33" i="6"/>
  <c r="BB33" i="6"/>
  <c r="BA33" i="6"/>
  <c r="AZ33" i="6"/>
  <c r="AY33" i="6"/>
  <c r="AC33" i="6"/>
  <c r="Y33" i="6"/>
  <c r="U33" i="6"/>
  <c r="G33" i="6"/>
  <c r="F33" i="6"/>
  <c r="H33" i="6" s="1"/>
  <c r="I33" i="6" s="1"/>
  <c r="D33" i="6"/>
  <c r="BF32" i="6"/>
  <c r="BE32" i="6"/>
  <c r="BD32" i="6"/>
  <c r="BC32" i="6"/>
  <c r="BB32" i="6"/>
  <c r="BA32" i="6"/>
  <c r="AZ32" i="6"/>
  <c r="AY32" i="6"/>
  <c r="AC32" i="6"/>
  <c r="V32" i="6" s="1"/>
  <c r="W32" i="6" s="1"/>
  <c r="X32" i="6" s="1"/>
  <c r="Y32" i="6"/>
  <c r="U32" i="6"/>
  <c r="G32" i="6"/>
  <c r="F32" i="6"/>
  <c r="BF31" i="6"/>
  <c r="BE31" i="6"/>
  <c r="BD31" i="6"/>
  <c r="BD41" i="6" s="1"/>
  <c r="BC31" i="6"/>
  <c r="BB31" i="6"/>
  <c r="BB41" i="6" s="1"/>
  <c r="BA31" i="6"/>
  <c r="AZ31" i="6"/>
  <c r="AZ41" i="6" s="1"/>
  <c r="AY31" i="6"/>
  <c r="AY41" i="6" s="1"/>
  <c r="AC31" i="6"/>
  <c r="Y31" i="6"/>
  <c r="U31" i="6"/>
  <c r="G31" i="6"/>
  <c r="F31" i="6"/>
  <c r="H31" i="6" s="1"/>
  <c r="I31" i="6" s="1"/>
  <c r="D31" i="6"/>
  <c r="V31" i="6" s="1"/>
  <c r="BF28" i="6"/>
  <c r="BE28" i="6"/>
  <c r="BD28" i="6"/>
  <c r="BC28" i="6"/>
  <c r="BB28" i="6"/>
  <c r="BA28" i="6"/>
  <c r="AZ28" i="6"/>
  <c r="AY28" i="6"/>
  <c r="AC28" i="6"/>
  <c r="Y28" i="6"/>
  <c r="U28" i="6"/>
  <c r="G28" i="6"/>
  <c r="F28" i="6"/>
  <c r="H28" i="6" s="1"/>
  <c r="D28" i="6"/>
  <c r="BF27" i="6"/>
  <c r="BE27" i="6"/>
  <c r="BD27" i="6"/>
  <c r="BC27" i="6"/>
  <c r="BB27" i="6"/>
  <c r="BA27" i="6"/>
  <c r="AZ27" i="6"/>
  <c r="AY27" i="6"/>
  <c r="AC27" i="6"/>
  <c r="Y27" i="6"/>
  <c r="U27" i="6"/>
  <c r="G27" i="6"/>
  <c r="F27" i="6"/>
  <c r="H27" i="6" s="1"/>
  <c r="D27" i="6"/>
  <c r="BF26" i="6"/>
  <c r="BF29" i="6" s="1"/>
  <c r="BE26" i="6"/>
  <c r="BE29" i="6" s="1"/>
  <c r="BD26" i="6"/>
  <c r="BC26" i="6"/>
  <c r="BB26" i="6"/>
  <c r="BB29" i="6" s="1"/>
  <c r="BA26" i="6"/>
  <c r="BA29" i="6" s="1"/>
  <c r="AZ26" i="6"/>
  <c r="AZ29" i="6" s="1"/>
  <c r="AY26" i="6"/>
  <c r="AC26" i="6"/>
  <c r="Y26" i="6"/>
  <c r="U26" i="6"/>
  <c r="U29" i="6" s="1"/>
  <c r="F26" i="6"/>
  <c r="D26" i="6"/>
  <c r="V26" i="6" s="1"/>
  <c r="BF23" i="6"/>
  <c r="BE23" i="6"/>
  <c r="BD23" i="6"/>
  <c r="BC23" i="6"/>
  <c r="BB23" i="6"/>
  <c r="BA23" i="6"/>
  <c r="AZ23" i="6"/>
  <c r="AY23" i="6"/>
  <c r="AC23" i="6"/>
  <c r="Y23" i="6"/>
  <c r="U23" i="6"/>
  <c r="G23" i="6"/>
  <c r="F23" i="6"/>
  <c r="H23" i="6" s="1"/>
  <c r="I23" i="6" s="1"/>
  <c r="D23" i="6"/>
  <c r="BF22" i="6"/>
  <c r="BF24" i="6" s="1"/>
  <c r="BE22" i="6"/>
  <c r="BD22" i="6"/>
  <c r="BC22" i="6"/>
  <c r="BC24" i="6" s="1"/>
  <c r="BB22" i="6"/>
  <c r="BB24" i="6" s="1"/>
  <c r="BA22" i="6"/>
  <c r="BA24" i="6" s="1"/>
  <c r="AZ22" i="6"/>
  <c r="AY22" i="6"/>
  <c r="Y22" i="6"/>
  <c r="Y24" i="6" s="1"/>
  <c r="U22" i="6"/>
  <c r="G22" i="6"/>
  <c r="F22" i="6"/>
  <c r="D22" i="6"/>
  <c r="B16" i="6"/>
  <c r="AU66" i="5"/>
  <c r="AT66" i="5"/>
  <c r="AS66" i="5"/>
  <c r="AR66" i="5"/>
  <c r="AQ66" i="5"/>
  <c r="AP66" i="5"/>
  <c r="AO66" i="5"/>
  <c r="AN66" i="5"/>
  <c r="L30" i="1" s="1"/>
  <c r="L31" i="1" s="1"/>
  <c r="R65" i="5"/>
  <c r="N65" i="5"/>
  <c r="K65" i="5"/>
  <c r="J65" i="5"/>
  <c r="L65" i="5" s="1"/>
  <c r="M65" i="5" s="1"/>
  <c r="G65" i="5"/>
  <c r="H65" i="5" s="1"/>
  <c r="R64" i="5"/>
  <c r="N64" i="5"/>
  <c r="J64" i="5"/>
  <c r="G64" i="5"/>
  <c r="H64" i="5" s="1"/>
  <c r="R63" i="5"/>
  <c r="N63" i="5"/>
  <c r="K63" i="5"/>
  <c r="J63" i="5"/>
  <c r="L63" i="5" s="1"/>
  <c r="M63" i="5" s="1"/>
  <c r="G63" i="5"/>
  <c r="H63" i="5" s="1"/>
  <c r="R62" i="5"/>
  <c r="N62" i="5"/>
  <c r="J62" i="5"/>
  <c r="G62" i="5"/>
  <c r="H62" i="5" s="1"/>
  <c r="R61" i="5"/>
  <c r="N61" i="5"/>
  <c r="K61" i="5"/>
  <c r="J61" i="5"/>
  <c r="L61" i="5" s="1"/>
  <c r="M61" i="5" s="1"/>
  <c r="G61" i="5"/>
  <c r="H61" i="5" s="1"/>
  <c r="O61" i="5" s="1"/>
  <c r="P61" i="5" s="1"/>
  <c r="Q61" i="5" s="1"/>
  <c r="R60" i="5"/>
  <c r="K60" i="5" s="1"/>
  <c r="N60" i="5"/>
  <c r="J60" i="5"/>
  <c r="L60" i="5" s="1"/>
  <c r="M60" i="5" s="1"/>
  <c r="G60" i="5"/>
  <c r="H60" i="5" s="1"/>
  <c r="R59" i="5"/>
  <c r="K59" i="5" s="1"/>
  <c r="L59" i="5" s="1"/>
  <c r="M59" i="5" s="1"/>
  <c r="N59" i="5"/>
  <c r="J59" i="5"/>
  <c r="G59" i="5"/>
  <c r="H59" i="5" s="1"/>
  <c r="R58" i="5"/>
  <c r="N58" i="5"/>
  <c r="J58" i="5"/>
  <c r="J66" i="5" s="1"/>
  <c r="G58" i="5"/>
  <c r="H58" i="5" s="1"/>
  <c r="H66" i="5" s="1"/>
  <c r="C30" i="1" s="1"/>
  <c r="R54" i="5"/>
  <c r="N54" i="5"/>
  <c r="K54" i="5"/>
  <c r="J54" i="5"/>
  <c r="L54" i="5" s="1"/>
  <c r="M54" i="5" s="1"/>
  <c r="E54" i="5"/>
  <c r="R53" i="5"/>
  <c r="N53" i="5"/>
  <c r="K53" i="5"/>
  <c r="J53" i="5"/>
  <c r="F53" i="5"/>
  <c r="E53" i="5"/>
  <c r="G53" i="5" s="1"/>
  <c r="H53" i="5" s="1"/>
  <c r="R52" i="5"/>
  <c r="N52" i="5"/>
  <c r="K52" i="5"/>
  <c r="J52" i="5"/>
  <c r="L52" i="5" s="1"/>
  <c r="M52" i="5" s="1"/>
  <c r="E52" i="5"/>
  <c r="R51" i="5"/>
  <c r="K51" i="5" s="1"/>
  <c r="N51" i="5"/>
  <c r="L51" i="5"/>
  <c r="M51" i="5" s="1"/>
  <c r="J51" i="5"/>
  <c r="E51" i="5"/>
  <c r="R50" i="5"/>
  <c r="N50" i="5"/>
  <c r="K50" i="5"/>
  <c r="L50" i="5" s="1"/>
  <c r="M50" i="5" s="1"/>
  <c r="J50" i="5"/>
  <c r="R49" i="5"/>
  <c r="N49" i="5"/>
  <c r="K49" i="5"/>
  <c r="J49" i="5"/>
  <c r="L49" i="5" s="1"/>
  <c r="M49" i="5" s="1"/>
  <c r="E49" i="5"/>
  <c r="G49" i="5" s="1"/>
  <c r="H49" i="5" s="1"/>
  <c r="R48" i="5"/>
  <c r="N48" i="5"/>
  <c r="K48" i="5"/>
  <c r="J48" i="5"/>
  <c r="E48" i="5"/>
  <c r="R47" i="5"/>
  <c r="K47" i="5" s="1"/>
  <c r="N47" i="5"/>
  <c r="J47" i="5"/>
  <c r="E47" i="5"/>
  <c r="R46" i="5"/>
  <c r="K46" i="5" s="1"/>
  <c r="N46" i="5"/>
  <c r="J46" i="5"/>
  <c r="F46" i="5"/>
  <c r="E46" i="5"/>
  <c r="G46" i="5" s="1"/>
  <c r="H46" i="5" s="1"/>
  <c r="AU44" i="5"/>
  <c r="AT44" i="5"/>
  <c r="AT56" i="5" s="1"/>
  <c r="AS44" i="5"/>
  <c r="AS56" i="5" s="1"/>
  <c r="AR44" i="5"/>
  <c r="AQ44" i="5"/>
  <c r="AP44" i="5"/>
  <c r="AO44" i="5"/>
  <c r="AO56" i="5" s="1"/>
  <c r="AN44" i="5"/>
  <c r="AN56" i="5" s="1"/>
  <c r="R43" i="5"/>
  <c r="N43" i="5"/>
  <c r="J43" i="5"/>
  <c r="F43" i="5"/>
  <c r="E43" i="5"/>
  <c r="G43" i="5" s="1"/>
  <c r="H43" i="5" s="1"/>
  <c r="R42" i="5"/>
  <c r="N42" i="5"/>
  <c r="J42" i="5"/>
  <c r="F42" i="5"/>
  <c r="E42" i="5"/>
  <c r="R41" i="5"/>
  <c r="K41" i="5" s="1"/>
  <c r="N41" i="5"/>
  <c r="J41" i="5"/>
  <c r="E41" i="5"/>
  <c r="G41" i="5" s="1"/>
  <c r="H41" i="5" s="1"/>
  <c r="R40" i="5"/>
  <c r="N40" i="5"/>
  <c r="J40" i="5"/>
  <c r="E40" i="5"/>
  <c r="R39" i="5"/>
  <c r="N39" i="5"/>
  <c r="J39" i="5"/>
  <c r="E39" i="5"/>
  <c r="G39" i="5" s="1"/>
  <c r="H39" i="5" s="1"/>
  <c r="R38" i="5"/>
  <c r="K38" i="5" s="1"/>
  <c r="N38" i="5"/>
  <c r="J38" i="5"/>
  <c r="F38" i="5"/>
  <c r="E38" i="5"/>
  <c r="R37" i="5"/>
  <c r="K37" i="5" s="1"/>
  <c r="N37" i="5"/>
  <c r="J37" i="5"/>
  <c r="F37" i="5"/>
  <c r="G37" i="5" s="1"/>
  <c r="H37" i="5" s="1"/>
  <c r="E37" i="5"/>
  <c r="R36" i="5"/>
  <c r="N36" i="5"/>
  <c r="J36" i="5"/>
  <c r="J44" i="5" s="1"/>
  <c r="E36" i="5"/>
  <c r="AU34" i="5"/>
  <c r="AU56" i="5" s="1"/>
  <c r="AT34" i="5"/>
  <c r="AS34" i="5"/>
  <c r="AR34" i="5"/>
  <c r="AQ34" i="5"/>
  <c r="AP34" i="5"/>
  <c r="AN34" i="5"/>
  <c r="R33" i="5"/>
  <c r="K33" i="5" s="1"/>
  <c r="L33" i="5" s="1"/>
  <c r="M33" i="5" s="1"/>
  <c r="N33" i="5"/>
  <c r="J33" i="5"/>
  <c r="E33" i="5"/>
  <c r="R32" i="5"/>
  <c r="K32" i="5" s="1"/>
  <c r="L32" i="5" s="1"/>
  <c r="M32" i="5" s="1"/>
  <c r="N32" i="5"/>
  <c r="J32" i="5"/>
  <c r="E32" i="5"/>
  <c r="R31" i="5"/>
  <c r="K31" i="5" s="1"/>
  <c r="N31" i="5"/>
  <c r="J31" i="5"/>
  <c r="G31" i="5"/>
  <c r="H31" i="5" s="1"/>
  <c r="E31" i="5"/>
  <c r="R30" i="5"/>
  <c r="K30" i="5" s="1"/>
  <c r="N30" i="5"/>
  <c r="J30" i="5"/>
  <c r="E30" i="5"/>
  <c r="R29" i="5"/>
  <c r="K29" i="5" s="1"/>
  <c r="N29" i="5"/>
  <c r="J29" i="5"/>
  <c r="F29" i="5"/>
  <c r="G29" i="5" s="1"/>
  <c r="H29" i="5" s="1"/>
  <c r="O29" i="5" s="1"/>
  <c r="E29" i="5"/>
  <c r="R28" i="5"/>
  <c r="K28" i="5" s="1"/>
  <c r="L28" i="5" s="1"/>
  <c r="M28" i="5" s="1"/>
  <c r="N28" i="5"/>
  <c r="J28" i="5"/>
  <c r="G28" i="5"/>
  <c r="H28" i="5" s="1"/>
  <c r="F28" i="5"/>
  <c r="E28" i="5"/>
  <c r="R27" i="5"/>
  <c r="K27" i="5" s="1"/>
  <c r="N27" i="5"/>
  <c r="J27" i="5"/>
  <c r="G27" i="5"/>
  <c r="H27" i="5" s="1"/>
  <c r="F27" i="5"/>
  <c r="E27" i="5"/>
  <c r="R26" i="5"/>
  <c r="N26" i="5"/>
  <c r="J26" i="5"/>
  <c r="E26" i="5"/>
  <c r="R25" i="5"/>
  <c r="K25" i="5" s="1"/>
  <c r="N25" i="5"/>
  <c r="J25" i="5"/>
  <c r="L25" i="5" s="1"/>
  <c r="M25" i="5" s="1"/>
  <c r="F25" i="5"/>
  <c r="E25" i="5"/>
  <c r="G25" i="5" s="1"/>
  <c r="H25" i="5" s="1"/>
  <c r="R24" i="5"/>
  <c r="K24" i="5" s="1"/>
  <c r="N24" i="5"/>
  <c r="J24" i="5"/>
  <c r="F24" i="5"/>
  <c r="E24" i="5"/>
  <c r="G24" i="5" s="1"/>
  <c r="H24" i="5" s="1"/>
  <c r="R23" i="5"/>
  <c r="N23" i="5"/>
  <c r="J23" i="5"/>
  <c r="E23" i="5"/>
  <c r="R22" i="5"/>
  <c r="K22" i="5" s="1"/>
  <c r="N22" i="5"/>
  <c r="J22" i="5"/>
  <c r="L22" i="5" s="1"/>
  <c r="M22" i="5" s="1"/>
  <c r="E22" i="5"/>
  <c r="R20" i="5"/>
  <c r="N20" i="5"/>
  <c r="J20" i="5"/>
  <c r="F20" i="5"/>
  <c r="E20" i="5"/>
  <c r="G20" i="5" s="1"/>
  <c r="H20" i="5" s="1"/>
  <c r="R19" i="5"/>
  <c r="N19" i="5"/>
  <c r="P19" i="5" s="1"/>
  <c r="Q19" i="5" s="1"/>
  <c r="K19" i="5"/>
  <c r="J19" i="5"/>
  <c r="F19" i="5"/>
  <c r="G19" i="5" s="1"/>
  <c r="H19" i="5" s="1"/>
  <c r="O19" i="5" s="1"/>
  <c r="E19" i="5"/>
  <c r="B15" i="5"/>
  <c r="BJ236" i="4"/>
  <c r="BI236" i="4"/>
  <c r="BH236" i="4"/>
  <c r="BG236" i="4"/>
  <c r="BF236" i="4"/>
  <c r="BE236" i="4"/>
  <c r="BC236" i="4"/>
  <c r="Z236" i="4"/>
  <c r="AA236" i="4" s="1"/>
  <c r="AB236" i="4" s="1"/>
  <c r="AC236" i="4"/>
  <c r="Y236" i="4"/>
  <c r="BJ235" i="4"/>
  <c r="BI235" i="4"/>
  <c r="BH235" i="4"/>
  <c r="BG235" i="4"/>
  <c r="BF235" i="4"/>
  <c r="BE235" i="4"/>
  <c r="BC235" i="4"/>
  <c r="BA235" i="4"/>
  <c r="AG235" i="4" s="1"/>
  <c r="AC235" i="4"/>
  <c r="Y235" i="4"/>
  <c r="G235" i="4"/>
  <c r="F235" i="4"/>
  <c r="H235" i="4" s="1"/>
  <c r="D235" i="4"/>
  <c r="BJ234" i="4"/>
  <c r="BI234" i="4"/>
  <c r="BH234" i="4"/>
  <c r="BG234" i="4"/>
  <c r="BF234" i="4"/>
  <c r="BE234" i="4"/>
  <c r="BC234" i="4"/>
  <c r="BA234" i="4"/>
  <c r="AG234" i="4" s="1"/>
  <c r="AC234" i="4"/>
  <c r="Y234" i="4"/>
  <c r="F234" i="4"/>
  <c r="H234" i="4" s="1"/>
  <c r="I234" i="4" s="1"/>
  <c r="BJ233" i="4"/>
  <c r="BI233" i="4"/>
  <c r="BH233" i="4"/>
  <c r="BG233" i="4"/>
  <c r="BF233" i="4"/>
  <c r="BE233" i="4"/>
  <c r="BC233" i="4"/>
  <c r="AC233" i="4"/>
  <c r="Y233" i="4"/>
  <c r="G233" i="4"/>
  <c r="F233" i="4"/>
  <c r="H233" i="4" s="1"/>
  <c r="D233" i="4"/>
  <c r="BJ232" i="4"/>
  <c r="BI232" i="4"/>
  <c r="BH232" i="4"/>
  <c r="BG232" i="4"/>
  <c r="BF232" i="4"/>
  <c r="BE232" i="4"/>
  <c r="BC232" i="4"/>
  <c r="BC237" i="4" s="1"/>
  <c r="AC232" i="4"/>
  <c r="Y232" i="4"/>
  <c r="R232" i="4"/>
  <c r="F232" i="4"/>
  <c r="D232" i="4"/>
  <c r="BA230" i="4"/>
  <c r="AG230" i="4" s="1"/>
  <c r="BJ229" i="4"/>
  <c r="BI229" i="4"/>
  <c r="BH229" i="4"/>
  <c r="BG229" i="4"/>
  <c r="BF229" i="4"/>
  <c r="BE229" i="4"/>
  <c r="BC229" i="4"/>
  <c r="AC229" i="4"/>
  <c r="Z229" i="4"/>
  <c r="Y229" i="4"/>
  <c r="AA229" i="4" s="1"/>
  <c r="AB229" i="4" s="1"/>
  <c r="BJ228" i="4"/>
  <c r="BI228" i="4"/>
  <c r="BH228" i="4"/>
  <c r="BG228" i="4"/>
  <c r="BF228" i="4"/>
  <c r="BE228" i="4"/>
  <c r="BC228" i="4"/>
  <c r="AC228" i="4"/>
  <c r="Y228" i="4"/>
  <c r="G228" i="4"/>
  <c r="F228" i="4"/>
  <c r="H228" i="4" s="1"/>
  <c r="C228" i="4"/>
  <c r="D228" i="4" s="1"/>
  <c r="BJ227" i="4"/>
  <c r="BI227" i="4"/>
  <c r="BH227" i="4"/>
  <c r="BG227" i="4"/>
  <c r="BF227" i="4"/>
  <c r="BE227" i="4"/>
  <c r="BC227" i="4"/>
  <c r="AC227" i="4"/>
  <c r="Y227" i="4"/>
  <c r="G227" i="4"/>
  <c r="H227" i="4" s="1"/>
  <c r="I227" i="4" s="1"/>
  <c r="F227" i="4"/>
  <c r="D227" i="4"/>
  <c r="Z227" i="4" s="1"/>
  <c r="AA227" i="4" s="1"/>
  <c r="AB227" i="4" s="1"/>
  <c r="BJ226" i="4"/>
  <c r="BI226" i="4"/>
  <c r="BH226" i="4"/>
  <c r="BG226" i="4"/>
  <c r="BF226" i="4"/>
  <c r="BE226" i="4"/>
  <c r="BC226" i="4"/>
  <c r="AC226" i="4"/>
  <c r="Y226" i="4"/>
  <c r="G226" i="4"/>
  <c r="F226" i="4"/>
  <c r="H226" i="4" s="1"/>
  <c r="D226" i="4"/>
  <c r="Z226" i="4" s="1"/>
  <c r="AA226" i="4" s="1"/>
  <c r="AB226" i="4" s="1"/>
  <c r="BJ225" i="4"/>
  <c r="BI225" i="4"/>
  <c r="BH225" i="4"/>
  <c r="BG225" i="4"/>
  <c r="BF225" i="4"/>
  <c r="BF230" i="4" s="1"/>
  <c r="BE225" i="4"/>
  <c r="BE230" i="4" s="1"/>
  <c r="BC225" i="4"/>
  <c r="AC225" i="4"/>
  <c r="Y225" i="4"/>
  <c r="F225" i="4"/>
  <c r="D225" i="4"/>
  <c r="Z225" i="4" s="1"/>
  <c r="BA223" i="4"/>
  <c r="AG223" i="4" s="1"/>
  <c r="BJ222" i="4"/>
  <c r="BI222" i="4"/>
  <c r="BH222" i="4"/>
  <c r="BG222" i="4"/>
  <c r="BF222" i="4"/>
  <c r="BE222" i="4"/>
  <c r="BC222" i="4"/>
  <c r="Z222" i="4"/>
  <c r="AC222" i="4"/>
  <c r="Y222" i="4"/>
  <c r="BJ221" i="4"/>
  <c r="BI221" i="4"/>
  <c r="BH221" i="4"/>
  <c r="BG221" i="4"/>
  <c r="BF221" i="4"/>
  <c r="BE221" i="4"/>
  <c r="BC221" i="4"/>
  <c r="AC221" i="4"/>
  <c r="Y221" i="4"/>
  <c r="F221" i="4"/>
  <c r="D221" i="4"/>
  <c r="Z221" i="4" s="1"/>
  <c r="BJ220" i="4"/>
  <c r="BI220" i="4"/>
  <c r="BH220" i="4"/>
  <c r="BG220" i="4"/>
  <c r="BF220" i="4"/>
  <c r="BE220" i="4"/>
  <c r="BC220" i="4"/>
  <c r="AC220" i="4"/>
  <c r="Y220" i="4"/>
  <c r="G220" i="4"/>
  <c r="F220" i="4"/>
  <c r="H220" i="4" s="1"/>
  <c r="C220" i="4"/>
  <c r="D220" i="4" s="1"/>
  <c r="BJ219" i="4"/>
  <c r="BI219" i="4"/>
  <c r="BH219" i="4"/>
  <c r="BG219" i="4"/>
  <c r="BF219" i="4"/>
  <c r="BE219" i="4"/>
  <c r="BC219" i="4"/>
  <c r="AC219" i="4"/>
  <c r="Y219" i="4"/>
  <c r="G219" i="4"/>
  <c r="F219" i="4"/>
  <c r="H219" i="4" s="1"/>
  <c r="I219" i="4" s="1"/>
  <c r="D219" i="4"/>
  <c r="BJ218" i="4"/>
  <c r="BI218" i="4"/>
  <c r="BH218" i="4"/>
  <c r="BG218" i="4"/>
  <c r="BF218" i="4"/>
  <c r="BE218" i="4"/>
  <c r="BC218" i="4"/>
  <c r="AC218" i="4"/>
  <c r="Y218" i="4"/>
  <c r="F218" i="4"/>
  <c r="D218" i="4"/>
  <c r="BJ217" i="4"/>
  <c r="BI217" i="4"/>
  <c r="BH217" i="4"/>
  <c r="BG217" i="4"/>
  <c r="BF217" i="4"/>
  <c r="BE217" i="4"/>
  <c r="BC217" i="4"/>
  <c r="AC217" i="4"/>
  <c r="Y217" i="4"/>
  <c r="G217" i="4"/>
  <c r="F217" i="4"/>
  <c r="D217" i="4"/>
  <c r="BJ216" i="4"/>
  <c r="BJ223" i="4" s="1"/>
  <c r="BI216" i="4"/>
  <c r="BI223" i="4" s="1"/>
  <c r="BH216" i="4"/>
  <c r="BH223" i="4" s="1"/>
  <c r="BG216" i="4"/>
  <c r="BF216" i="4"/>
  <c r="BE216" i="4"/>
  <c r="BE223" i="4" s="1"/>
  <c r="BC216" i="4"/>
  <c r="BC223" i="4" s="1"/>
  <c r="AC216" i="4"/>
  <c r="Y216" i="4"/>
  <c r="F216" i="4"/>
  <c r="D216" i="4"/>
  <c r="Z216" i="4" s="1"/>
  <c r="BJ213" i="4"/>
  <c r="BI213" i="4"/>
  <c r="BH213" i="4"/>
  <c r="BG213" i="4"/>
  <c r="BF213" i="4"/>
  <c r="BE213" i="4"/>
  <c r="BC213" i="4"/>
  <c r="AC213" i="4"/>
  <c r="Y213" i="4"/>
  <c r="BJ212" i="4"/>
  <c r="BI212" i="4"/>
  <c r="BH212" i="4"/>
  <c r="BG212" i="4"/>
  <c r="BF212" i="4"/>
  <c r="BE212" i="4"/>
  <c r="BC212" i="4"/>
  <c r="AC212" i="4"/>
  <c r="Y212" i="4"/>
  <c r="M212" i="4"/>
  <c r="F212" i="4"/>
  <c r="D212" i="4"/>
  <c r="BJ211" i="4"/>
  <c r="BI211" i="4"/>
  <c r="BH211" i="4"/>
  <c r="BG211" i="4"/>
  <c r="BF211" i="4"/>
  <c r="BE211" i="4"/>
  <c r="BC211" i="4"/>
  <c r="BA211" i="4"/>
  <c r="AG211" i="4" s="1"/>
  <c r="AC211" i="4"/>
  <c r="Y211" i="4"/>
  <c r="G211" i="4"/>
  <c r="F211" i="4"/>
  <c r="H211" i="4" s="1"/>
  <c r="I211" i="4" s="1"/>
  <c r="D211" i="4"/>
  <c r="BJ210" i="4"/>
  <c r="BI210" i="4"/>
  <c r="BH210" i="4"/>
  <c r="BG210" i="4"/>
  <c r="BF210" i="4"/>
  <c r="BE210" i="4"/>
  <c r="BC210" i="4"/>
  <c r="BA210" i="4"/>
  <c r="AG210" i="4" s="1"/>
  <c r="AC210" i="4"/>
  <c r="Y210" i="4"/>
  <c r="F210" i="4"/>
  <c r="H210" i="4" s="1"/>
  <c r="C210" i="4"/>
  <c r="D210" i="4" s="1"/>
  <c r="I210" i="4" s="1"/>
  <c r="BJ209" i="4"/>
  <c r="BI209" i="4"/>
  <c r="BH209" i="4"/>
  <c r="BG209" i="4"/>
  <c r="BF209" i="4"/>
  <c r="BE209" i="4"/>
  <c r="BC209" i="4"/>
  <c r="BA209" i="4"/>
  <c r="AG209" i="4" s="1"/>
  <c r="AC209" i="4"/>
  <c r="Y209" i="4"/>
  <c r="G209" i="4"/>
  <c r="F209" i="4"/>
  <c r="H209" i="4" s="1"/>
  <c r="D209" i="4"/>
  <c r="Z209" i="4" s="1"/>
  <c r="BJ208" i="4"/>
  <c r="BI208" i="4"/>
  <c r="BH208" i="4"/>
  <c r="BG208" i="4"/>
  <c r="BF208" i="4"/>
  <c r="BE208" i="4"/>
  <c r="BC208" i="4"/>
  <c r="AC208" i="4"/>
  <c r="Y208" i="4"/>
  <c r="G208" i="4"/>
  <c r="F208" i="4"/>
  <c r="H208" i="4" s="1"/>
  <c r="I208" i="4" s="1"/>
  <c r="D208" i="4"/>
  <c r="Z208" i="4" s="1"/>
  <c r="BJ207" i="4"/>
  <c r="BJ214" i="4" s="1"/>
  <c r="BI207" i="4"/>
  <c r="BH207" i="4"/>
  <c r="BG207" i="4"/>
  <c r="BF207" i="4"/>
  <c r="BF214" i="4" s="1"/>
  <c r="BE207" i="4"/>
  <c r="BE214" i="4" s="1"/>
  <c r="BC207" i="4"/>
  <c r="BC214" i="4" s="1"/>
  <c r="BA214" i="4"/>
  <c r="AG214" i="4" s="1"/>
  <c r="AC207" i="4"/>
  <c r="Y207" i="4"/>
  <c r="Y214" i="4" s="1"/>
  <c r="F207" i="4"/>
  <c r="D207" i="4"/>
  <c r="Z207" i="4" s="1"/>
  <c r="AA207" i="4" s="1"/>
  <c r="BJ204" i="4"/>
  <c r="BI204" i="4"/>
  <c r="BH204" i="4"/>
  <c r="BG204" i="4"/>
  <c r="BF204" i="4"/>
  <c r="BE204" i="4"/>
  <c r="BC204" i="4"/>
  <c r="AC204" i="4"/>
  <c r="Y204" i="4"/>
  <c r="BJ203" i="4"/>
  <c r="BI203" i="4"/>
  <c r="BH203" i="4"/>
  <c r="BG203" i="4"/>
  <c r="BF203" i="4"/>
  <c r="BE203" i="4"/>
  <c r="BC203" i="4"/>
  <c r="AC203" i="4"/>
  <c r="Y203" i="4"/>
  <c r="G203" i="4"/>
  <c r="F203" i="4"/>
  <c r="H203" i="4" s="1"/>
  <c r="I203" i="4" s="1"/>
  <c r="C203" i="4"/>
  <c r="D203" i="4" s="1"/>
  <c r="Z203" i="4" s="1"/>
  <c r="BJ202" i="4"/>
  <c r="BI202" i="4"/>
  <c r="BH202" i="4"/>
  <c r="BG202" i="4"/>
  <c r="BF202" i="4"/>
  <c r="BE202" i="4"/>
  <c r="BC202" i="4"/>
  <c r="BA202" i="4"/>
  <c r="AG202" i="4" s="1"/>
  <c r="AC202" i="4"/>
  <c r="Y202" i="4"/>
  <c r="F202" i="4"/>
  <c r="D202" i="4"/>
  <c r="Z202" i="4" s="1"/>
  <c r="BJ201" i="4"/>
  <c r="BI201" i="4"/>
  <c r="BH201" i="4"/>
  <c r="BG201" i="4"/>
  <c r="BF201" i="4"/>
  <c r="BE201" i="4"/>
  <c r="BC201" i="4"/>
  <c r="BA201" i="4"/>
  <c r="AG201" i="4" s="1"/>
  <c r="AC201" i="4"/>
  <c r="Y201" i="4"/>
  <c r="F201" i="4"/>
  <c r="D201" i="4"/>
  <c r="BJ200" i="4"/>
  <c r="BI200" i="4"/>
  <c r="BH200" i="4"/>
  <c r="BG200" i="4"/>
  <c r="BF200" i="4"/>
  <c r="BE200" i="4"/>
  <c r="BC200" i="4"/>
  <c r="AC200" i="4"/>
  <c r="Y200" i="4"/>
  <c r="G200" i="4"/>
  <c r="F200" i="4"/>
  <c r="H200" i="4" s="1"/>
  <c r="I200" i="4" s="1"/>
  <c r="D200" i="4"/>
  <c r="BJ199" i="4"/>
  <c r="BI199" i="4"/>
  <c r="BH199" i="4"/>
  <c r="BH205" i="4" s="1"/>
  <c r="BG199" i="4"/>
  <c r="BF199" i="4"/>
  <c r="BE199" i="4"/>
  <c r="BC199" i="4"/>
  <c r="AC199" i="4"/>
  <c r="AC205" i="4" s="1"/>
  <c r="Y199" i="4"/>
  <c r="F199" i="4"/>
  <c r="D199" i="4"/>
  <c r="BJ196" i="4"/>
  <c r="BI196" i="4"/>
  <c r="BH196" i="4"/>
  <c r="BG196" i="4"/>
  <c r="BF196" i="4"/>
  <c r="BE196" i="4"/>
  <c r="BC196" i="4"/>
  <c r="AC196" i="4"/>
  <c r="Y196" i="4"/>
  <c r="BJ195" i="4"/>
  <c r="BI195" i="4"/>
  <c r="BH195" i="4"/>
  <c r="BG195" i="4"/>
  <c r="BF195" i="4"/>
  <c r="BE195" i="4"/>
  <c r="BC195" i="4"/>
  <c r="Z196" i="4"/>
  <c r="AA196" i="4" s="1"/>
  <c r="AB196" i="4" s="1"/>
  <c r="AC195" i="4"/>
  <c r="Y195" i="4"/>
  <c r="G195" i="4"/>
  <c r="F195" i="4"/>
  <c r="H195" i="4" s="1"/>
  <c r="I195" i="4" s="1"/>
  <c r="C195" i="4"/>
  <c r="D195" i="4" s="1"/>
  <c r="BJ194" i="4"/>
  <c r="BI194" i="4"/>
  <c r="BH194" i="4"/>
  <c r="BG194" i="4"/>
  <c r="BF194" i="4"/>
  <c r="BE194" i="4"/>
  <c r="BC194" i="4"/>
  <c r="BA194" i="4"/>
  <c r="AG194" i="4" s="1"/>
  <c r="AC194" i="4"/>
  <c r="Y194" i="4"/>
  <c r="F194" i="4"/>
  <c r="D194" i="4"/>
  <c r="BJ193" i="4"/>
  <c r="BI193" i="4"/>
  <c r="BH193" i="4"/>
  <c r="BG193" i="4"/>
  <c r="BF193" i="4"/>
  <c r="BE193" i="4"/>
  <c r="BC193" i="4"/>
  <c r="BA193" i="4"/>
  <c r="AG193" i="4" s="1"/>
  <c r="Z193" i="4" s="1"/>
  <c r="AC193" i="4"/>
  <c r="Y193" i="4"/>
  <c r="G193" i="4"/>
  <c r="H193" i="4" s="1"/>
  <c r="I193" i="4" s="1"/>
  <c r="F193" i="4"/>
  <c r="D193" i="4"/>
  <c r="BJ192" i="4"/>
  <c r="BI192" i="4"/>
  <c r="BH192" i="4"/>
  <c r="BG192" i="4"/>
  <c r="BF192" i="4"/>
  <c r="BE192" i="4"/>
  <c r="BC192" i="4"/>
  <c r="BA192" i="4"/>
  <c r="AG192" i="4" s="1"/>
  <c r="AC192" i="4"/>
  <c r="Y192" i="4"/>
  <c r="F192" i="4"/>
  <c r="D192" i="4"/>
  <c r="BJ191" i="4"/>
  <c r="BI191" i="4"/>
  <c r="BH191" i="4"/>
  <c r="BG191" i="4"/>
  <c r="BF191" i="4"/>
  <c r="BE191" i="4"/>
  <c r="BC191" i="4"/>
  <c r="AC191" i="4"/>
  <c r="Y191" i="4"/>
  <c r="G191" i="4"/>
  <c r="F191" i="4"/>
  <c r="H191" i="4" s="1"/>
  <c r="I191" i="4" s="1"/>
  <c r="D191" i="4"/>
  <c r="BJ190" i="4"/>
  <c r="BJ197" i="4" s="1"/>
  <c r="BI190" i="4"/>
  <c r="BH190" i="4"/>
  <c r="BH197" i="4" s="1"/>
  <c r="BG190" i="4"/>
  <c r="BF190" i="4"/>
  <c r="BE190" i="4"/>
  <c r="BC190" i="4"/>
  <c r="BA197" i="4"/>
  <c r="AG197" i="4" s="1"/>
  <c r="AC190" i="4"/>
  <c r="Y190" i="4"/>
  <c r="Y197" i="4" s="1"/>
  <c r="F190" i="4"/>
  <c r="D190" i="4"/>
  <c r="BJ187" i="4"/>
  <c r="BI187" i="4"/>
  <c r="BH187" i="4"/>
  <c r="BG187" i="4"/>
  <c r="BF187" i="4"/>
  <c r="BE187" i="4"/>
  <c r="BC187" i="4"/>
  <c r="AC187" i="4"/>
  <c r="Y187" i="4"/>
  <c r="BJ186" i="4"/>
  <c r="BI186" i="4"/>
  <c r="BH186" i="4"/>
  <c r="BG186" i="4"/>
  <c r="BF186" i="4"/>
  <c r="BE186" i="4"/>
  <c r="BC186" i="4"/>
  <c r="AC186" i="4"/>
  <c r="Y186" i="4"/>
  <c r="C186" i="4"/>
  <c r="D186" i="4" s="1"/>
  <c r="Z186" i="4" s="1"/>
  <c r="AA186" i="4" s="1"/>
  <c r="AB186" i="4" s="1"/>
  <c r="BJ185" i="4"/>
  <c r="BI185" i="4"/>
  <c r="BH185" i="4"/>
  <c r="BG185" i="4"/>
  <c r="BF185" i="4"/>
  <c r="BE185" i="4"/>
  <c r="BC185" i="4"/>
  <c r="BA185" i="4"/>
  <c r="AG185" i="4" s="1"/>
  <c r="Z185" i="4" s="1"/>
  <c r="AA185" i="4" s="1"/>
  <c r="AB185" i="4" s="1"/>
  <c r="AC185" i="4"/>
  <c r="Y185" i="4"/>
  <c r="D185" i="4"/>
  <c r="BJ184" i="4"/>
  <c r="BI184" i="4"/>
  <c r="BH184" i="4"/>
  <c r="BG184" i="4"/>
  <c r="BF184" i="4"/>
  <c r="BE184" i="4"/>
  <c r="BC184" i="4"/>
  <c r="BA184" i="4"/>
  <c r="AG184" i="4" s="1"/>
  <c r="AC184" i="4"/>
  <c r="Y184" i="4"/>
  <c r="D184" i="4"/>
  <c r="Z184" i="4" s="1"/>
  <c r="BJ183" i="4"/>
  <c r="BI183" i="4"/>
  <c r="BH183" i="4"/>
  <c r="BG183" i="4"/>
  <c r="BF183" i="4"/>
  <c r="BE183" i="4"/>
  <c r="BC183" i="4"/>
  <c r="BA183" i="4"/>
  <c r="AG183" i="4" s="1"/>
  <c r="AC183" i="4"/>
  <c r="Y183" i="4"/>
  <c r="D183" i="4"/>
  <c r="BJ182" i="4"/>
  <c r="BI182" i="4"/>
  <c r="BH182" i="4"/>
  <c r="BG182" i="4"/>
  <c r="BF182" i="4"/>
  <c r="BE182" i="4"/>
  <c r="BC182" i="4"/>
  <c r="AC182" i="4"/>
  <c r="Y182" i="4"/>
  <c r="D182" i="4"/>
  <c r="BJ181" i="4"/>
  <c r="BI181" i="4"/>
  <c r="BH181" i="4"/>
  <c r="BG181" i="4"/>
  <c r="BF181" i="4"/>
  <c r="BE181" i="4"/>
  <c r="BE188" i="4" s="1"/>
  <c r="BC181" i="4"/>
  <c r="AC181" i="4"/>
  <c r="Y181" i="4"/>
  <c r="Y188" i="4" s="1"/>
  <c r="D181" i="4"/>
  <c r="Z181" i="4" s="1"/>
  <c r="BJ178" i="4"/>
  <c r="BI178" i="4"/>
  <c r="BH178" i="4"/>
  <c r="BG178" i="4"/>
  <c r="BF178" i="4"/>
  <c r="BE178" i="4"/>
  <c r="BC178" i="4"/>
  <c r="Z178" i="4"/>
  <c r="AC178" i="4"/>
  <c r="Y178" i="4"/>
  <c r="BJ177" i="4"/>
  <c r="BI177" i="4"/>
  <c r="BH177" i="4"/>
  <c r="BG177" i="4"/>
  <c r="BF177" i="4"/>
  <c r="BE177" i="4"/>
  <c r="BC177" i="4"/>
  <c r="AC177" i="4"/>
  <c r="Y177" i="4"/>
  <c r="C177" i="4"/>
  <c r="D177" i="4" s="1"/>
  <c r="BJ176" i="4"/>
  <c r="BI176" i="4"/>
  <c r="BH176" i="4"/>
  <c r="BG176" i="4"/>
  <c r="BF176" i="4"/>
  <c r="BE176" i="4"/>
  <c r="BC176" i="4"/>
  <c r="BA176" i="4"/>
  <c r="AG176" i="4" s="1"/>
  <c r="AC176" i="4"/>
  <c r="Y176" i="4"/>
  <c r="D176" i="4"/>
  <c r="BJ175" i="4"/>
  <c r="BI175" i="4"/>
  <c r="BH175" i="4"/>
  <c r="BG175" i="4"/>
  <c r="BF175" i="4"/>
  <c r="BE175" i="4"/>
  <c r="BC175" i="4"/>
  <c r="BA175" i="4"/>
  <c r="AG175" i="4" s="1"/>
  <c r="AC175" i="4"/>
  <c r="Y175" i="4"/>
  <c r="D175" i="4"/>
  <c r="Z175" i="4" s="1"/>
  <c r="AA175" i="4" s="1"/>
  <c r="AB175" i="4" s="1"/>
  <c r="BJ174" i="4"/>
  <c r="BI174" i="4"/>
  <c r="BH174" i="4"/>
  <c r="BG174" i="4"/>
  <c r="BF174" i="4"/>
  <c r="BE174" i="4"/>
  <c r="BC174" i="4"/>
  <c r="BA174" i="4"/>
  <c r="AG174" i="4" s="1"/>
  <c r="AC174" i="4"/>
  <c r="Y174" i="4"/>
  <c r="D174" i="4"/>
  <c r="BJ173" i="4"/>
  <c r="BI173" i="4"/>
  <c r="BH173" i="4"/>
  <c r="BG173" i="4"/>
  <c r="BF173" i="4"/>
  <c r="BE173" i="4"/>
  <c r="BC173" i="4"/>
  <c r="AC173" i="4"/>
  <c r="Y173" i="4"/>
  <c r="D173" i="4"/>
  <c r="BJ172" i="4"/>
  <c r="BJ179" i="4" s="1"/>
  <c r="BI172" i="4"/>
  <c r="BH172" i="4"/>
  <c r="BG172" i="4"/>
  <c r="BG179" i="4" s="1"/>
  <c r="BF172" i="4"/>
  <c r="BF179" i="4" s="1"/>
  <c r="BE172" i="4"/>
  <c r="BC172" i="4"/>
  <c r="BC179" i="4" s="1"/>
  <c r="BA179" i="4"/>
  <c r="AG179" i="4" s="1"/>
  <c r="AC172" i="4"/>
  <c r="Y172" i="4"/>
  <c r="D172" i="4"/>
  <c r="BA170" i="4"/>
  <c r="AG170" i="4" s="1"/>
  <c r="BJ169" i="4"/>
  <c r="BI169" i="4"/>
  <c r="BH169" i="4"/>
  <c r="BG169" i="4"/>
  <c r="BF169" i="4"/>
  <c r="BE169" i="4"/>
  <c r="BC169" i="4"/>
  <c r="Z169" i="4"/>
  <c r="AC169" i="4"/>
  <c r="Y169" i="4"/>
  <c r="BJ168" i="4"/>
  <c r="BI168" i="4"/>
  <c r="BH168" i="4"/>
  <c r="BG168" i="4"/>
  <c r="BF168" i="4"/>
  <c r="BE168" i="4"/>
  <c r="BC168" i="4"/>
  <c r="AC168" i="4"/>
  <c r="Y168" i="4"/>
  <c r="D168" i="4"/>
  <c r="BJ167" i="4"/>
  <c r="BI167" i="4"/>
  <c r="BH167" i="4"/>
  <c r="BG167" i="4"/>
  <c r="BF167" i="4"/>
  <c r="BE167" i="4"/>
  <c r="BC167" i="4"/>
  <c r="AC167" i="4"/>
  <c r="Y167" i="4"/>
  <c r="D167" i="4"/>
  <c r="Z167" i="4" s="1"/>
  <c r="AA167" i="4" s="1"/>
  <c r="BJ166" i="4"/>
  <c r="BI166" i="4"/>
  <c r="BH166" i="4"/>
  <c r="BG166" i="4"/>
  <c r="BF166" i="4"/>
  <c r="BE166" i="4"/>
  <c r="BC166" i="4"/>
  <c r="AC166" i="4"/>
  <c r="Y166" i="4"/>
  <c r="D166" i="4"/>
  <c r="Z166" i="4" s="1"/>
  <c r="BJ165" i="4"/>
  <c r="BI165" i="4"/>
  <c r="BH165" i="4"/>
  <c r="BG165" i="4"/>
  <c r="BF165" i="4"/>
  <c r="BE165" i="4"/>
  <c r="BE170" i="4" s="1"/>
  <c r="BC165" i="4"/>
  <c r="AC165" i="4"/>
  <c r="AC170" i="4" s="1"/>
  <c r="Y165" i="4"/>
  <c r="Y170" i="4" s="1"/>
  <c r="D165" i="4"/>
  <c r="Z165" i="4" s="1"/>
  <c r="BA163" i="4"/>
  <c r="AG163" i="4" s="1"/>
  <c r="BJ162" i="4"/>
  <c r="BI162" i="4"/>
  <c r="BH162" i="4"/>
  <c r="BG162" i="4"/>
  <c r="BF162" i="4"/>
  <c r="BE162" i="4"/>
  <c r="BC162" i="4"/>
  <c r="AC162" i="4"/>
  <c r="Y162" i="4"/>
  <c r="BJ161" i="4"/>
  <c r="BI161" i="4"/>
  <c r="BH161" i="4"/>
  <c r="BG161" i="4"/>
  <c r="BF161" i="4"/>
  <c r="BE161" i="4"/>
  <c r="BC161" i="4"/>
  <c r="AC161" i="4"/>
  <c r="Y161" i="4"/>
  <c r="D161" i="4"/>
  <c r="Z161" i="4" s="1"/>
  <c r="AA161" i="4" s="1"/>
  <c r="AB161" i="4" s="1"/>
  <c r="BJ160" i="4"/>
  <c r="BI160" i="4"/>
  <c r="BH160" i="4"/>
  <c r="BG160" i="4"/>
  <c r="BF160" i="4"/>
  <c r="BE160" i="4"/>
  <c r="BC160" i="4"/>
  <c r="AC160" i="4"/>
  <c r="Y160" i="4"/>
  <c r="C160" i="4"/>
  <c r="D160" i="4" s="1"/>
  <c r="BJ159" i="4"/>
  <c r="BI159" i="4"/>
  <c r="BH159" i="4"/>
  <c r="BG159" i="4"/>
  <c r="BF159" i="4"/>
  <c r="BE159" i="4"/>
  <c r="BC159" i="4"/>
  <c r="AC159" i="4"/>
  <c r="Y159" i="4"/>
  <c r="D159" i="4"/>
  <c r="BJ158" i="4"/>
  <c r="BI158" i="4"/>
  <c r="BI163" i="4" s="1"/>
  <c r="BH158" i="4"/>
  <c r="BG158" i="4"/>
  <c r="BG163" i="4" s="1"/>
  <c r="BF158" i="4"/>
  <c r="BE158" i="4"/>
  <c r="BE163" i="4" s="1"/>
  <c r="BC158" i="4"/>
  <c r="AC158" i="4"/>
  <c r="AC163" i="4" s="1"/>
  <c r="Y158" i="4"/>
  <c r="D158" i="4"/>
  <c r="BJ153" i="4"/>
  <c r="BI153" i="4"/>
  <c r="BH153" i="4"/>
  <c r="BG153" i="4"/>
  <c r="BF153" i="4"/>
  <c r="BE153" i="4"/>
  <c r="BC153" i="4"/>
  <c r="AC153" i="4"/>
  <c r="Y153" i="4"/>
  <c r="BJ152" i="4"/>
  <c r="BI152" i="4"/>
  <c r="BH152" i="4"/>
  <c r="BG152" i="4"/>
  <c r="BF152" i="4"/>
  <c r="BE152" i="4"/>
  <c r="BC152" i="4"/>
  <c r="AC152" i="4"/>
  <c r="Y152" i="4"/>
  <c r="D152" i="4"/>
  <c r="Z152" i="4" s="1"/>
  <c r="AA152" i="4" s="1"/>
  <c r="AB152" i="4" s="1"/>
  <c r="BJ151" i="4"/>
  <c r="BI151" i="4"/>
  <c r="BH151" i="4"/>
  <c r="BG151" i="4"/>
  <c r="BF151" i="4"/>
  <c r="BE151" i="4"/>
  <c r="BC151" i="4"/>
  <c r="BA151" i="4"/>
  <c r="AG151" i="4" s="1"/>
  <c r="AC151" i="4"/>
  <c r="Y151" i="4"/>
  <c r="D151" i="4"/>
  <c r="Z151" i="4" s="1"/>
  <c r="BJ150" i="4"/>
  <c r="BI150" i="4"/>
  <c r="BH150" i="4"/>
  <c r="BG150" i="4"/>
  <c r="BF150" i="4"/>
  <c r="BE150" i="4"/>
  <c r="BC150" i="4"/>
  <c r="BA150" i="4"/>
  <c r="AG150" i="4" s="1"/>
  <c r="AC150" i="4"/>
  <c r="Y150" i="4"/>
  <c r="C150" i="4"/>
  <c r="D150" i="4" s="1"/>
  <c r="BJ149" i="4"/>
  <c r="BI149" i="4"/>
  <c r="BH149" i="4"/>
  <c r="BG149" i="4"/>
  <c r="BF149" i="4"/>
  <c r="BE149" i="4"/>
  <c r="BC149" i="4"/>
  <c r="AC149" i="4"/>
  <c r="Y149" i="4"/>
  <c r="D149" i="4"/>
  <c r="BJ148" i="4"/>
  <c r="BI148" i="4"/>
  <c r="BH148" i="4"/>
  <c r="BH154" i="4" s="1"/>
  <c r="BG148" i="4"/>
  <c r="BG154" i="4" s="1"/>
  <c r="BF148" i="4"/>
  <c r="BE148" i="4"/>
  <c r="BC148" i="4"/>
  <c r="BC154" i="4" s="1"/>
  <c r="BA154" i="4"/>
  <c r="AG154" i="4" s="1"/>
  <c r="AC148" i="4"/>
  <c r="Y148" i="4"/>
  <c r="Y154" i="4" s="1"/>
  <c r="D148" i="4"/>
  <c r="Z148" i="4" s="1"/>
  <c r="BJ145" i="4"/>
  <c r="BI145" i="4"/>
  <c r="BH145" i="4"/>
  <c r="BG145" i="4"/>
  <c r="BF145" i="4"/>
  <c r="BE145" i="4"/>
  <c r="BC145" i="4"/>
  <c r="Z145" i="4"/>
  <c r="AC145" i="4"/>
  <c r="Y145" i="4"/>
  <c r="BJ144" i="4"/>
  <c r="BI144" i="4"/>
  <c r="BH144" i="4"/>
  <c r="BG144" i="4"/>
  <c r="BF144" i="4"/>
  <c r="BE144" i="4"/>
  <c r="BC144" i="4"/>
  <c r="AC144" i="4"/>
  <c r="Y144" i="4"/>
  <c r="D144" i="4"/>
  <c r="BJ143" i="4"/>
  <c r="BI143" i="4"/>
  <c r="BH143" i="4"/>
  <c r="BG143" i="4"/>
  <c r="BF143" i="4"/>
  <c r="BE143" i="4"/>
  <c r="BC143" i="4"/>
  <c r="AC143" i="4"/>
  <c r="Y143" i="4"/>
  <c r="D143" i="4"/>
  <c r="BJ142" i="4"/>
  <c r="BI142" i="4"/>
  <c r="BH142" i="4"/>
  <c r="BG142" i="4"/>
  <c r="BF142" i="4"/>
  <c r="BE142" i="4"/>
  <c r="BC142" i="4"/>
  <c r="AC142" i="4"/>
  <c r="Y142" i="4"/>
  <c r="D142" i="4"/>
  <c r="Z142" i="4" s="1"/>
  <c r="AA142" i="4" s="1"/>
  <c r="AB142" i="4" s="1"/>
  <c r="BJ141" i="4"/>
  <c r="BI141" i="4"/>
  <c r="BH141" i="4"/>
  <c r="BG141" i="4"/>
  <c r="BF141" i="4"/>
  <c r="BE141" i="4"/>
  <c r="BC141" i="4"/>
  <c r="AC141" i="4"/>
  <c r="Y141" i="4"/>
  <c r="C141" i="4"/>
  <c r="D141" i="4" s="1"/>
  <c r="BJ140" i="4"/>
  <c r="BI140" i="4"/>
  <c r="BH140" i="4"/>
  <c r="BG140" i="4"/>
  <c r="BF140" i="4"/>
  <c r="BE140" i="4"/>
  <c r="BC140" i="4"/>
  <c r="AC140" i="4"/>
  <c r="Y140" i="4"/>
  <c r="D140" i="4"/>
  <c r="BJ139" i="4"/>
  <c r="BI139" i="4"/>
  <c r="BH139" i="4"/>
  <c r="BG139" i="4"/>
  <c r="BF139" i="4"/>
  <c r="BE139" i="4"/>
  <c r="BC139" i="4"/>
  <c r="AC139" i="4"/>
  <c r="Y139" i="4"/>
  <c r="D139" i="4"/>
  <c r="Z139" i="4" s="1"/>
  <c r="BJ136" i="4"/>
  <c r="BI136" i="4"/>
  <c r="BH136" i="4"/>
  <c r="BG136" i="4"/>
  <c r="BF136" i="4"/>
  <c r="BE136" i="4"/>
  <c r="BC136" i="4"/>
  <c r="AC136" i="4"/>
  <c r="Y136" i="4"/>
  <c r="BJ135" i="4"/>
  <c r="BI135" i="4"/>
  <c r="BH135" i="4"/>
  <c r="BG135" i="4"/>
  <c r="BF135" i="4"/>
  <c r="BE135" i="4"/>
  <c r="BC135" i="4"/>
  <c r="Z136" i="4"/>
  <c r="AA136" i="4" s="1"/>
  <c r="AB136" i="4" s="1"/>
  <c r="AC135" i="4"/>
  <c r="Y135" i="4"/>
  <c r="D135" i="4"/>
  <c r="BJ134" i="4"/>
  <c r="BI134" i="4"/>
  <c r="BH134" i="4"/>
  <c r="BG134" i="4"/>
  <c r="BF134" i="4"/>
  <c r="BE134" i="4"/>
  <c r="BC134" i="4"/>
  <c r="AC134" i="4"/>
  <c r="Y134" i="4"/>
  <c r="D134" i="4"/>
  <c r="BJ133" i="4"/>
  <c r="BI133" i="4"/>
  <c r="BH133" i="4"/>
  <c r="BG133" i="4"/>
  <c r="BF133" i="4"/>
  <c r="BE133" i="4"/>
  <c r="BC133" i="4"/>
  <c r="AC133" i="4"/>
  <c r="Y133" i="4"/>
  <c r="C133" i="4"/>
  <c r="D133" i="4" s="1"/>
  <c r="BJ132" i="4"/>
  <c r="BI132" i="4"/>
  <c r="BH132" i="4"/>
  <c r="BG132" i="4"/>
  <c r="BF132" i="4"/>
  <c r="BE132" i="4"/>
  <c r="BC132" i="4"/>
  <c r="BA132" i="4"/>
  <c r="AG132" i="4" s="1"/>
  <c r="AC132" i="4"/>
  <c r="Y132" i="4"/>
  <c r="D132" i="4"/>
  <c r="BJ131" i="4"/>
  <c r="BI131" i="4"/>
  <c r="BH131" i="4"/>
  <c r="BG131" i="4"/>
  <c r="BF131" i="4"/>
  <c r="BE131" i="4"/>
  <c r="BC131" i="4"/>
  <c r="BA131" i="4"/>
  <c r="AG131" i="4" s="1"/>
  <c r="AC131" i="4"/>
  <c r="Y131" i="4"/>
  <c r="D131" i="4"/>
  <c r="BJ130" i="4"/>
  <c r="BI130" i="4"/>
  <c r="BH130" i="4"/>
  <c r="BG130" i="4"/>
  <c r="BF130" i="4"/>
  <c r="BE130" i="4"/>
  <c r="BC130" i="4"/>
  <c r="BA130" i="4"/>
  <c r="AG130" i="4" s="1"/>
  <c r="Z130" i="4" s="1"/>
  <c r="AC130" i="4"/>
  <c r="Y130" i="4"/>
  <c r="BJ129" i="4"/>
  <c r="BI129" i="4"/>
  <c r="BH129" i="4"/>
  <c r="BG129" i="4"/>
  <c r="BF129" i="4"/>
  <c r="BE129" i="4"/>
  <c r="BC129" i="4"/>
  <c r="AC129" i="4"/>
  <c r="Y129" i="4"/>
  <c r="D129" i="4"/>
  <c r="BJ128" i="4"/>
  <c r="BI128" i="4"/>
  <c r="BH128" i="4"/>
  <c r="BG128" i="4"/>
  <c r="BG137" i="4" s="1"/>
  <c r="BF128" i="4"/>
  <c r="BE128" i="4"/>
  <c r="BC128" i="4"/>
  <c r="AC128" i="4"/>
  <c r="Y128" i="4"/>
  <c r="D128" i="4"/>
  <c r="BJ125" i="4"/>
  <c r="BI125" i="4"/>
  <c r="BH125" i="4"/>
  <c r="BG125" i="4"/>
  <c r="BF125" i="4"/>
  <c r="BE125" i="4"/>
  <c r="BC125" i="4"/>
  <c r="AC125" i="4"/>
  <c r="Y125" i="4"/>
  <c r="BJ124" i="4"/>
  <c r="BI124" i="4"/>
  <c r="BH124" i="4"/>
  <c r="BG124" i="4"/>
  <c r="BF124" i="4"/>
  <c r="BE124" i="4"/>
  <c r="BC124" i="4"/>
  <c r="AC124" i="4"/>
  <c r="Y124" i="4"/>
  <c r="C124" i="4"/>
  <c r="D124" i="4" s="1"/>
  <c r="BJ123" i="4"/>
  <c r="BI123" i="4"/>
  <c r="BH123" i="4"/>
  <c r="BG123" i="4"/>
  <c r="BF123" i="4"/>
  <c r="BE123" i="4"/>
  <c r="BC123" i="4"/>
  <c r="AC123" i="4"/>
  <c r="Y123" i="4"/>
  <c r="D123" i="4"/>
  <c r="BJ122" i="4"/>
  <c r="BI122" i="4"/>
  <c r="BH122" i="4"/>
  <c r="BG122" i="4"/>
  <c r="BF122" i="4"/>
  <c r="BE122" i="4"/>
  <c r="BC122" i="4"/>
  <c r="AC122" i="4"/>
  <c r="Y122" i="4"/>
  <c r="D122" i="4"/>
  <c r="Z122" i="4" s="1"/>
  <c r="AA122" i="4" s="1"/>
  <c r="AB122" i="4" s="1"/>
  <c r="BJ121" i="4"/>
  <c r="BI121" i="4"/>
  <c r="BH121" i="4"/>
  <c r="BG121" i="4"/>
  <c r="BF121" i="4"/>
  <c r="BE121" i="4"/>
  <c r="BC121" i="4"/>
  <c r="AC121" i="4"/>
  <c r="Y121" i="4"/>
  <c r="D121" i="4"/>
  <c r="BJ120" i="4"/>
  <c r="BI120" i="4"/>
  <c r="BH120" i="4"/>
  <c r="BG120" i="4"/>
  <c r="BF120" i="4"/>
  <c r="BE120" i="4"/>
  <c r="BC120" i="4"/>
  <c r="AC120" i="4"/>
  <c r="Y120" i="4"/>
  <c r="D120" i="4"/>
  <c r="BJ119" i="4"/>
  <c r="BI119" i="4"/>
  <c r="BH119" i="4"/>
  <c r="BG119" i="4"/>
  <c r="BF119" i="4"/>
  <c r="BE119" i="4"/>
  <c r="BC119" i="4"/>
  <c r="AC119" i="4"/>
  <c r="Y119" i="4"/>
  <c r="BJ118" i="4"/>
  <c r="BI118" i="4"/>
  <c r="BH118" i="4"/>
  <c r="BG118" i="4"/>
  <c r="BF118" i="4"/>
  <c r="BE118" i="4"/>
  <c r="BC118" i="4"/>
  <c r="AC118" i="4"/>
  <c r="Y118" i="4"/>
  <c r="D118" i="4"/>
  <c r="BJ117" i="4"/>
  <c r="BJ126" i="4" s="1"/>
  <c r="BI117" i="4"/>
  <c r="BH117" i="4"/>
  <c r="BG117" i="4"/>
  <c r="BG126" i="4" s="1"/>
  <c r="BF117" i="4"/>
  <c r="BE117" i="4"/>
  <c r="BE126" i="4" s="1"/>
  <c r="BC117" i="4"/>
  <c r="AC117" i="4"/>
  <c r="AC126" i="4" s="1"/>
  <c r="Y117" i="4"/>
  <c r="Y126" i="4" s="1"/>
  <c r="D117" i="4"/>
  <c r="BJ114" i="4"/>
  <c r="BI114" i="4"/>
  <c r="BH114" i="4"/>
  <c r="BG114" i="4"/>
  <c r="BF114" i="4"/>
  <c r="BE114" i="4"/>
  <c r="BC114" i="4"/>
  <c r="AC114" i="4"/>
  <c r="Y114" i="4"/>
  <c r="BJ113" i="4"/>
  <c r="BI113" i="4"/>
  <c r="BH113" i="4"/>
  <c r="BG113" i="4"/>
  <c r="BF113" i="4"/>
  <c r="BE113" i="4"/>
  <c r="BC113" i="4"/>
  <c r="AC113" i="4"/>
  <c r="Y113" i="4"/>
  <c r="D113" i="4"/>
  <c r="BJ112" i="4"/>
  <c r="BI112" i="4"/>
  <c r="BH112" i="4"/>
  <c r="BG112" i="4"/>
  <c r="BF112" i="4"/>
  <c r="BE112" i="4"/>
  <c r="BC112" i="4"/>
  <c r="BA112" i="4"/>
  <c r="AG112" i="4" s="1"/>
  <c r="AC112" i="4"/>
  <c r="Y112" i="4"/>
  <c r="D112" i="4"/>
  <c r="BJ111" i="4"/>
  <c r="BI111" i="4"/>
  <c r="BH111" i="4"/>
  <c r="BG111" i="4"/>
  <c r="BF111" i="4"/>
  <c r="BE111" i="4"/>
  <c r="BC111" i="4"/>
  <c r="BA111" i="4"/>
  <c r="AG111" i="4" s="1"/>
  <c r="AC111" i="4"/>
  <c r="Y111" i="4"/>
  <c r="D111" i="4"/>
  <c r="BJ110" i="4"/>
  <c r="BI110" i="4"/>
  <c r="BH110" i="4"/>
  <c r="BG110" i="4"/>
  <c r="BF110" i="4"/>
  <c r="BE110" i="4"/>
  <c r="BC110" i="4"/>
  <c r="AC110" i="4"/>
  <c r="Y110" i="4"/>
  <c r="D110" i="4"/>
  <c r="BJ109" i="4"/>
  <c r="BI109" i="4"/>
  <c r="BH109" i="4"/>
  <c r="BH115" i="4" s="1"/>
  <c r="BG109" i="4"/>
  <c r="BG115" i="4" s="1"/>
  <c r="BF109" i="4"/>
  <c r="BE109" i="4"/>
  <c r="BE115" i="4" s="1"/>
  <c r="BC109" i="4"/>
  <c r="BC115" i="4" s="1"/>
  <c r="AC109" i="4"/>
  <c r="Y109" i="4"/>
  <c r="Y115" i="4" s="1"/>
  <c r="D109" i="4"/>
  <c r="Z109" i="4" s="1"/>
  <c r="BJ106" i="4"/>
  <c r="BI106" i="4"/>
  <c r="BH106" i="4"/>
  <c r="BG106" i="4"/>
  <c r="BF106" i="4"/>
  <c r="BE106" i="4"/>
  <c r="BC106" i="4"/>
  <c r="AC106" i="4"/>
  <c r="Y106" i="4"/>
  <c r="BJ105" i="4"/>
  <c r="BI105" i="4"/>
  <c r="BH105" i="4"/>
  <c r="BG105" i="4"/>
  <c r="BF105" i="4"/>
  <c r="BE105" i="4"/>
  <c r="BC105" i="4"/>
  <c r="AC105" i="4"/>
  <c r="Y105" i="4"/>
  <c r="G105" i="4"/>
  <c r="F105" i="4"/>
  <c r="H105" i="4" s="1"/>
  <c r="I105" i="4" s="1"/>
  <c r="D105" i="4"/>
  <c r="Z105" i="4" s="1"/>
  <c r="BJ104" i="4"/>
  <c r="BI104" i="4"/>
  <c r="BH104" i="4"/>
  <c r="BG104" i="4"/>
  <c r="BF104" i="4"/>
  <c r="BE104" i="4"/>
  <c r="BC104" i="4"/>
  <c r="AC104" i="4"/>
  <c r="Y104" i="4"/>
  <c r="AA104" i="4" s="1"/>
  <c r="AB104" i="4" s="1"/>
  <c r="F104" i="4"/>
  <c r="D104" i="4"/>
  <c r="Z104" i="4" s="1"/>
  <c r="BJ103" i="4"/>
  <c r="BI103" i="4"/>
  <c r="BH103" i="4"/>
  <c r="BG103" i="4"/>
  <c r="BF103" i="4"/>
  <c r="BE103" i="4"/>
  <c r="BC103" i="4"/>
  <c r="AC103" i="4"/>
  <c r="Y103" i="4"/>
  <c r="G103" i="4"/>
  <c r="F103" i="4"/>
  <c r="H103" i="4" s="1"/>
  <c r="I103" i="4" s="1"/>
  <c r="D103" i="4"/>
  <c r="BJ102" i="4"/>
  <c r="BI102" i="4"/>
  <c r="BH102" i="4"/>
  <c r="BG102" i="4"/>
  <c r="BF102" i="4"/>
  <c r="BE102" i="4"/>
  <c r="BC102" i="4"/>
  <c r="Z103" i="4"/>
  <c r="AA103" i="4" s="1"/>
  <c r="AB103" i="4" s="1"/>
  <c r="AC102" i="4"/>
  <c r="Y102" i="4"/>
  <c r="G102" i="4"/>
  <c r="F102" i="4"/>
  <c r="H102" i="4" s="1"/>
  <c r="I102" i="4" s="1"/>
  <c r="D102" i="4"/>
  <c r="BJ101" i="4"/>
  <c r="BJ107" i="4" s="1"/>
  <c r="BI101" i="4"/>
  <c r="BI107" i="4" s="1"/>
  <c r="BH101" i="4"/>
  <c r="BH107" i="4" s="1"/>
  <c r="BG101" i="4"/>
  <c r="BG107" i="4" s="1"/>
  <c r="BF101" i="4"/>
  <c r="BE101" i="4"/>
  <c r="BC101" i="4"/>
  <c r="BA107" i="4"/>
  <c r="AG107" i="4" s="1"/>
  <c r="AC101" i="4"/>
  <c r="Y101" i="4"/>
  <c r="G101" i="4"/>
  <c r="F101" i="4"/>
  <c r="H101" i="4" s="1"/>
  <c r="I101" i="4" s="1"/>
  <c r="D101" i="4"/>
  <c r="Z101" i="4" s="1"/>
  <c r="BJ98" i="4"/>
  <c r="BI98" i="4"/>
  <c r="BH98" i="4"/>
  <c r="BG98" i="4"/>
  <c r="BF98" i="4"/>
  <c r="BE98" i="4"/>
  <c r="BC98" i="4"/>
  <c r="Z98" i="4"/>
  <c r="AC98" i="4"/>
  <c r="Y98" i="4"/>
  <c r="BJ97" i="4"/>
  <c r="BI97" i="4"/>
  <c r="BH97" i="4"/>
  <c r="BG97" i="4"/>
  <c r="BF97" i="4"/>
  <c r="BE97" i="4"/>
  <c r="BC97" i="4"/>
  <c r="AC97" i="4"/>
  <c r="Y97" i="4"/>
  <c r="G97" i="4"/>
  <c r="F97" i="4"/>
  <c r="D97" i="4"/>
  <c r="BJ96" i="4"/>
  <c r="BI96" i="4"/>
  <c r="BH96" i="4"/>
  <c r="BG96" i="4"/>
  <c r="BF96" i="4"/>
  <c r="BE96" i="4"/>
  <c r="BC96" i="4"/>
  <c r="BA96" i="4"/>
  <c r="AG96" i="4" s="1"/>
  <c r="AC96" i="4"/>
  <c r="Y96" i="4"/>
  <c r="F96" i="4"/>
  <c r="D96" i="4"/>
  <c r="Z96" i="4" s="1"/>
  <c r="AA96" i="4" s="1"/>
  <c r="AB96" i="4" s="1"/>
  <c r="BJ95" i="4"/>
  <c r="BI95" i="4"/>
  <c r="BH95" i="4"/>
  <c r="BG95" i="4"/>
  <c r="BF95" i="4"/>
  <c r="BE95" i="4"/>
  <c r="BC95" i="4"/>
  <c r="BA95" i="4"/>
  <c r="AG95" i="4" s="1"/>
  <c r="AC95" i="4"/>
  <c r="Y95" i="4"/>
  <c r="G95" i="4"/>
  <c r="F95" i="4"/>
  <c r="H95" i="4" s="1"/>
  <c r="I95" i="4" s="1"/>
  <c r="D95" i="4"/>
  <c r="BJ94" i="4"/>
  <c r="BI94" i="4"/>
  <c r="BH94" i="4"/>
  <c r="BG94" i="4"/>
  <c r="BF94" i="4"/>
  <c r="BE94" i="4"/>
  <c r="BC94" i="4"/>
  <c r="AC94" i="4"/>
  <c r="Y94" i="4"/>
  <c r="G94" i="4"/>
  <c r="H94" i="4" s="1"/>
  <c r="I94" i="4" s="1"/>
  <c r="F94" i="4"/>
  <c r="D94" i="4"/>
  <c r="BJ93" i="4"/>
  <c r="BJ99" i="4" s="1"/>
  <c r="BI93" i="4"/>
  <c r="BI99" i="4" s="1"/>
  <c r="BH93" i="4"/>
  <c r="BG93" i="4"/>
  <c r="BG99" i="4" s="1"/>
  <c r="BF93" i="4"/>
  <c r="BE93" i="4"/>
  <c r="BE99" i="4" s="1"/>
  <c r="BC93" i="4"/>
  <c r="BA99" i="4"/>
  <c r="AG99" i="4" s="1"/>
  <c r="AC93" i="4"/>
  <c r="AC99" i="4" s="1"/>
  <c r="Y93" i="4"/>
  <c r="G93" i="4"/>
  <c r="F93" i="4"/>
  <c r="H93" i="4" s="1"/>
  <c r="I93" i="4" s="1"/>
  <c r="D93" i="4"/>
  <c r="BJ90" i="4"/>
  <c r="BI90" i="4"/>
  <c r="BH90" i="4"/>
  <c r="BG90" i="4"/>
  <c r="BF90" i="4"/>
  <c r="BE90" i="4"/>
  <c r="BC90" i="4"/>
  <c r="AC90" i="4"/>
  <c r="Y90" i="4"/>
  <c r="BJ89" i="4"/>
  <c r="BI89" i="4"/>
  <c r="BH89" i="4"/>
  <c r="BG89" i="4"/>
  <c r="BF89" i="4"/>
  <c r="BE89" i="4"/>
  <c r="BC89" i="4"/>
  <c r="Z90" i="4"/>
  <c r="AA90" i="4" s="1"/>
  <c r="AB90" i="4" s="1"/>
  <c r="AC89" i="4"/>
  <c r="Y89" i="4"/>
  <c r="G89" i="4"/>
  <c r="H89" i="4" s="1"/>
  <c r="I89" i="4" s="1"/>
  <c r="F89" i="4"/>
  <c r="D89" i="4"/>
  <c r="BJ88" i="4"/>
  <c r="BI88" i="4"/>
  <c r="BH88" i="4"/>
  <c r="BG88" i="4"/>
  <c r="BF88" i="4"/>
  <c r="BE88" i="4"/>
  <c r="BC88" i="4"/>
  <c r="BA88" i="4"/>
  <c r="AG88" i="4" s="1"/>
  <c r="AC88" i="4"/>
  <c r="Y88" i="4"/>
  <c r="G88" i="4"/>
  <c r="F88" i="4"/>
  <c r="H88" i="4" s="1"/>
  <c r="I88" i="4" s="1"/>
  <c r="D88" i="4"/>
  <c r="Z88" i="4" s="1"/>
  <c r="BJ87" i="4"/>
  <c r="BI87" i="4"/>
  <c r="BH87" i="4"/>
  <c r="BG87" i="4"/>
  <c r="BF87" i="4"/>
  <c r="BE87" i="4"/>
  <c r="BC87" i="4"/>
  <c r="BA87" i="4"/>
  <c r="AG87" i="4" s="1"/>
  <c r="AC87" i="4"/>
  <c r="Y87" i="4"/>
  <c r="F87" i="4"/>
  <c r="BJ86" i="4"/>
  <c r="BI86" i="4"/>
  <c r="BH86" i="4"/>
  <c r="BG86" i="4"/>
  <c r="BF86" i="4"/>
  <c r="BE86" i="4"/>
  <c r="BC86" i="4"/>
  <c r="AC86" i="4"/>
  <c r="Y86" i="4"/>
  <c r="G86" i="4"/>
  <c r="F86" i="4"/>
  <c r="H86" i="4" s="1"/>
  <c r="D86" i="4"/>
  <c r="BJ85" i="4"/>
  <c r="BJ91" i="4" s="1"/>
  <c r="BI85" i="4"/>
  <c r="BI91" i="4" s="1"/>
  <c r="BH85" i="4"/>
  <c r="BG85" i="4"/>
  <c r="BF85" i="4"/>
  <c r="BF91" i="4" s="1"/>
  <c r="BE85" i="4"/>
  <c r="BC85" i="4"/>
  <c r="BA91" i="4"/>
  <c r="AG91" i="4" s="1"/>
  <c r="AC85" i="4"/>
  <c r="Y85" i="4"/>
  <c r="G85" i="4"/>
  <c r="F85" i="4"/>
  <c r="H85" i="4" s="1"/>
  <c r="D85" i="4"/>
  <c r="Z85" i="4" s="1"/>
  <c r="BJ82" i="4"/>
  <c r="BI82" i="4"/>
  <c r="BH82" i="4"/>
  <c r="BG82" i="4"/>
  <c r="BF82" i="4"/>
  <c r="BE82" i="4"/>
  <c r="BC82" i="4"/>
  <c r="AC82" i="4"/>
  <c r="Z82" i="4"/>
  <c r="Y82" i="4"/>
  <c r="BJ81" i="4"/>
  <c r="BI81" i="4"/>
  <c r="BH81" i="4"/>
  <c r="BG81" i="4"/>
  <c r="BF81" i="4"/>
  <c r="BE81" i="4"/>
  <c r="BC81" i="4"/>
  <c r="AC81" i="4"/>
  <c r="Y81" i="4"/>
  <c r="G81" i="4"/>
  <c r="F81" i="4"/>
  <c r="H81" i="4" s="1"/>
  <c r="I81" i="4" s="1"/>
  <c r="AD81" i="4" s="1"/>
  <c r="AE81" i="4" s="1"/>
  <c r="D81" i="4"/>
  <c r="BJ80" i="4"/>
  <c r="BI80" i="4"/>
  <c r="BH80" i="4"/>
  <c r="BG80" i="4"/>
  <c r="BF80" i="4"/>
  <c r="BE80" i="4"/>
  <c r="BC80" i="4"/>
  <c r="BA80" i="4"/>
  <c r="AG80" i="4" s="1"/>
  <c r="AC80" i="4"/>
  <c r="Y80" i="4"/>
  <c r="F80" i="4"/>
  <c r="D80" i="4"/>
  <c r="BJ79" i="4"/>
  <c r="BI79" i="4"/>
  <c r="BH79" i="4"/>
  <c r="BG79" i="4"/>
  <c r="BF79" i="4"/>
  <c r="BE79" i="4"/>
  <c r="BC79" i="4"/>
  <c r="BA79" i="4"/>
  <c r="AG79" i="4" s="1"/>
  <c r="AC79" i="4"/>
  <c r="Y79" i="4"/>
  <c r="G79" i="4"/>
  <c r="F79" i="4"/>
  <c r="H79" i="4" s="1"/>
  <c r="I79" i="4" s="1"/>
  <c r="D79" i="4"/>
  <c r="BJ78" i="4"/>
  <c r="BI78" i="4"/>
  <c r="BH78" i="4"/>
  <c r="BG78" i="4"/>
  <c r="BF78" i="4"/>
  <c r="BE78" i="4"/>
  <c r="BC78" i="4"/>
  <c r="BA83" i="4"/>
  <c r="AG83" i="4" s="1"/>
  <c r="AC78" i="4"/>
  <c r="Y78" i="4"/>
  <c r="G78" i="4"/>
  <c r="F78" i="4"/>
  <c r="H78" i="4" s="1"/>
  <c r="I78" i="4" s="1"/>
  <c r="AD78" i="4" s="1"/>
  <c r="D78" i="4"/>
  <c r="BJ77" i="4"/>
  <c r="BI77" i="4"/>
  <c r="BI83" i="4" s="1"/>
  <c r="BH77" i="4"/>
  <c r="BG77" i="4"/>
  <c r="BG83" i="4" s="1"/>
  <c r="BF77" i="4"/>
  <c r="BF83" i="4" s="1"/>
  <c r="BE77" i="4"/>
  <c r="BC77" i="4"/>
  <c r="BC83" i="4" s="1"/>
  <c r="AC77" i="4"/>
  <c r="Y77" i="4"/>
  <c r="G77" i="4"/>
  <c r="F77" i="4"/>
  <c r="H77" i="4" s="1"/>
  <c r="I77" i="4" s="1"/>
  <c r="D77" i="4"/>
  <c r="Z77" i="4" s="1"/>
  <c r="BJ74" i="4"/>
  <c r="BI74" i="4"/>
  <c r="BH74" i="4"/>
  <c r="BG74" i="4"/>
  <c r="BF74" i="4"/>
  <c r="BE74" i="4"/>
  <c r="BC74" i="4"/>
  <c r="AC74" i="4"/>
  <c r="Y74" i="4"/>
  <c r="BJ73" i="4"/>
  <c r="BI73" i="4"/>
  <c r="BH73" i="4"/>
  <c r="BG73" i="4"/>
  <c r="BF73" i="4"/>
  <c r="BE73" i="4"/>
  <c r="BC73" i="4"/>
  <c r="AC73" i="4"/>
  <c r="Y73" i="4"/>
  <c r="G73" i="4"/>
  <c r="F73" i="4"/>
  <c r="H73" i="4" s="1"/>
  <c r="I73" i="4" s="1"/>
  <c r="D73" i="4"/>
  <c r="Z73" i="4" s="1"/>
  <c r="AA73" i="4" s="1"/>
  <c r="AB73" i="4" s="1"/>
  <c r="BJ72" i="4"/>
  <c r="BI72" i="4"/>
  <c r="BH72" i="4"/>
  <c r="BG72" i="4"/>
  <c r="BF72" i="4"/>
  <c r="BE72" i="4"/>
  <c r="BC72" i="4"/>
  <c r="AC72" i="4"/>
  <c r="Y72" i="4"/>
  <c r="G72" i="4"/>
  <c r="F72" i="4"/>
  <c r="H72" i="4" s="1"/>
  <c r="I72" i="4" s="1"/>
  <c r="D72" i="4"/>
  <c r="BJ71" i="4"/>
  <c r="BJ75" i="4" s="1"/>
  <c r="BI71" i="4"/>
  <c r="BH71" i="4"/>
  <c r="BH75" i="4" s="1"/>
  <c r="BG71" i="4"/>
  <c r="BG75" i="4" s="1"/>
  <c r="BF71" i="4"/>
  <c r="BF75" i="4" s="1"/>
  <c r="BE71" i="4"/>
  <c r="BE75" i="4" s="1"/>
  <c r="BC71" i="4"/>
  <c r="AC71" i="4"/>
  <c r="Y71" i="4"/>
  <c r="G71" i="4"/>
  <c r="F71" i="4"/>
  <c r="D71" i="4"/>
  <c r="Z71" i="4" s="1"/>
  <c r="BJ66" i="4"/>
  <c r="BI66" i="4"/>
  <c r="BH66" i="4"/>
  <c r="BG66" i="4"/>
  <c r="BF66" i="4"/>
  <c r="BE66" i="4"/>
  <c r="BC66" i="4"/>
  <c r="AC66" i="4"/>
  <c r="Y66" i="4"/>
  <c r="BJ65" i="4"/>
  <c r="BI65" i="4"/>
  <c r="BH65" i="4"/>
  <c r="BG65" i="4"/>
  <c r="BF65" i="4"/>
  <c r="BE65" i="4"/>
  <c r="BC65" i="4"/>
  <c r="BA65" i="4"/>
  <c r="AG65" i="4" s="1"/>
  <c r="AC65" i="4"/>
  <c r="Y65" i="4"/>
  <c r="F65" i="4"/>
  <c r="D65" i="4"/>
  <c r="BJ64" i="4"/>
  <c r="BI64" i="4"/>
  <c r="BH64" i="4"/>
  <c r="BG64" i="4"/>
  <c r="BF64" i="4"/>
  <c r="BE64" i="4"/>
  <c r="BC64" i="4"/>
  <c r="BA64" i="4"/>
  <c r="AG64" i="4" s="1"/>
  <c r="AC64" i="4"/>
  <c r="Y64" i="4"/>
  <c r="G64" i="4"/>
  <c r="F64" i="4"/>
  <c r="H64" i="4" s="1"/>
  <c r="I64" i="4" s="1"/>
  <c r="D64" i="4"/>
  <c r="BJ63" i="4"/>
  <c r="BI63" i="4"/>
  <c r="BH63" i="4"/>
  <c r="BG63" i="4"/>
  <c r="BF63" i="4"/>
  <c r="BE63" i="4"/>
  <c r="BC63" i="4"/>
  <c r="AC63" i="4"/>
  <c r="Y63" i="4"/>
  <c r="F63" i="4"/>
  <c r="D63" i="4"/>
  <c r="BJ62" i="4"/>
  <c r="BI62" i="4"/>
  <c r="BH62" i="4"/>
  <c r="BG62" i="4"/>
  <c r="BF62" i="4"/>
  <c r="BE62" i="4"/>
  <c r="BC62" i="4"/>
  <c r="AC62" i="4"/>
  <c r="Y62" i="4"/>
  <c r="G62" i="4"/>
  <c r="F62" i="4"/>
  <c r="H62" i="4" s="1"/>
  <c r="I62" i="4" s="1"/>
  <c r="D62" i="4"/>
  <c r="Z62" i="4" s="1"/>
  <c r="AA62" i="4" s="1"/>
  <c r="BJ61" i="4"/>
  <c r="BI61" i="4"/>
  <c r="BH61" i="4"/>
  <c r="BG61" i="4"/>
  <c r="BF61" i="4"/>
  <c r="BE61" i="4"/>
  <c r="BC61" i="4"/>
  <c r="AC61" i="4"/>
  <c r="Y61" i="4"/>
  <c r="G61" i="4"/>
  <c r="H61" i="4" s="1"/>
  <c r="I61" i="4" s="1"/>
  <c r="F61" i="4"/>
  <c r="D61" i="4"/>
  <c r="BJ60" i="4"/>
  <c r="BI60" i="4"/>
  <c r="BH60" i="4"/>
  <c r="BG60" i="4"/>
  <c r="BF60" i="4"/>
  <c r="BE60" i="4"/>
  <c r="BC60" i="4"/>
  <c r="AC60" i="4"/>
  <c r="Y60" i="4"/>
  <c r="G60" i="4"/>
  <c r="H60" i="4" s="1"/>
  <c r="I60" i="4" s="1"/>
  <c r="F60" i="4"/>
  <c r="D60" i="4"/>
  <c r="Z60" i="4" s="1"/>
  <c r="BJ59" i="4"/>
  <c r="BI59" i="4"/>
  <c r="BH59" i="4"/>
  <c r="BG59" i="4"/>
  <c r="BF59" i="4"/>
  <c r="BE59" i="4"/>
  <c r="BC59" i="4"/>
  <c r="BA67" i="4"/>
  <c r="AG67" i="4" s="1"/>
  <c r="AC59" i="4"/>
  <c r="Y59" i="4"/>
  <c r="G59" i="4"/>
  <c r="F59" i="4"/>
  <c r="D59" i="4"/>
  <c r="BJ58" i="4"/>
  <c r="BJ67" i="4" s="1"/>
  <c r="BI58" i="4"/>
  <c r="BH58" i="4"/>
  <c r="BH67" i="4" s="1"/>
  <c r="BG58" i="4"/>
  <c r="BG67" i="4" s="1"/>
  <c r="BF58" i="4"/>
  <c r="BE58" i="4"/>
  <c r="BC58" i="4"/>
  <c r="BC67" i="4" s="1"/>
  <c r="AC58" i="4"/>
  <c r="Y58" i="4"/>
  <c r="G58" i="4"/>
  <c r="F58" i="4"/>
  <c r="H58" i="4" s="1"/>
  <c r="I58" i="4" s="1"/>
  <c r="D58" i="4"/>
  <c r="Z58" i="4" s="1"/>
  <c r="BJ55" i="4"/>
  <c r="BI55" i="4"/>
  <c r="BH55" i="4"/>
  <c r="BG55" i="4"/>
  <c r="BF55" i="4"/>
  <c r="BE55" i="4"/>
  <c r="BC55" i="4"/>
  <c r="AC55" i="4"/>
  <c r="Y55" i="4"/>
  <c r="BJ54" i="4"/>
  <c r="BI54" i="4"/>
  <c r="BH54" i="4"/>
  <c r="BG54" i="4"/>
  <c r="BF54" i="4"/>
  <c r="BE54" i="4"/>
  <c r="BC54" i="4"/>
  <c r="AC54" i="4"/>
  <c r="Y54" i="4"/>
  <c r="G54" i="4"/>
  <c r="F54" i="4"/>
  <c r="H54" i="4" s="1"/>
  <c r="I54" i="4" s="1"/>
  <c r="D54" i="4"/>
  <c r="Z54" i="4" s="1"/>
  <c r="BJ53" i="4"/>
  <c r="BI53" i="4"/>
  <c r="BH53" i="4"/>
  <c r="BG53" i="4"/>
  <c r="BF53" i="4"/>
  <c r="BE53" i="4"/>
  <c r="BC53" i="4"/>
  <c r="AC53" i="4"/>
  <c r="Y53" i="4"/>
  <c r="G53" i="4"/>
  <c r="F53" i="4"/>
  <c r="H53" i="4" s="1"/>
  <c r="I53" i="4" s="1"/>
  <c r="D53" i="4"/>
  <c r="BJ52" i="4"/>
  <c r="BI52" i="4"/>
  <c r="BH52" i="4"/>
  <c r="BG52" i="4"/>
  <c r="BF52" i="4"/>
  <c r="BE52" i="4"/>
  <c r="BC52" i="4"/>
  <c r="AC52" i="4"/>
  <c r="Y52" i="4"/>
  <c r="G52" i="4"/>
  <c r="F52" i="4"/>
  <c r="H52" i="4" s="1"/>
  <c r="D52" i="4"/>
  <c r="BJ51" i="4"/>
  <c r="BJ56" i="4" s="1"/>
  <c r="BI51" i="4"/>
  <c r="BI56" i="4" s="1"/>
  <c r="BH51" i="4"/>
  <c r="BH56" i="4" s="1"/>
  <c r="BG51" i="4"/>
  <c r="BF51" i="4"/>
  <c r="BE51" i="4"/>
  <c r="BE56" i="4" s="1"/>
  <c r="BC51" i="4"/>
  <c r="AC51" i="4"/>
  <c r="AC56" i="4" s="1"/>
  <c r="Y51" i="4"/>
  <c r="G51" i="4"/>
  <c r="F51" i="4"/>
  <c r="D51" i="4"/>
  <c r="BJ48" i="4"/>
  <c r="BI48" i="4"/>
  <c r="BH48" i="4"/>
  <c r="BG48" i="4"/>
  <c r="BF48" i="4"/>
  <c r="BE48" i="4"/>
  <c r="BC48" i="4"/>
  <c r="BA48" i="4"/>
  <c r="AG48" i="4" s="1"/>
  <c r="AC48" i="4"/>
  <c r="Y48" i="4"/>
  <c r="BJ47" i="4"/>
  <c r="BI47" i="4"/>
  <c r="BH47" i="4"/>
  <c r="BG47" i="4"/>
  <c r="BF47" i="4"/>
  <c r="BE47" i="4"/>
  <c r="BC47" i="4"/>
  <c r="BA47" i="4"/>
  <c r="AG47" i="4" s="1"/>
  <c r="AC47" i="4"/>
  <c r="Y47" i="4"/>
  <c r="G47" i="4"/>
  <c r="F47" i="4"/>
  <c r="H47" i="4" s="1"/>
  <c r="I47" i="4" s="1"/>
  <c r="D47" i="4"/>
  <c r="BJ46" i="4"/>
  <c r="BI46" i="4"/>
  <c r="BH46" i="4"/>
  <c r="BG46" i="4"/>
  <c r="BF46" i="4"/>
  <c r="BE46" i="4"/>
  <c r="BC46" i="4"/>
  <c r="BA46" i="4"/>
  <c r="AG46" i="4" s="1"/>
  <c r="Z46" i="4" s="1"/>
  <c r="AC46" i="4"/>
  <c r="Y46" i="4"/>
  <c r="G46" i="4"/>
  <c r="F46" i="4"/>
  <c r="H46" i="4" s="1"/>
  <c r="C46" i="4"/>
  <c r="D46" i="4" s="1"/>
  <c r="BJ45" i="4"/>
  <c r="BI45" i="4"/>
  <c r="BH45" i="4"/>
  <c r="BG45" i="4"/>
  <c r="BF45" i="4"/>
  <c r="BE45" i="4"/>
  <c r="BC45" i="4"/>
  <c r="AC45" i="4"/>
  <c r="Y45" i="4"/>
  <c r="G45" i="4"/>
  <c r="F45" i="4"/>
  <c r="H45" i="4" s="1"/>
  <c r="I45" i="4" s="1"/>
  <c r="D45" i="4"/>
  <c r="BJ44" i="4"/>
  <c r="BJ49" i="4" s="1"/>
  <c r="BI44" i="4"/>
  <c r="BH44" i="4"/>
  <c r="BG44" i="4"/>
  <c r="BG49" i="4" s="1"/>
  <c r="BF44" i="4"/>
  <c r="BF49" i="4" s="1"/>
  <c r="BE44" i="4"/>
  <c r="BC44" i="4"/>
  <c r="BC49" i="4" s="1"/>
  <c r="AC44" i="4"/>
  <c r="Y44" i="4"/>
  <c r="Y49" i="4" s="1"/>
  <c r="G44" i="4"/>
  <c r="F44" i="4"/>
  <c r="H44" i="4" s="1"/>
  <c r="D44" i="4"/>
  <c r="BJ41" i="4"/>
  <c r="BI41" i="4"/>
  <c r="BH41" i="4"/>
  <c r="BG41" i="4"/>
  <c r="BF41" i="4"/>
  <c r="BE41" i="4"/>
  <c r="BC41" i="4"/>
  <c r="BA41" i="4"/>
  <c r="AG41" i="4" s="1"/>
  <c r="AC41" i="4"/>
  <c r="Y41" i="4"/>
  <c r="BJ40" i="4"/>
  <c r="BI40" i="4"/>
  <c r="BH40" i="4"/>
  <c r="BG40" i="4"/>
  <c r="BF40" i="4"/>
  <c r="BE40" i="4"/>
  <c r="BC40" i="4"/>
  <c r="BA40" i="4"/>
  <c r="AG40" i="4" s="1"/>
  <c r="Z40" i="4" s="1"/>
  <c r="AC40" i="4"/>
  <c r="Y40" i="4"/>
  <c r="G40" i="4"/>
  <c r="F40" i="4"/>
  <c r="H40" i="4" s="1"/>
  <c r="I40" i="4" s="1"/>
  <c r="D40" i="4"/>
  <c r="BJ39" i="4"/>
  <c r="BI39" i="4"/>
  <c r="BH39" i="4"/>
  <c r="BG39" i="4"/>
  <c r="BF39" i="4"/>
  <c r="BE39" i="4"/>
  <c r="BC39" i="4"/>
  <c r="BA39" i="4"/>
  <c r="AG39" i="4" s="1"/>
  <c r="AD39" i="4" s="1"/>
  <c r="AE39" i="4" s="1"/>
  <c r="AC39" i="4"/>
  <c r="Y39" i="4"/>
  <c r="G39" i="4"/>
  <c r="F39" i="4"/>
  <c r="H39" i="4" s="1"/>
  <c r="I39" i="4" s="1"/>
  <c r="D39" i="4"/>
  <c r="BJ38" i="4"/>
  <c r="BI38" i="4"/>
  <c r="BH38" i="4"/>
  <c r="BG38" i="4"/>
  <c r="BF38" i="4"/>
  <c r="BE38" i="4"/>
  <c r="BC38" i="4"/>
  <c r="AC38" i="4"/>
  <c r="Y38" i="4"/>
  <c r="G38" i="4"/>
  <c r="F38" i="4"/>
  <c r="H38" i="4" s="1"/>
  <c r="I38" i="4" s="1"/>
  <c r="D38" i="4"/>
  <c r="BJ37" i="4"/>
  <c r="BJ42" i="4" s="1"/>
  <c r="BI37" i="4"/>
  <c r="BH37" i="4"/>
  <c r="BG37" i="4"/>
  <c r="BG42" i="4" s="1"/>
  <c r="BF37" i="4"/>
  <c r="BE37" i="4"/>
  <c r="BE42" i="4" s="1"/>
  <c r="BC37" i="4"/>
  <c r="BC42" i="4" s="1"/>
  <c r="BA42" i="4"/>
  <c r="AG42" i="4" s="1"/>
  <c r="AC37" i="4"/>
  <c r="Y37" i="4"/>
  <c r="G37" i="4"/>
  <c r="H37" i="4" s="1"/>
  <c r="I37" i="4" s="1"/>
  <c r="F37" i="4"/>
  <c r="D37" i="4"/>
  <c r="Z37" i="4" s="1"/>
  <c r="AH35" i="4"/>
  <c r="BJ34" i="4"/>
  <c r="BI34" i="4"/>
  <c r="BH34" i="4"/>
  <c r="BG34" i="4"/>
  <c r="BF34" i="4"/>
  <c r="BE34" i="4"/>
  <c r="BC34" i="4"/>
  <c r="BA34" i="4"/>
  <c r="AG34" i="4" s="1"/>
  <c r="Z34" i="4" s="1"/>
  <c r="AC34" i="4"/>
  <c r="Y34" i="4"/>
  <c r="BJ33" i="4"/>
  <c r="BI33" i="4"/>
  <c r="BH33" i="4"/>
  <c r="BG33" i="4"/>
  <c r="BF33" i="4"/>
  <c r="BE33" i="4"/>
  <c r="BC33" i="4"/>
  <c r="BA33" i="4"/>
  <c r="AG33" i="4" s="1"/>
  <c r="AC33" i="4"/>
  <c r="Y33" i="4"/>
  <c r="G33" i="4"/>
  <c r="F33" i="4"/>
  <c r="H33" i="4" s="1"/>
  <c r="I33" i="4" s="1"/>
  <c r="D33" i="4"/>
  <c r="BJ32" i="4"/>
  <c r="BI32" i="4"/>
  <c r="BH32" i="4"/>
  <c r="BG32" i="4"/>
  <c r="BF32" i="4"/>
  <c r="BE32" i="4"/>
  <c r="BC32" i="4"/>
  <c r="BA32" i="4"/>
  <c r="AG32" i="4" s="1"/>
  <c r="AC32" i="4"/>
  <c r="Y32" i="4"/>
  <c r="G32" i="4"/>
  <c r="F32" i="4"/>
  <c r="H32" i="4" s="1"/>
  <c r="I32" i="4" s="1"/>
  <c r="D32" i="4"/>
  <c r="Z32" i="4" s="1"/>
  <c r="BJ31" i="4"/>
  <c r="BI31" i="4"/>
  <c r="BH31" i="4"/>
  <c r="BG31" i="4"/>
  <c r="BF31" i="4"/>
  <c r="BE31" i="4"/>
  <c r="BC31" i="4"/>
  <c r="AC31" i="4"/>
  <c r="Y31" i="4"/>
  <c r="G31" i="4"/>
  <c r="H31" i="4" s="1"/>
  <c r="I31" i="4" s="1"/>
  <c r="F31" i="4"/>
  <c r="D31" i="4"/>
  <c r="BJ30" i="4"/>
  <c r="BJ35" i="4" s="1"/>
  <c r="BI30" i="4"/>
  <c r="BI35" i="4" s="1"/>
  <c r="BH30" i="4"/>
  <c r="BH35" i="4" s="1"/>
  <c r="BG30" i="4"/>
  <c r="BF30" i="4"/>
  <c r="BE30" i="4"/>
  <c r="BC30" i="4"/>
  <c r="BC35" i="4" s="1"/>
  <c r="AC30" i="4"/>
  <c r="Y30" i="4"/>
  <c r="G30" i="4"/>
  <c r="F30" i="4"/>
  <c r="H30" i="4" s="1"/>
  <c r="I30" i="4" s="1"/>
  <c r="D30" i="4"/>
  <c r="Z30" i="4" s="1"/>
  <c r="AA30" i="4" s="1"/>
  <c r="AB30" i="4" s="1"/>
  <c r="BJ27" i="4"/>
  <c r="BI27" i="4"/>
  <c r="BH27" i="4"/>
  <c r="BG27" i="4"/>
  <c r="BF27" i="4"/>
  <c r="BE27" i="4"/>
  <c r="BC27" i="4"/>
  <c r="BA27" i="4"/>
  <c r="AG27" i="4" s="1"/>
  <c r="Z27" i="4" s="1"/>
  <c r="AA27" i="4" s="1"/>
  <c r="AB27" i="4" s="1"/>
  <c r="AC27" i="4"/>
  <c r="Y27" i="4"/>
  <c r="BJ26" i="4"/>
  <c r="BI26" i="4"/>
  <c r="BH26" i="4"/>
  <c r="BG26" i="4"/>
  <c r="BF26" i="4"/>
  <c r="BE26" i="4"/>
  <c r="BC26" i="4"/>
  <c r="BA26" i="4"/>
  <c r="AG26" i="4" s="1"/>
  <c r="AC26" i="4"/>
  <c r="Y26" i="4"/>
  <c r="G26" i="4"/>
  <c r="F26" i="4"/>
  <c r="H26" i="4" s="1"/>
  <c r="I26" i="4" s="1"/>
  <c r="D26" i="4"/>
  <c r="BJ25" i="4"/>
  <c r="BI25" i="4"/>
  <c r="BH25" i="4"/>
  <c r="BG25" i="4"/>
  <c r="BF25" i="4"/>
  <c r="BE25" i="4"/>
  <c r="BC25" i="4"/>
  <c r="BA25" i="4"/>
  <c r="AC25" i="4"/>
  <c r="Y25" i="4"/>
  <c r="F25" i="4"/>
  <c r="D25" i="4"/>
  <c r="BJ24" i="4"/>
  <c r="BI24" i="4"/>
  <c r="BH24" i="4"/>
  <c r="BH28" i="4" s="1"/>
  <c r="BG24" i="4"/>
  <c r="BF24" i="4"/>
  <c r="BE24" i="4"/>
  <c r="BC24" i="4"/>
  <c r="BA24" i="4"/>
  <c r="AG24" i="4" s="1"/>
  <c r="AC24" i="4"/>
  <c r="Y24" i="4"/>
  <c r="D24" i="4"/>
  <c r="BJ23" i="4"/>
  <c r="BI23" i="4"/>
  <c r="BH23" i="4"/>
  <c r="BG23" i="4"/>
  <c r="BF23" i="4"/>
  <c r="BE23" i="4"/>
  <c r="BC23" i="4"/>
  <c r="BA23" i="4"/>
  <c r="AG23" i="4" s="1"/>
  <c r="AC23" i="4"/>
  <c r="Y23" i="4"/>
  <c r="D23" i="4"/>
  <c r="BJ22" i="4"/>
  <c r="BI22" i="4"/>
  <c r="BH22" i="4"/>
  <c r="BG22" i="4"/>
  <c r="BF22" i="4"/>
  <c r="BE22" i="4"/>
  <c r="BC22" i="4"/>
  <c r="AC22" i="4"/>
  <c r="Y22" i="4"/>
  <c r="D22" i="4"/>
  <c r="BJ21" i="4"/>
  <c r="BI21" i="4"/>
  <c r="BH21" i="4"/>
  <c r="BG21" i="4"/>
  <c r="BF21" i="4"/>
  <c r="BE21" i="4"/>
  <c r="BC21" i="4"/>
  <c r="AC21" i="4"/>
  <c r="Y21" i="4"/>
  <c r="D21" i="4"/>
  <c r="B15" i="4"/>
  <c r="BB126" i="3"/>
  <c r="Y125" i="3"/>
  <c r="U125" i="3"/>
  <c r="Q125" i="3"/>
  <c r="Y124" i="3"/>
  <c r="U124" i="3"/>
  <c r="Q124" i="3"/>
  <c r="F124" i="3"/>
  <c r="D124" i="3"/>
  <c r="Y123" i="3"/>
  <c r="U123" i="3"/>
  <c r="Q123" i="3"/>
  <c r="G123" i="3"/>
  <c r="F123" i="3"/>
  <c r="H123" i="3" s="1"/>
  <c r="D123" i="3"/>
  <c r="Y122" i="3"/>
  <c r="U122" i="3"/>
  <c r="Q122" i="3"/>
  <c r="G122" i="3"/>
  <c r="F122" i="3"/>
  <c r="H122" i="3" s="1"/>
  <c r="I122" i="3" s="1"/>
  <c r="D122" i="3"/>
  <c r="Y121" i="3"/>
  <c r="U121" i="3"/>
  <c r="U126" i="3" s="1"/>
  <c r="Q121" i="3"/>
  <c r="G121" i="3"/>
  <c r="F121" i="3"/>
  <c r="H121" i="3" s="1"/>
  <c r="I121" i="3" s="1"/>
  <c r="D121" i="3"/>
  <c r="R121" i="3" s="1"/>
  <c r="BB118" i="3"/>
  <c r="Y117" i="3"/>
  <c r="U117" i="3"/>
  <c r="R117" i="3"/>
  <c r="Q117" i="3"/>
  <c r="Y116" i="3"/>
  <c r="U116" i="3"/>
  <c r="Q116" i="3"/>
  <c r="F116" i="3"/>
  <c r="D116" i="3"/>
  <c r="Y115" i="3"/>
  <c r="U115" i="3"/>
  <c r="Q115" i="3"/>
  <c r="G115" i="3"/>
  <c r="F115" i="3"/>
  <c r="H115" i="3" s="1"/>
  <c r="I115" i="3" s="1"/>
  <c r="D115" i="3"/>
  <c r="R115" i="3" s="1"/>
  <c r="S115" i="3" s="1"/>
  <c r="T115" i="3" s="1"/>
  <c r="Y114" i="3"/>
  <c r="U114" i="3"/>
  <c r="Q114" i="3"/>
  <c r="G114" i="3"/>
  <c r="F114" i="3"/>
  <c r="H114" i="3" s="1"/>
  <c r="D114" i="3"/>
  <c r="I114" i="3" s="1"/>
  <c r="Y113" i="3"/>
  <c r="U113" i="3"/>
  <c r="U118" i="3" s="1"/>
  <c r="Q113" i="3"/>
  <c r="F113" i="3"/>
  <c r="D113" i="3"/>
  <c r="BB109" i="3"/>
  <c r="Y108" i="3"/>
  <c r="R108" i="3" s="1"/>
  <c r="U108" i="3"/>
  <c r="Q108" i="3"/>
  <c r="Y107" i="3"/>
  <c r="U107" i="3"/>
  <c r="Q107" i="3"/>
  <c r="G107" i="3"/>
  <c r="F107" i="3"/>
  <c r="H107" i="3" s="1"/>
  <c r="D107" i="3"/>
  <c r="I107" i="3" s="1"/>
  <c r="Y106" i="3"/>
  <c r="R106" i="3" s="1"/>
  <c r="V106" i="3"/>
  <c r="U106" i="3"/>
  <c r="Q106" i="3"/>
  <c r="Y105" i="3"/>
  <c r="U105" i="3"/>
  <c r="Q105" i="3"/>
  <c r="G105" i="3"/>
  <c r="F105" i="3"/>
  <c r="H105" i="3" s="1"/>
  <c r="D105" i="3"/>
  <c r="I105" i="3" s="1"/>
  <c r="Y104" i="3"/>
  <c r="R104" i="3" s="1"/>
  <c r="U104" i="3"/>
  <c r="Q104" i="3"/>
  <c r="G104" i="3"/>
  <c r="F104" i="3"/>
  <c r="H104" i="3" s="1"/>
  <c r="I104" i="3" s="1"/>
  <c r="Y103" i="3"/>
  <c r="U103" i="3"/>
  <c r="Q103" i="3"/>
  <c r="G103" i="3"/>
  <c r="F103" i="3"/>
  <c r="D103" i="3"/>
  <c r="Y102" i="3"/>
  <c r="U102" i="3"/>
  <c r="Q102" i="3"/>
  <c r="G102" i="3"/>
  <c r="F102" i="3"/>
  <c r="H102" i="3" s="1"/>
  <c r="D102" i="3"/>
  <c r="Y101" i="3"/>
  <c r="U101" i="3"/>
  <c r="R101" i="3"/>
  <c r="Q101" i="3"/>
  <c r="G101" i="3"/>
  <c r="F101" i="3"/>
  <c r="H101" i="3" s="1"/>
  <c r="I101" i="3" s="1"/>
  <c r="Y100" i="3"/>
  <c r="U100" i="3"/>
  <c r="Q100" i="3"/>
  <c r="G100" i="3"/>
  <c r="D100" i="3"/>
  <c r="Y99" i="3"/>
  <c r="U99" i="3"/>
  <c r="Q99" i="3"/>
  <c r="G99" i="3"/>
  <c r="F99" i="3"/>
  <c r="H99" i="3" s="1"/>
  <c r="D99" i="3"/>
  <c r="Y98" i="3"/>
  <c r="U98" i="3"/>
  <c r="Q98" i="3"/>
  <c r="G98" i="3"/>
  <c r="F98" i="3"/>
  <c r="H98" i="3" s="1"/>
  <c r="I98" i="3" s="1"/>
  <c r="Y97" i="3"/>
  <c r="U97" i="3"/>
  <c r="Q97" i="3"/>
  <c r="D97" i="3"/>
  <c r="Y96" i="3"/>
  <c r="U96" i="3"/>
  <c r="Q96" i="3"/>
  <c r="G96" i="3"/>
  <c r="F96" i="3"/>
  <c r="D96" i="3"/>
  <c r="Y95" i="3"/>
  <c r="U95" i="3"/>
  <c r="Q95" i="3"/>
  <c r="G95" i="3"/>
  <c r="F95" i="3"/>
  <c r="H95" i="3" s="1"/>
  <c r="I95" i="3" s="1"/>
  <c r="Y94" i="3"/>
  <c r="U94" i="3"/>
  <c r="Q94" i="3"/>
  <c r="Q109" i="3" s="1"/>
  <c r="G94" i="3"/>
  <c r="F94" i="3"/>
  <c r="H94" i="3" s="1"/>
  <c r="D94" i="3"/>
  <c r="BB90" i="3"/>
  <c r="Y89" i="3"/>
  <c r="R89" i="3" s="1"/>
  <c r="U89" i="3"/>
  <c r="Q89" i="3"/>
  <c r="Y88" i="3"/>
  <c r="U88" i="3"/>
  <c r="Q88" i="3"/>
  <c r="F88" i="3"/>
  <c r="D88" i="3"/>
  <c r="Y87" i="3"/>
  <c r="U87" i="3"/>
  <c r="Q87" i="3"/>
  <c r="G87" i="3"/>
  <c r="F87" i="3"/>
  <c r="H87" i="3" s="1"/>
  <c r="I87" i="3" s="1"/>
  <c r="D87" i="3"/>
  <c r="Y86" i="3"/>
  <c r="U86" i="3"/>
  <c r="Q86" i="3"/>
  <c r="G86" i="3"/>
  <c r="F86" i="3"/>
  <c r="H86" i="3" s="1"/>
  <c r="I86" i="3" s="1"/>
  <c r="D86" i="3"/>
  <c r="Y85" i="3"/>
  <c r="U85" i="3"/>
  <c r="Q85" i="3"/>
  <c r="G85" i="3"/>
  <c r="F85" i="3"/>
  <c r="H85" i="3" s="1"/>
  <c r="D85" i="3"/>
  <c r="Y84" i="3"/>
  <c r="U84" i="3"/>
  <c r="Q84" i="3"/>
  <c r="G84" i="3"/>
  <c r="F84" i="3"/>
  <c r="H84" i="3" s="1"/>
  <c r="D84" i="3"/>
  <c r="Y83" i="3"/>
  <c r="U83" i="3"/>
  <c r="Q83" i="3"/>
  <c r="Q90" i="3" s="1"/>
  <c r="G83" i="3"/>
  <c r="F83" i="3"/>
  <c r="D83" i="3"/>
  <c r="BB79" i="3"/>
  <c r="Y78" i="3"/>
  <c r="R78" i="3" s="1"/>
  <c r="U78" i="3"/>
  <c r="Q78" i="3"/>
  <c r="S78" i="3" s="1"/>
  <c r="T78" i="3" s="1"/>
  <c r="Y77" i="3"/>
  <c r="U77" i="3"/>
  <c r="Q77" i="3"/>
  <c r="G77" i="3"/>
  <c r="D77" i="3"/>
  <c r="Y76" i="3"/>
  <c r="U76" i="3"/>
  <c r="Q76" i="3"/>
  <c r="G76" i="3"/>
  <c r="F76" i="3"/>
  <c r="H76" i="3" s="1"/>
  <c r="I76" i="3" s="1"/>
  <c r="D76" i="3"/>
  <c r="Y75" i="3"/>
  <c r="U75" i="3"/>
  <c r="Q75" i="3"/>
  <c r="G75" i="3"/>
  <c r="F75" i="3"/>
  <c r="D75" i="3"/>
  <c r="R75" i="3" s="1"/>
  <c r="Y74" i="3"/>
  <c r="U74" i="3"/>
  <c r="Q74" i="3"/>
  <c r="G74" i="3"/>
  <c r="D74" i="3"/>
  <c r="G73" i="3"/>
  <c r="F73" i="3"/>
  <c r="Y72" i="3"/>
  <c r="U72" i="3"/>
  <c r="Q72" i="3"/>
  <c r="D72" i="3"/>
  <c r="G71" i="3"/>
  <c r="F71" i="3"/>
  <c r="H71" i="3" s="1"/>
  <c r="I71" i="3" s="1"/>
  <c r="Y70" i="3"/>
  <c r="U70" i="3"/>
  <c r="Q70" i="3"/>
  <c r="G70" i="3"/>
  <c r="D70" i="3"/>
  <c r="Y69" i="3"/>
  <c r="U69" i="3"/>
  <c r="Q69" i="3"/>
  <c r="G69" i="3"/>
  <c r="F69" i="3"/>
  <c r="H69" i="3" s="1"/>
  <c r="C69" i="3"/>
  <c r="D69" i="3" s="1"/>
  <c r="Y68" i="3"/>
  <c r="U68" i="3"/>
  <c r="Q68" i="3"/>
  <c r="G68" i="3"/>
  <c r="F68" i="3"/>
  <c r="H68" i="3" s="1"/>
  <c r="D68" i="3"/>
  <c r="G67" i="3"/>
  <c r="F67" i="3"/>
  <c r="Y66" i="3"/>
  <c r="U66" i="3"/>
  <c r="Q66" i="3"/>
  <c r="G66" i="3"/>
  <c r="F66" i="3"/>
  <c r="H66" i="3" s="1"/>
  <c r="D66" i="3"/>
  <c r="Y65" i="3"/>
  <c r="U65" i="3"/>
  <c r="Q65" i="3"/>
  <c r="G65" i="3"/>
  <c r="D65" i="3"/>
  <c r="R65" i="3" s="1"/>
  <c r="S65" i="3" s="1"/>
  <c r="T65" i="3" s="1"/>
  <c r="Y64" i="3"/>
  <c r="U64" i="3"/>
  <c r="R64" i="3"/>
  <c r="Q64" i="3"/>
  <c r="D64" i="3"/>
  <c r="Y63" i="3"/>
  <c r="U63" i="3"/>
  <c r="Q63" i="3"/>
  <c r="D63" i="3"/>
  <c r="G62" i="3"/>
  <c r="F62" i="3"/>
  <c r="Y61" i="3"/>
  <c r="U61" i="3"/>
  <c r="Q61" i="3"/>
  <c r="D61" i="3"/>
  <c r="Y60" i="3"/>
  <c r="U60" i="3"/>
  <c r="Q60" i="3"/>
  <c r="D60" i="3"/>
  <c r="Y59" i="3"/>
  <c r="U59" i="3"/>
  <c r="Q59" i="3"/>
  <c r="D59" i="3"/>
  <c r="Y58" i="3"/>
  <c r="U58" i="3"/>
  <c r="Q58" i="3"/>
  <c r="C58" i="3"/>
  <c r="D58" i="3" s="1"/>
  <c r="R58" i="3" s="1"/>
  <c r="Y57" i="3"/>
  <c r="U57" i="3"/>
  <c r="Q57" i="3"/>
  <c r="D57" i="3"/>
  <c r="Y56" i="3"/>
  <c r="U56" i="3"/>
  <c r="Q56" i="3"/>
  <c r="D56" i="3"/>
  <c r="G55" i="3"/>
  <c r="F55" i="3"/>
  <c r="Y54" i="3"/>
  <c r="U54" i="3"/>
  <c r="Q54" i="3"/>
  <c r="D54" i="3"/>
  <c r="R54" i="3" s="1"/>
  <c r="S54" i="3" s="1"/>
  <c r="T54" i="3" s="1"/>
  <c r="Y53" i="3"/>
  <c r="U53" i="3"/>
  <c r="Q53" i="3"/>
  <c r="D53" i="3"/>
  <c r="BB49" i="3"/>
  <c r="Y48" i="3"/>
  <c r="R48" i="3" s="1"/>
  <c r="U48" i="3"/>
  <c r="Q48" i="3"/>
  <c r="Y47" i="3"/>
  <c r="U47" i="3"/>
  <c r="Q47" i="3"/>
  <c r="D47" i="3"/>
  <c r="Y46" i="3"/>
  <c r="U46" i="3"/>
  <c r="Q46" i="3"/>
  <c r="D46" i="3"/>
  <c r="Y45" i="3"/>
  <c r="U45" i="3"/>
  <c r="Q45" i="3"/>
  <c r="D45" i="3"/>
  <c r="Y44" i="3"/>
  <c r="U44" i="3"/>
  <c r="Q44" i="3"/>
  <c r="D44" i="3"/>
  <c r="Y43" i="3"/>
  <c r="U43" i="3"/>
  <c r="Q43" i="3"/>
  <c r="Q49" i="3" s="1"/>
  <c r="D43" i="3"/>
  <c r="BB40" i="3"/>
  <c r="Y39" i="3"/>
  <c r="U39" i="3"/>
  <c r="Q39" i="3"/>
  <c r="Y38" i="3"/>
  <c r="U38" i="3"/>
  <c r="Q38" i="3"/>
  <c r="D38" i="3"/>
  <c r="Y35" i="3"/>
  <c r="U35" i="3"/>
  <c r="Q35" i="3"/>
  <c r="D35" i="3"/>
  <c r="Y34" i="3"/>
  <c r="U34" i="3"/>
  <c r="Q34" i="3"/>
  <c r="D34" i="3"/>
  <c r="R34" i="3" s="1"/>
  <c r="S34" i="3" s="1"/>
  <c r="Y33" i="3"/>
  <c r="U33" i="3"/>
  <c r="Q33" i="3"/>
  <c r="D33" i="3"/>
  <c r="Y32" i="3"/>
  <c r="U32" i="3"/>
  <c r="Q32" i="3"/>
  <c r="D32" i="3"/>
  <c r="R32" i="3" s="1"/>
  <c r="S32" i="3" s="1"/>
  <c r="T32" i="3" s="1"/>
  <c r="F31" i="3"/>
  <c r="Y29" i="3"/>
  <c r="U29" i="3"/>
  <c r="Q29" i="3"/>
  <c r="D29" i="3"/>
  <c r="R29" i="3" s="1"/>
  <c r="S29" i="3" s="1"/>
  <c r="Y28" i="3"/>
  <c r="U28" i="3"/>
  <c r="Q28" i="3"/>
  <c r="D28" i="3"/>
  <c r="Y27" i="3"/>
  <c r="U27" i="3"/>
  <c r="Q27" i="3"/>
  <c r="D27" i="3"/>
  <c r="Y26" i="3"/>
  <c r="U26" i="3"/>
  <c r="Q26" i="3"/>
  <c r="D26" i="3"/>
  <c r="Y25" i="3"/>
  <c r="U25" i="3"/>
  <c r="Q25" i="3"/>
  <c r="D25" i="3"/>
  <c r="R25" i="3" s="1"/>
  <c r="Y24" i="3"/>
  <c r="U24" i="3"/>
  <c r="Q24" i="3"/>
  <c r="D24" i="3"/>
  <c r="R24" i="3" s="1"/>
  <c r="S24" i="3" s="1"/>
  <c r="T24" i="3" s="1"/>
  <c r="Y23" i="3"/>
  <c r="U23" i="3"/>
  <c r="Q23" i="3"/>
  <c r="D23" i="3"/>
  <c r="Y22" i="3"/>
  <c r="U22" i="3"/>
  <c r="U40" i="3" s="1"/>
  <c r="Q22" i="3"/>
  <c r="D22" i="3"/>
  <c r="B16" i="3"/>
  <c r="AU231" i="2"/>
  <c r="Y230" i="2"/>
  <c r="U230" i="2"/>
  <c r="Q230" i="2"/>
  <c r="Y228" i="2"/>
  <c r="U228" i="2"/>
  <c r="Q228" i="2"/>
  <c r="G228" i="2"/>
  <c r="F228" i="2"/>
  <c r="H228" i="2" s="1"/>
  <c r="D228" i="2"/>
  <c r="Y225" i="2"/>
  <c r="U225" i="2"/>
  <c r="Q225" i="2"/>
  <c r="G225" i="2"/>
  <c r="F225" i="2"/>
  <c r="H225" i="2" s="1"/>
  <c r="D225" i="2"/>
  <c r="Y222" i="2"/>
  <c r="U222" i="2"/>
  <c r="Q222" i="2"/>
  <c r="G222" i="2"/>
  <c r="F222" i="2"/>
  <c r="H222" i="2" s="1"/>
  <c r="I222" i="2" s="1"/>
  <c r="D222" i="2"/>
  <c r="R222" i="2" s="1"/>
  <c r="S222" i="2" s="1"/>
  <c r="Y219" i="2"/>
  <c r="U219" i="2"/>
  <c r="Q219" i="2"/>
  <c r="G219" i="2"/>
  <c r="F219" i="2"/>
  <c r="H219" i="2" s="1"/>
  <c r="D219" i="2"/>
  <c r="Y216" i="2"/>
  <c r="U216" i="2"/>
  <c r="Q216" i="2"/>
  <c r="G216" i="2"/>
  <c r="F216" i="2"/>
  <c r="H216" i="2" s="1"/>
  <c r="I216" i="2" s="1"/>
  <c r="D216" i="2"/>
  <c r="R216" i="2" s="1"/>
  <c r="Y213" i="2"/>
  <c r="U213" i="2"/>
  <c r="Q213" i="2"/>
  <c r="G213" i="2"/>
  <c r="F213" i="2"/>
  <c r="H213" i="2" s="1"/>
  <c r="D213" i="2"/>
  <c r="Y210" i="2"/>
  <c r="U210" i="2"/>
  <c r="Q210" i="2"/>
  <c r="G210" i="2"/>
  <c r="F210" i="2"/>
  <c r="H210" i="2" s="1"/>
  <c r="D210" i="2"/>
  <c r="AW207" i="2"/>
  <c r="AU207" i="2"/>
  <c r="Y206" i="2"/>
  <c r="U206" i="2"/>
  <c r="Q206" i="2"/>
  <c r="Y204" i="2"/>
  <c r="U204" i="2"/>
  <c r="Q204" i="2"/>
  <c r="G204" i="2"/>
  <c r="F204" i="2"/>
  <c r="H204" i="2" s="1"/>
  <c r="D204" i="2"/>
  <c r="Y201" i="2"/>
  <c r="U201" i="2"/>
  <c r="Q201" i="2"/>
  <c r="G201" i="2"/>
  <c r="F201" i="2"/>
  <c r="H201" i="2" s="1"/>
  <c r="D201" i="2"/>
  <c r="Y198" i="2"/>
  <c r="U198" i="2"/>
  <c r="Q198" i="2"/>
  <c r="G198" i="2"/>
  <c r="F198" i="2"/>
  <c r="H198" i="2" s="1"/>
  <c r="D198" i="2"/>
  <c r="I198" i="2" s="1"/>
  <c r="Y195" i="2"/>
  <c r="U195" i="2"/>
  <c r="Q195" i="2"/>
  <c r="G195" i="2"/>
  <c r="F195" i="2"/>
  <c r="H195" i="2" s="1"/>
  <c r="D195" i="2"/>
  <c r="R195" i="2" s="1"/>
  <c r="S195" i="2" s="1"/>
  <c r="T195" i="2" s="1"/>
  <c r="Y192" i="2"/>
  <c r="U192" i="2"/>
  <c r="Q192" i="2"/>
  <c r="G192" i="2"/>
  <c r="F192" i="2"/>
  <c r="H192" i="2" s="1"/>
  <c r="D192" i="2"/>
  <c r="Y189" i="2"/>
  <c r="U189" i="2"/>
  <c r="Q189" i="2"/>
  <c r="G189" i="2"/>
  <c r="F189" i="2"/>
  <c r="H189" i="2" s="1"/>
  <c r="D189" i="2"/>
  <c r="Y186" i="2"/>
  <c r="U186" i="2"/>
  <c r="Q186" i="2"/>
  <c r="G186" i="2"/>
  <c r="F186" i="2"/>
  <c r="H186" i="2" s="1"/>
  <c r="D186" i="2"/>
  <c r="Y183" i="2"/>
  <c r="U183" i="2"/>
  <c r="Q183" i="2"/>
  <c r="G183" i="2"/>
  <c r="F183" i="2"/>
  <c r="D183" i="2"/>
  <c r="AU180" i="2"/>
  <c r="Y179" i="2"/>
  <c r="R179" i="2" s="1"/>
  <c r="U179" i="2"/>
  <c r="Q179" i="2"/>
  <c r="Y177" i="2"/>
  <c r="U177" i="2"/>
  <c r="Q177" i="2"/>
  <c r="G177" i="2"/>
  <c r="F177" i="2"/>
  <c r="H177" i="2" s="1"/>
  <c r="I177" i="2" s="1"/>
  <c r="D177" i="2"/>
  <c r="Y174" i="2"/>
  <c r="U174" i="2"/>
  <c r="Q174" i="2"/>
  <c r="G174" i="2"/>
  <c r="F174" i="2"/>
  <c r="H174" i="2" s="1"/>
  <c r="D174" i="2"/>
  <c r="R174" i="2" s="1"/>
  <c r="S174" i="2" s="1"/>
  <c r="Y171" i="2"/>
  <c r="U171" i="2"/>
  <c r="Q171" i="2"/>
  <c r="Q180" i="2" s="1"/>
  <c r="G171" i="2"/>
  <c r="F171" i="2"/>
  <c r="H171" i="2" s="1"/>
  <c r="I171" i="2" s="1"/>
  <c r="D171" i="2"/>
  <c r="AU166" i="2"/>
  <c r="Y165" i="2"/>
  <c r="U165" i="2"/>
  <c r="Q165" i="2"/>
  <c r="Y163" i="2"/>
  <c r="U163" i="2"/>
  <c r="Q163" i="2"/>
  <c r="G163" i="2"/>
  <c r="F163" i="2"/>
  <c r="H163" i="2" s="1"/>
  <c r="I163" i="2" s="1"/>
  <c r="D163" i="2"/>
  <c r="Y162" i="2"/>
  <c r="U162" i="2"/>
  <c r="Q162" i="2"/>
  <c r="G162" i="2"/>
  <c r="F162" i="2"/>
  <c r="H162" i="2" s="1"/>
  <c r="I162" i="2" s="1"/>
  <c r="D162" i="2"/>
  <c r="Y161" i="2"/>
  <c r="U161" i="2"/>
  <c r="Q161" i="2"/>
  <c r="G161" i="2"/>
  <c r="F161" i="2"/>
  <c r="H161" i="2" s="1"/>
  <c r="I161" i="2" s="1"/>
  <c r="D161" i="2"/>
  <c r="R161" i="2" s="1"/>
  <c r="S161" i="2" s="1"/>
  <c r="Y160" i="2"/>
  <c r="U160" i="2"/>
  <c r="Q160" i="2"/>
  <c r="G160" i="2"/>
  <c r="F160" i="2"/>
  <c r="H160" i="2" s="1"/>
  <c r="D160" i="2"/>
  <c r="R160" i="2" s="1"/>
  <c r="Y159" i="2"/>
  <c r="U159" i="2"/>
  <c r="Q159" i="2"/>
  <c r="F159" i="2"/>
  <c r="D159" i="2"/>
  <c r="R159" i="2" s="1"/>
  <c r="S159" i="2" s="1"/>
  <c r="Y158" i="2"/>
  <c r="U158" i="2"/>
  <c r="Q158" i="2"/>
  <c r="G158" i="2"/>
  <c r="F158" i="2"/>
  <c r="H158" i="2" s="1"/>
  <c r="D158" i="2"/>
  <c r="Y157" i="2"/>
  <c r="U157" i="2"/>
  <c r="Q157" i="2"/>
  <c r="G157" i="2"/>
  <c r="F157" i="2"/>
  <c r="H157" i="2" s="1"/>
  <c r="I157" i="2" s="1"/>
  <c r="D157" i="2"/>
  <c r="R157" i="2" s="1"/>
  <c r="Y154" i="2"/>
  <c r="U154" i="2"/>
  <c r="Q154" i="2"/>
  <c r="G154" i="2"/>
  <c r="F154" i="2"/>
  <c r="H154" i="2" s="1"/>
  <c r="C154" i="2"/>
  <c r="D154" i="2" s="1"/>
  <c r="Y153" i="2"/>
  <c r="U153" i="2"/>
  <c r="Q153" i="2"/>
  <c r="G153" i="2"/>
  <c r="F153" i="2"/>
  <c r="H153" i="2" s="1"/>
  <c r="I153" i="2" s="1"/>
  <c r="D153" i="2"/>
  <c r="Y152" i="2"/>
  <c r="U152" i="2"/>
  <c r="Q152" i="2"/>
  <c r="G152" i="2"/>
  <c r="F152" i="2"/>
  <c r="H152" i="2" s="1"/>
  <c r="D152" i="2"/>
  <c r="Y151" i="2"/>
  <c r="U151" i="2"/>
  <c r="Q151" i="2"/>
  <c r="G151" i="2"/>
  <c r="F151" i="2"/>
  <c r="H151" i="2" s="1"/>
  <c r="D151" i="2"/>
  <c r="Y150" i="2"/>
  <c r="U150" i="2"/>
  <c r="Q150" i="2"/>
  <c r="F150" i="2"/>
  <c r="D150" i="2"/>
  <c r="Y149" i="2"/>
  <c r="U149" i="2"/>
  <c r="Q149" i="2"/>
  <c r="G149" i="2"/>
  <c r="F149" i="2"/>
  <c r="H149" i="2" s="1"/>
  <c r="I149" i="2" s="1"/>
  <c r="D149" i="2"/>
  <c r="Y148" i="2"/>
  <c r="U148" i="2"/>
  <c r="Q148" i="2"/>
  <c r="G148" i="2"/>
  <c r="F148" i="2"/>
  <c r="H148" i="2" s="1"/>
  <c r="I148" i="2" s="1"/>
  <c r="D148" i="2"/>
  <c r="Y145" i="2"/>
  <c r="U145" i="2"/>
  <c r="Q145" i="2"/>
  <c r="G145" i="2"/>
  <c r="F145" i="2"/>
  <c r="H145" i="2" s="1"/>
  <c r="I145" i="2" s="1"/>
  <c r="C145" i="2"/>
  <c r="D145" i="2" s="1"/>
  <c r="Y144" i="2"/>
  <c r="U144" i="2"/>
  <c r="Q144" i="2"/>
  <c r="G144" i="2"/>
  <c r="F144" i="2"/>
  <c r="D144" i="2"/>
  <c r="Y143" i="2"/>
  <c r="U143" i="2"/>
  <c r="Q143" i="2"/>
  <c r="G143" i="2"/>
  <c r="F143" i="2"/>
  <c r="H143" i="2" s="1"/>
  <c r="I143" i="2" s="1"/>
  <c r="D143" i="2"/>
  <c r="Y142" i="2"/>
  <c r="U142" i="2"/>
  <c r="Q142" i="2"/>
  <c r="G142" i="2"/>
  <c r="F142" i="2"/>
  <c r="H142" i="2" s="1"/>
  <c r="I142" i="2" s="1"/>
  <c r="D142" i="2"/>
  <c r="Y141" i="2"/>
  <c r="U141" i="2"/>
  <c r="Q141" i="2"/>
  <c r="F141" i="2"/>
  <c r="D141" i="2"/>
  <c r="R141" i="2" s="1"/>
  <c r="Y140" i="2"/>
  <c r="R140" i="2" s="1"/>
  <c r="S140" i="2" s="1"/>
  <c r="U140" i="2"/>
  <c r="Q140" i="2"/>
  <c r="G140" i="2"/>
  <c r="F140" i="2"/>
  <c r="H140" i="2" s="1"/>
  <c r="I140" i="2" s="1"/>
  <c r="D140" i="2"/>
  <c r="Y139" i="2"/>
  <c r="U139" i="2"/>
  <c r="Q139" i="2"/>
  <c r="G139" i="2"/>
  <c r="F139" i="2"/>
  <c r="D139" i="2"/>
  <c r="R139" i="2" s="1"/>
  <c r="Y136" i="2"/>
  <c r="U136" i="2"/>
  <c r="Q136" i="2"/>
  <c r="G136" i="2"/>
  <c r="F136" i="2"/>
  <c r="H136" i="2" s="1"/>
  <c r="C136" i="2"/>
  <c r="D136" i="2" s="1"/>
  <c r="Y135" i="2"/>
  <c r="U135" i="2"/>
  <c r="Q135" i="2"/>
  <c r="G135" i="2"/>
  <c r="F135" i="2"/>
  <c r="H135" i="2" s="1"/>
  <c r="Y134" i="2"/>
  <c r="U134" i="2"/>
  <c r="Q134" i="2"/>
  <c r="G134" i="2"/>
  <c r="H134" i="2" s="1"/>
  <c r="F134" i="2"/>
  <c r="Y133" i="2"/>
  <c r="U133" i="2"/>
  <c r="Q133" i="2"/>
  <c r="G133" i="2"/>
  <c r="F133" i="2"/>
  <c r="H133" i="2" s="1"/>
  <c r="Y132" i="2"/>
  <c r="U132" i="2"/>
  <c r="Q132" i="2"/>
  <c r="M132" i="2"/>
  <c r="L132" i="2"/>
  <c r="F132" i="2"/>
  <c r="C132" i="2"/>
  <c r="D132" i="2" s="1"/>
  <c r="Y131" i="2"/>
  <c r="U131" i="2"/>
  <c r="Q131" i="2"/>
  <c r="M131" i="2"/>
  <c r="G131" i="2"/>
  <c r="F131" i="2"/>
  <c r="C131" i="2"/>
  <c r="D131" i="2" s="1"/>
  <c r="Y130" i="2"/>
  <c r="Y166" i="2" s="1"/>
  <c r="U130" i="2"/>
  <c r="U166" i="2" s="1"/>
  <c r="Q130" i="2"/>
  <c r="G130" i="2"/>
  <c r="F130" i="2"/>
  <c r="H130" i="2" s="1"/>
  <c r="D130" i="2"/>
  <c r="R130" i="2" s="1"/>
  <c r="AU127" i="2"/>
  <c r="Y126" i="2"/>
  <c r="U126" i="2"/>
  <c r="R126" i="2"/>
  <c r="Q126" i="2"/>
  <c r="Y124" i="2"/>
  <c r="U124" i="2"/>
  <c r="Q124" i="2"/>
  <c r="G124" i="2"/>
  <c r="F124" i="2"/>
  <c r="H124" i="2" s="1"/>
  <c r="I124" i="2" s="1"/>
  <c r="D124" i="2"/>
  <c r="Y123" i="2"/>
  <c r="U123" i="2"/>
  <c r="Q123" i="2"/>
  <c r="G123" i="2"/>
  <c r="F123" i="2"/>
  <c r="H123" i="2" s="1"/>
  <c r="D123" i="2"/>
  <c r="Y122" i="2"/>
  <c r="U122" i="2"/>
  <c r="Q122" i="2"/>
  <c r="G122" i="2"/>
  <c r="F122" i="2"/>
  <c r="H122" i="2" s="1"/>
  <c r="D122" i="2"/>
  <c r="Y121" i="2"/>
  <c r="U121" i="2"/>
  <c r="Q121" i="2"/>
  <c r="G121" i="2"/>
  <c r="F121" i="2"/>
  <c r="H121" i="2" s="1"/>
  <c r="I121" i="2" s="1"/>
  <c r="D121" i="2"/>
  <c r="Y120" i="2"/>
  <c r="U120" i="2"/>
  <c r="Q120" i="2"/>
  <c r="F120" i="2"/>
  <c r="D120" i="2"/>
  <c r="Y119" i="2"/>
  <c r="U119" i="2"/>
  <c r="Q119" i="2"/>
  <c r="G119" i="2"/>
  <c r="F119" i="2"/>
  <c r="H119" i="2" s="1"/>
  <c r="I119" i="2" s="1"/>
  <c r="D119" i="2"/>
  <c r="R119" i="2" s="1"/>
  <c r="S119" i="2" s="1"/>
  <c r="T119" i="2" s="1"/>
  <c r="Y118" i="2"/>
  <c r="U118" i="2"/>
  <c r="Q118" i="2"/>
  <c r="G118" i="2"/>
  <c r="F118" i="2"/>
  <c r="H118" i="2" s="1"/>
  <c r="D118" i="2"/>
  <c r="R118" i="2" s="1"/>
  <c r="Y115" i="2"/>
  <c r="U115" i="2"/>
  <c r="Q115" i="2"/>
  <c r="G115" i="2"/>
  <c r="F115" i="2"/>
  <c r="H115" i="2" s="1"/>
  <c r="C115" i="2"/>
  <c r="D115" i="2" s="1"/>
  <c r="Y114" i="2"/>
  <c r="U114" i="2"/>
  <c r="Q114" i="2"/>
  <c r="G114" i="2"/>
  <c r="F114" i="2"/>
  <c r="H114" i="2" s="1"/>
  <c r="D114" i="2"/>
  <c r="Y113" i="2"/>
  <c r="U113" i="2"/>
  <c r="Q113" i="2"/>
  <c r="G113" i="2"/>
  <c r="F113" i="2"/>
  <c r="H113" i="2" s="1"/>
  <c r="I113" i="2" s="1"/>
  <c r="D113" i="2"/>
  <c r="Y112" i="2"/>
  <c r="U112" i="2"/>
  <c r="Q112" i="2"/>
  <c r="G112" i="2"/>
  <c r="F112" i="2"/>
  <c r="D112" i="2"/>
  <c r="Y111" i="2"/>
  <c r="U111" i="2"/>
  <c r="Q111" i="2"/>
  <c r="F111" i="2"/>
  <c r="D111" i="2"/>
  <c r="R111" i="2" s="1"/>
  <c r="S111" i="2" s="1"/>
  <c r="T111" i="2" s="1"/>
  <c r="Y110" i="2"/>
  <c r="U110" i="2"/>
  <c r="Q110" i="2"/>
  <c r="G110" i="2"/>
  <c r="F110" i="2"/>
  <c r="H110" i="2" s="1"/>
  <c r="I110" i="2" s="1"/>
  <c r="V110" i="2" s="1"/>
  <c r="D110" i="2"/>
  <c r="R110" i="2" s="1"/>
  <c r="S110" i="2" s="1"/>
  <c r="T110" i="2" s="1"/>
  <c r="Y109" i="2"/>
  <c r="R109" i="2" s="1"/>
  <c r="U109" i="2"/>
  <c r="Q109" i="2"/>
  <c r="G109" i="2"/>
  <c r="F109" i="2"/>
  <c r="H109" i="2" s="1"/>
  <c r="D109" i="2"/>
  <c r="Y106" i="2"/>
  <c r="U106" i="2"/>
  <c r="Q106" i="2"/>
  <c r="G106" i="2"/>
  <c r="F106" i="2"/>
  <c r="C106" i="2"/>
  <c r="D106" i="2" s="1"/>
  <c r="Y105" i="2"/>
  <c r="U105" i="2"/>
  <c r="Q105" i="2"/>
  <c r="G105" i="2"/>
  <c r="F105" i="2"/>
  <c r="H105" i="2" s="1"/>
  <c r="I105" i="2" s="1"/>
  <c r="D105" i="2"/>
  <c r="Y104" i="2"/>
  <c r="U104" i="2"/>
  <c r="Q104" i="2"/>
  <c r="G104" i="2"/>
  <c r="F104" i="2"/>
  <c r="H104" i="2" s="1"/>
  <c r="I104" i="2" s="1"/>
  <c r="D104" i="2"/>
  <c r="R104" i="2" s="1"/>
  <c r="S104" i="2" s="1"/>
  <c r="T104" i="2" s="1"/>
  <c r="Y103" i="2"/>
  <c r="U103" i="2"/>
  <c r="Q103" i="2"/>
  <c r="G103" i="2"/>
  <c r="F103" i="2"/>
  <c r="H103" i="2" s="1"/>
  <c r="D103" i="2"/>
  <c r="R103" i="2" s="1"/>
  <c r="Y102" i="2"/>
  <c r="U102" i="2"/>
  <c r="Q102" i="2"/>
  <c r="F102" i="2"/>
  <c r="D102" i="2"/>
  <c r="Y101" i="2"/>
  <c r="U101" i="2"/>
  <c r="Q101" i="2"/>
  <c r="G101" i="2"/>
  <c r="F101" i="2"/>
  <c r="H101" i="2" s="1"/>
  <c r="D101" i="2"/>
  <c r="Y100" i="2"/>
  <c r="U100" i="2"/>
  <c r="Q100" i="2"/>
  <c r="G100" i="2"/>
  <c r="F100" i="2"/>
  <c r="D100" i="2"/>
  <c r="Y97" i="2"/>
  <c r="U97" i="2"/>
  <c r="Q97" i="2"/>
  <c r="G97" i="2"/>
  <c r="F97" i="2"/>
  <c r="H97" i="2" s="1"/>
  <c r="I97" i="2" s="1"/>
  <c r="C97" i="2"/>
  <c r="D97" i="2" s="1"/>
  <c r="Y96" i="2"/>
  <c r="U96" i="2"/>
  <c r="Q96" i="2"/>
  <c r="D96" i="2"/>
  <c r="Y95" i="2"/>
  <c r="U95" i="2"/>
  <c r="Q95" i="2"/>
  <c r="D95" i="2"/>
  <c r="Y94" i="2"/>
  <c r="U94" i="2"/>
  <c r="Q94" i="2"/>
  <c r="D94" i="2"/>
  <c r="Y93" i="2"/>
  <c r="U93" i="2"/>
  <c r="Q93" i="2"/>
  <c r="D93" i="2"/>
  <c r="Y92" i="2"/>
  <c r="U92" i="2"/>
  <c r="Q92" i="2"/>
  <c r="D92" i="2"/>
  <c r="Y91" i="2"/>
  <c r="U91" i="2"/>
  <c r="Q91" i="2"/>
  <c r="D91" i="2"/>
  <c r="R91" i="2" s="1"/>
  <c r="Y88" i="2"/>
  <c r="U88" i="2"/>
  <c r="Q88" i="2"/>
  <c r="C88" i="2"/>
  <c r="D88" i="2" s="1"/>
  <c r="Y87" i="2"/>
  <c r="U87" i="2"/>
  <c r="Q87" i="2"/>
  <c r="D87" i="2"/>
  <c r="Y86" i="2"/>
  <c r="U86" i="2"/>
  <c r="Q86" i="2"/>
  <c r="D86" i="2"/>
  <c r="Y85" i="2"/>
  <c r="U85" i="2"/>
  <c r="Q85" i="2"/>
  <c r="D85" i="2"/>
  <c r="Y84" i="2"/>
  <c r="U84" i="2"/>
  <c r="Q84" i="2"/>
  <c r="D84" i="2"/>
  <c r="Y83" i="2"/>
  <c r="U83" i="2"/>
  <c r="Q83" i="2"/>
  <c r="D83" i="2"/>
  <c r="Y82" i="2"/>
  <c r="U82" i="2"/>
  <c r="Q82" i="2"/>
  <c r="D82" i="2"/>
  <c r="Y80" i="2"/>
  <c r="U80" i="2"/>
  <c r="Q80" i="2"/>
  <c r="D80" i="2"/>
  <c r="Y79" i="2"/>
  <c r="U79" i="2"/>
  <c r="Q79" i="2"/>
  <c r="D79" i="2"/>
  <c r="Y78" i="2"/>
  <c r="U78" i="2"/>
  <c r="Q78" i="2"/>
  <c r="D78" i="2"/>
  <c r="Y77" i="2"/>
  <c r="U77" i="2"/>
  <c r="Q77" i="2"/>
  <c r="D77" i="2"/>
  <c r="Y76" i="2"/>
  <c r="U76" i="2"/>
  <c r="Q76" i="2"/>
  <c r="D76" i="2"/>
  <c r="Y75" i="2"/>
  <c r="U75" i="2"/>
  <c r="Q75" i="2"/>
  <c r="D75" i="2"/>
  <c r="R75" i="2" s="1"/>
  <c r="Y72" i="2"/>
  <c r="U72" i="2"/>
  <c r="Q72" i="2"/>
  <c r="C72" i="2"/>
  <c r="D72" i="2" s="1"/>
  <c r="Y71" i="2"/>
  <c r="U71" i="2"/>
  <c r="Q71" i="2"/>
  <c r="D71" i="2"/>
  <c r="Y70" i="2"/>
  <c r="U70" i="2"/>
  <c r="Q70" i="2"/>
  <c r="D70" i="2"/>
  <c r="Y69" i="2"/>
  <c r="U69" i="2"/>
  <c r="Q69" i="2"/>
  <c r="D69" i="2"/>
  <c r="Y68" i="2"/>
  <c r="U68" i="2"/>
  <c r="Q68" i="2"/>
  <c r="D68" i="2"/>
  <c r="Y67" i="2"/>
  <c r="U67" i="2"/>
  <c r="Q67" i="2"/>
  <c r="D67" i="2"/>
  <c r="R67" i="2" s="1"/>
  <c r="Y66" i="2"/>
  <c r="U66" i="2"/>
  <c r="Q66" i="2"/>
  <c r="D66" i="2"/>
  <c r="AU63" i="2"/>
  <c r="Y62" i="2"/>
  <c r="U62" i="2"/>
  <c r="Q62" i="2"/>
  <c r="Y60" i="2"/>
  <c r="U60" i="2"/>
  <c r="Q60" i="2"/>
  <c r="G60" i="2"/>
  <c r="F60" i="2"/>
  <c r="H60" i="2" s="1"/>
  <c r="Y59" i="2"/>
  <c r="U59" i="2"/>
  <c r="Q59" i="2"/>
  <c r="G59" i="2"/>
  <c r="F59" i="2"/>
  <c r="H59" i="2" s="1"/>
  <c r="Y58" i="2"/>
  <c r="U58" i="2"/>
  <c r="Q58" i="2"/>
  <c r="G58" i="2"/>
  <c r="F58" i="2"/>
  <c r="H58" i="2" s="1"/>
  <c r="Y57" i="2"/>
  <c r="U57" i="2"/>
  <c r="Q57" i="2"/>
  <c r="G57" i="2"/>
  <c r="F57" i="2"/>
  <c r="Y56" i="2"/>
  <c r="U56" i="2"/>
  <c r="Q56" i="2"/>
  <c r="F56" i="2"/>
  <c r="Y55" i="2"/>
  <c r="U55" i="2"/>
  <c r="Q55" i="2"/>
  <c r="M55" i="2"/>
  <c r="G55" i="2"/>
  <c r="F55" i="2"/>
  <c r="C55" i="2"/>
  <c r="D55" i="2" s="1"/>
  <c r="Y54" i="2"/>
  <c r="U54" i="2"/>
  <c r="Q54" i="2"/>
  <c r="G54" i="2"/>
  <c r="F54" i="2"/>
  <c r="H54" i="2" s="1"/>
  <c r="D54" i="2"/>
  <c r="Y51" i="2"/>
  <c r="U51" i="2"/>
  <c r="Q51" i="2"/>
  <c r="G51" i="2"/>
  <c r="F51" i="2"/>
  <c r="H51" i="2" s="1"/>
  <c r="C51" i="2"/>
  <c r="D51" i="2" s="1"/>
  <c r="Y49" i="2"/>
  <c r="U49" i="2"/>
  <c r="Q49" i="2"/>
  <c r="G49" i="2"/>
  <c r="F49" i="2"/>
  <c r="H49" i="2" s="1"/>
  <c r="D49" i="2"/>
  <c r="Y48" i="2"/>
  <c r="U48" i="2"/>
  <c r="Q48" i="2"/>
  <c r="G48" i="2"/>
  <c r="F48" i="2"/>
  <c r="H48" i="2" s="1"/>
  <c r="D48" i="2"/>
  <c r="Y47" i="2"/>
  <c r="U47" i="2"/>
  <c r="Q47" i="2"/>
  <c r="G47" i="2"/>
  <c r="F47" i="2"/>
  <c r="D47" i="2"/>
  <c r="Y46" i="2"/>
  <c r="U46" i="2"/>
  <c r="Q46" i="2"/>
  <c r="F46" i="2"/>
  <c r="D46" i="2"/>
  <c r="Y45" i="2"/>
  <c r="U45" i="2"/>
  <c r="Q45" i="2"/>
  <c r="G45" i="2"/>
  <c r="F45" i="2"/>
  <c r="H45" i="2" s="1"/>
  <c r="I45" i="2" s="1"/>
  <c r="D45" i="2"/>
  <c r="Y44" i="2"/>
  <c r="U44" i="2"/>
  <c r="Q44" i="2"/>
  <c r="G44" i="2"/>
  <c r="F44" i="2"/>
  <c r="H44" i="2" s="1"/>
  <c r="I44" i="2" s="1"/>
  <c r="D44" i="2"/>
  <c r="Y41" i="2"/>
  <c r="U41" i="2"/>
  <c r="Q41" i="2"/>
  <c r="G41" i="2"/>
  <c r="F41" i="2"/>
  <c r="H41" i="2" s="1"/>
  <c r="Y40" i="2"/>
  <c r="U40" i="2"/>
  <c r="Q40" i="2"/>
  <c r="G40" i="2"/>
  <c r="F40" i="2"/>
  <c r="Y39" i="2"/>
  <c r="U39" i="2"/>
  <c r="Q39" i="2"/>
  <c r="G39" i="2"/>
  <c r="F39" i="2"/>
  <c r="H39" i="2" s="1"/>
  <c r="Y38" i="2"/>
  <c r="U38" i="2"/>
  <c r="Q38" i="2"/>
  <c r="F38" i="2"/>
  <c r="Y37" i="2"/>
  <c r="U37" i="2"/>
  <c r="Q37" i="2"/>
  <c r="G37" i="2"/>
  <c r="F37" i="2"/>
  <c r="H37" i="2" s="1"/>
  <c r="Y36" i="2"/>
  <c r="U36" i="2"/>
  <c r="Q36" i="2"/>
  <c r="Q63" i="2" s="1"/>
  <c r="M36" i="2"/>
  <c r="G36" i="2"/>
  <c r="F36" i="2"/>
  <c r="D36" i="2"/>
  <c r="Y30" i="2"/>
  <c r="R30" i="2" s="1"/>
  <c r="U30" i="2"/>
  <c r="Q30" i="2"/>
  <c r="H30" i="2"/>
  <c r="I30" i="2" s="1"/>
  <c r="Y27" i="2"/>
  <c r="U27" i="2"/>
  <c r="Q27" i="2"/>
  <c r="H27" i="2"/>
  <c r="I27" i="2" s="1"/>
  <c r="Y25" i="2"/>
  <c r="U25" i="2"/>
  <c r="Q25" i="2"/>
  <c r="H25" i="2"/>
  <c r="I25" i="2" s="1"/>
  <c r="Y24" i="2"/>
  <c r="U24" i="2"/>
  <c r="Q24" i="2"/>
  <c r="H24" i="2"/>
  <c r="I24" i="2" s="1"/>
  <c r="Y22" i="2"/>
  <c r="R22" i="2" s="1"/>
  <c r="U22" i="2"/>
  <c r="U31" i="2" s="1"/>
  <c r="Q22" i="2"/>
  <c r="H22" i="2"/>
  <c r="I22" i="2" s="1"/>
  <c r="B17" i="2"/>
  <c r="B56" i="1"/>
  <c r="D43" i="1"/>
  <c r="K38" i="1"/>
  <c r="J38" i="1"/>
  <c r="L36" i="1"/>
  <c r="K31" i="1"/>
  <c r="J31" i="1"/>
  <c r="I31" i="1"/>
  <c r="H31" i="1"/>
  <c r="G31" i="1"/>
  <c r="K28" i="1"/>
  <c r="I28" i="1"/>
  <c r="L21" i="1"/>
  <c r="B16" i="1"/>
  <c r="H56" i="6" l="1"/>
  <c r="I56" i="6" s="1"/>
  <c r="H26" i="6"/>
  <c r="I26" i="6" s="1"/>
  <c r="G32" i="5"/>
  <c r="H32" i="5" s="1"/>
  <c r="H194" i="4"/>
  <c r="I194" i="4" s="1"/>
  <c r="AD194" i="4" s="1"/>
  <c r="AE194" i="4" s="1"/>
  <c r="AF194" i="4" s="1"/>
  <c r="BC77" i="6"/>
  <c r="AY77" i="6"/>
  <c r="AY78" i="6" s="1"/>
  <c r="W65" i="6"/>
  <c r="X65" i="6" s="1"/>
  <c r="BE77" i="6"/>
  <c r="BA77" i="6"/>
  <c r="W56" i="6"/>
  <c r="X56" i="6" s="1"/>
  <c r="AC49" i="6"/>
  <c r="M36" i="1" s="1"/>
  <c r="I47" i="6"/>
  <c r="Z47" i="6" s="1"/>
  <c r="AA47" i="6" s="1"/>
  <c r="AB47" i="6" s="1"/>
  <c r="I44" i="6"/>
  <c r="Z44" i="6" s="1"/>
  <c r="AA44" i="6" s="1"/>
  <c r="AB44" i="6" s="1"/>
  <c r="BF41" i="6"/>
  <c r="BF78" i="6" s="1"/>
  <c r="P36" i="6"/>
  <c r="BE41" i="6"/>
  <c r="BD29" i="6"/>
  <c r="BD78" i="6" s="1"/>
  <c r="V27" i="6"/>
  <c r="BE24" i="6"/>
  <c r="AY24" i="6"/>
  <c r="AQ56" i="5"/>
  <c r="BG214" i="4"/>
  <c r="AA203" i="4"/>
  <c r="AB203" i="4" s="1"/>
  <c r="BI205" i="4"/>
  <c r="BJ188" i="4"/>
  <c r="BI188" i="4"/>
  <c r="BI179" i="4"/>
  <c r="BH179" i="4"/>
  <c r="BJ170" i="4"/>
  <c r="BC170" i="4"/>
  <c r="BI170" i="4"/>
  <c r="BJ163" i="4"/>
  <c r="BH163" i="4"/>
  <c r="BC163" i="4"/>
  <c r="BF163" i="4"/>
  <c r="BI154" i="4"/>
  <c r="BF99" i="4"/>
  <c r="BC91" i="4"/>
  <c r="BH91" i="4"/>
  <c r="BE91" i="4"/>
  <c r="Y91" i="4"/>
  <c r="BH83" i="4"/>
  <c r="BE83" i="4"/>
  <c r="AA71" i="4"/>
  <c r="AB71" i="4" s="1"/>
  <c r="BF56" i="4"/>
  <c r="BG56" i="4"/>
  <c r="BI42" i="4"/>
  <c r="BF42" i="4"/>
  <c r="BC197" i="4"/>
  <c r="BC146" i="4"/>
  <c r="BH146" i="4"/>
  <c r="BF146" i="4"/>
  <c r="BE137" i="4"/>
  <c r="BC137" i="4"/>
  <c r="BI126" i="4"/>
  <c r="BI115" i="4"/>
  <c r="BF115" i="4"/>
  <c r="BF107" i="4"/>
  <c r="BC107" i="4"/>
  <c r="H97" i="4"/>
  <c r="I97" i="4" s="1"/>
  <c r="I98" i="4" s="1"/>
  <c r="BC99" i="4"/>
  <c r="I86" i="4"/>
  <c r="AD86" i="4" s="1"/>
  <c r="AE86" i="4" s="1"/>
  <c r="H71" i="4"/>
  <c r="I71" i="4" s="1"/>
  <c r="Y67" i="4"/>
  <c r="BH49" i="4"/>
  <c r="BE49" i="4"/>
  <c r="AC42" i="4"/>
  <c r="I220" i="4"/>
  <c r="AD220" i="4" s="1"/>
  <c r="AE220" i="4" s="1"/>
  <c r="AF220" i="4" s="1"/>
  <c r="H217" i="4"/>
  <c r="I217" i="4" s="1"/>
  <c r="AD217" i="4" s="1"/>
  <c r="AE217" i="4" s="1"/>
  <c r="AF217" i="4" s="1"/>
  <c r="BC205" i="4"/>
  <c r="BC28" i="4"/>
  <c r="BG28" i="4"/>
  <c r="BG68" i="4" s="1"/>
  <c r="BF28" i="4"/>
  <c r="BJ28" i="4"/>
  <c r="BJ68" i="4" s="1"/>
  <c r="BI28" i="4"/>
  <c r="BE28" i="4"/>
  <c r="AC28" i="4"/>
  <c r="R124" i="3"/>
  <c r="S124" i="3" s="1"/>
  <c r="T124" i="3" s="1"/>
  <c r="I123" i="3"/>
  <c r="V122" i="3"/>
  <c r="W122" i="3" s="1"/>
  <c r="X122" i="3" s="1"/>
  <c r="Y118" i="3"/>
  <c r="R113" i="3"/>
  <c r="S113" i="3" s="1"/>
  <c r="R107" i="3"/>
  <c r="S107" i="3" s="1"/>
  <c r="T107" i="3" s="1"/>
  <c r="W106" i="3"/>
  <c r="X106" i="3" s="1"/>
  <c r="V105" i="3"/>
  <c r="W105" i="3" s="1"/>
  <c r="X105" i="3" s="1"/>
  <c r="S104" i="3"/>
  <c r="T104" i="3" s="1"/>
  <c r="R103" i="3"/>
  <c r="S103" i="3" s="1"/>
  <c r="T103" i="3" s="1"/>
  <c r="H103" i="3"/>
  <c r="I103" i="3" s="1"/>
  <c r="V103" i="3" s="1"/>
  <c r="W103" i="3" s="1"/>
  <c r="X103" i="3" s="1"/>
  <c r="I102" i="3"/>
  <c r="V101" i="3"/>
  <c r="W101" i="3" s="1"/>
  <c r="X101" i="3" s="1"/>
  <c r="S101" i="3"/>
  <c r="T101" i="3" s="1"/>
  <c r="R96" i="3"/>
  <c r="S96" i="3" s="1"/>
  <c r="T96" i="3" s="1"/>
  <c r="H96" i="3"/>
  <c r="I96" i="3" s="1"/>
  <c r="V96" i="3" s="1"/>
  <c r="W96" i="3" s="1"/>
  <c r="X96" i="3" s="1"/>
  <c r="R94" i="3"/>
  <c r="S94" i="3" s="1"/>
  <c r="S89" i="3"/>
  <c r="T89" i="3" s="1"/>
  <c r="V87" i="3"/>
  <c r="W87" i="3" s="1"/>
  <c r="X87" i="3" s="1"/>
  <c r="R86" i="3"/>
  <c r="S86" i="3" s="1"/>
  <c r="T86" i="3" s="1"/>
  <c r="I85" i="3"/>
  <c r="I84" i="3"/>
  <c r="V84" i="3" s="1"/>
  <c r="W84" i="3" s="1"/>
  <c r="X84" i="3" s="1"/>
  <c r="H83" i="3"/>
  <c r="I83" i="3" s="1"/>
  <c r="R77" i="3"/>
  <c r="S77" i="3" s="1"/>
  <c r="T77" i="3" s="1"/>
  <c r="H75" i="3"/>
  <c r="I75" i="3" s="1"/>
  <c r="V74" i="3"/>
  <c r="W74" i="3" s="1"/>
  <c r="X74" i="3" s="1"/>
  <c r="I69" i="3"/>
  <c r="V69" i="3" s="1"/>
  <c r="W69" i="3" s="1"/>
  <c r="X69" i="3" s="1"/>
  <c r="I68" i="3"/>
  <c r="I66" i="3"/>
  <c r="V66" i="3" s="1"/>
  <c r="W66" i="3" s="1"/>
  <c r="R163" i="2"/>
  <c r="S163" i="2" s="1"/>
  <c r="T163" i="2" s="1"/>
  <c r="V162" i="2"/>
  <c r="W162" i="2" s="1"/>
  <c r="I160" i="2"/>
  <c r="I158" i="2"/>
  <c r="V158" i="2" s="1"/>
  <c r="W158" i="2" s="1"/>
  <c r="X158" i="2" s="1"/>
  <c r="R153" i="2"/>
  <c r="S153" i="2" s="1"/>
  <c r="T153" i="2" s="1"/>
  <c r="R152" i="2"/>
  <c r="S152" i="2" s="1"/>
  <c r="I152" i="2"/>
  <c r="R149" i="2"/>
  <c r="S149" i="2" s="1"/>
  <c r="T149" i="2" s="1"/>
  <c r="R145" i="2"/>
  <c r="S145" i="2" s="1"/>
  <c r="T145" i="2" s="1"/>
  <c r="R144" i="2"/>
  <c r="S144" i="2" s="1"/>
  <c r="T144" i="2" s="1"/>
  <c r="H144" i="2"/>
  <c r="I144" i="2" s="1"/>
  <c r="V144" i="2" s="1"/>
  <c r="W144" i="2" s="1"/>
  <c r="X144" i="2" s="1"/>
  <c r="R142" i="2"/>
  <c r="S142" i="2" s="1"/>
  <c r="T142" i="2" s="1"/>
  <c r="H139" i="2"/>
  <c r="I139" i="2" s="1"/>
  <c r="V139" i="2" s="1"/>
  <c r="W139" i="2" s="1"/>
  <c r="X139" i="2" s="1"/>
  <c r="H131" i="2"/>
  <c r="I131" i="2" s="1"/>
  <c r="I130" i="2"/>
  <c r="I123" i="2"/>
  <c r="I118" i="2"/>
  <c r="R115" i="2"/>
  <c r="S115" i="2" s="1"/>
  <c r="I114" i="2"/>
  <c r="V113" i="2"/>
  <c r="W113" i="2" s="1"/>
  <c r="H112" i="2"/>
  <c r="I112" i="2" s="1"/>
  <c r="H35" i="6"/>
  <c r="I35" i="6" s="1"/>
  <c r="Z35" i="6" s="1"/>
  <c r="AA35" i="6" s="1"/>
  <c r="AB35" i="6" s="1"/>
  <c r="AY29" i="6"/>
  <c r="I28" i="6"/>
  <c r="Z28" i="6" s="1"/>
  <c r="AA28" i="6" s="1"/>
  <c r="AB28" i="6" s="1"/>
  <c r="BC29" i="6"/>
  <c r="AZ24" i="6"/>
  <c r="AR56" i="5"/>
  <c r="G42" i="5"/>
  <c r="H42" i="5" s="1"/>
  <c r="L41" i="5"/>
  <c r="M41" i="5" s="1"/>
  <c r="L38" i="5"/>
  <c r="M38" i="5" s="1"/>
  <c r="L37" i="5"/>
  <c r="M37" i="5" s="1"/>
  <c r="L30" i="5"/>
  <c r="M30" i="5" s="1"/>
  <c r="I235" i="4"/>
  <c r="AD235" i="4" s="1"/>
  <c r="AE235" i="4" s="1"/>
  <c r="AF235" i="4" s="1"/>
  <c r="I233" i="4"/>
  <c r="AD233" i="4" s="1"/>
  <c r="AE233" i="4" s="1"/>
  <c r="AF233" i="4" s="1"/>
  <c r="BF223" i="4"/>
  <c r="BG197" i="4"/>
  <c r="R59" i="3"/>
  <c r="S59" i="3" s="1"/>
  <c r="T59" i="3" s="1"/>
  <c r="R57" i="3"/>
  <c r="S57" i="3" s="1"/>
  <c r="T57" i="3" s="1"/>
  <c r="R56" i="3"/>
  <c r="S56" i="3" s="1"/>
  <c r="T56" i="3" s="1"/>
  <c r="V54" i="3"/>
  <c r="W54" i="3" s="1"/>
  <c r="X54" i="3" s="1"/>
  <c r="R53" i="3"/>
  <c r="R46" i="3"/>
  <c r="R44" i="3"/>
  <c r="U49" i="3"/>
  <c r="R38" i="3"/>
  <c r="S38" i="3" s="1"/>
  <c r="T38" i="3" s="1"/>
  <c r="R27" i="3"/>
  <c r="S27" i="3" s="1"/>
  <c r="Q40" i="3"/>
  <c r="R23" i="3"/>
  <c r="S23" i="3" s="1"/>
  <c r="T23" i="3" s="1"/>
  <c r="AU232" i="2"/>
  <c r="L24" i="1" s="1"/>
  <c r="R228" i="2"/>
  <c r="S228" i="2" s="1"/>
  <c r="I225" i="2"/>
  <c r="V222" i="2"/>
  <c r="W222" i="2" s="1"/>
  <c r="I219" i="2"/>
  <c r="R213" i="2"/>
  <c r="I201" i="2"/>
  <c r="V201" i="2" s="1"/>
  <c r="I195" i="2"/>
  <c r="R189" i="2"/>
  <c r="S189" i="2" s="1"/>
  <c r="R148" i="2"/>
  <c r="S126" i="2"/>
  <c r="T126" i="2" s="1"/>
  <c r="R124" i="2"/>
  <c r="S124" i="2" s="1"/>
  <c r="R112" i="2"/>
  <c r="V105" i="2"/>
  <c r="I103" i="2"/>
  <c r="R102" i="2"/>
  <c r="S102" i="2" s="1"/>
  <c r="I101" i="2"/>
  <c r="R100" i="2"/>
  <c r="H100" i="2"/>
  <c r="I100" i="2" s="1"/>
  <c r="O64" i="5"/>
  <c r="P64" i="5" s="1"/>
  <c r="N55" i="5"/>
  <c r="BE205" i="4"/>
  <c r="BI197" i="4"/>
  <c r="R95" i="2"/>
  <c r="R94" i="2"/>
  <c r="S94" i="2" s="1"/>
  <c r="R87" i="2"/>
  <c r="S87" i="2" s="1"/>
  <c r="R83" i="2"/>
  <c r="S83" i="2" s="1"/>
  <c r="T83" i="2" s="1"/>
  <c r="R82" i="2"/>
  <c r="R80" i="2"/>
  <c r="S80" i="2" s="1"/>
  <c r="R78" i="2"/>
  <c r="R70" i="2"/>
  <c r="R69" i="2"/>
  <c r="H57" i="2"/>
  <c r="I57" i="2" s="1"/>
  <c r="H55" i="2"/>
  <c r="I55" i="2" s="1"/>
  <c r="I54" i="2"/>
  <c r="V54" i="2" s="1"/>
  <c r="W54" i="2" s="1"/>
  <c r="I51" i="2"/>
  <c r="I49" i="2"/>
  <c r="H47" i="2"/>
  <c r="I47" i="2" s="1"/>
  <c r="R45" i="2"/>
  <c r="S45" i="2" s="1"/>
  <c r="R44" i="2"/>
  <c r="R36" i="2"/>
  <c r="H36" i="2"/>
  <c r="I36" i="2" s="1"/>
  <c r="S30" i="2"/>
  <c r="T30" i="2" s="1"/>
  <c r="V27" i="2"/>
  <c r="Q31" i="2"/>
  <c r="V24" i="2"/>
  <c r="W24" i="2" s="1"/>
  <c r="X24" i="2" s="1"/>
  <c r="S22" i="2"/>
  <c r="BD24" i="6"/>
  <c r="BJ237" i="4"/>
  <c r="F37" i="9"/>
  <c r="E37" i="9"/>
  <c r="E36" i="9"/>
  <c r="F36" i="9"/>
  <c r="F52" i="5" s="1"/>
  <c r="G52" i="5" s="1"/>
  <c r="H52" i="5" s="1"/>
  <c r="F35" i="9"/>
  <c r="F51" i="5" s="1"/>
  <c r="G51" i="5" s="1"/>
  <c r="H51" i="5" s="1"/>
  <c r="E35" i="9"/>
  <c r="F33" i="9"/>
  <c r="F49" i="5" s="1"/>
  <c r="E33" i="9"/>
  <c r="E32" i="9"/>
  <c r="F32" i="9"/>
  <c r="F48" i="5" s="1"/>
  <c r="G48" i="5" s="1"/>
  <c r="H48" i="5" s="1"/>
  <c r="F31" i="9"/>
  <c r="F47" i="5" s="1"/>
  <c r="G47" i="5" s="1"/>
  <c r="H47" i="5" s="1"/>
  <c r="O47" i="5" s="1"/>
  <c r="P47" i="5" s="1"/>
  <c r="Q47" i="5" s="1"/>
  <c r="E31" i="9"/>
  <c r="D89" i="8"/>
  <c r="E89" i="8"/>
  <c r="F89" i="8" s="1"/>
  <c r="G124" i="3" s="1"/>
  <c r="H124" i="3" s="1"/>
  <c r="I124" i="3" s="1"/>
  <c r="D88" i="8"/>
  <c r="E88" i="8"/>
  <c r="F88" i="8" s="1"/>
  <c r="G116" i="3" s="1"/>
  <c r="H116" i="3" s="1"/>
  <c r="I116" i="3" s="1"/>
  <c r="V116" i="3" s="1"/>
  <c r="W116" i="3" s="1"/>
  <c r="D87" i="8"/>
  <c r="E87" i="8"/>
  <c r="F87" i="8" s="1"/>
  <c r="G88" i="3" s="1"/>
  <c r="H88" i="3" s="1"/>
  <c r="I88" i="3" s="1"/>
  <c r="E17" i="8"/>
  <c r="F17" i="8" s="1"/>
  <c r="G33" i="3" s="1"/>
  <c r="F33" i="3"/>
  <c r="H33" i="3" s="1"/>
  <c r="I33" i="3" s="1"/>
  <c r="E53" i="8"/>
  <c r="F53" i="8" s="1"/>
  <c r="F11" i="8"/>
  <c r="G26" i="3" s="1"/>
  <c r="H26" i="3" s="1"/>
  <c r="I26" i="3" s="1"/>
  <c r="V26" i="3" s="1"/>
  <c r="W26" i="3" s="1"/>
  <c r="X26" i="3" s="1"/>
  <c r="E8" i="8"/>
  <c r="F8" i="8" s="1"/>
  <c r="G23" i="3" s="1"/>
  <c r="F23" i="3"/>
  <c r="H23" i="3" s="1"/>
  <c r="I23" i="3" s="1"/>
  <c r="V23" i="3" s="1"/>
  <c r="G194" i="4"/>
  <c r="G176" i="4"/>
  <c r="G185" i="4"/>
  <c r="F176" i="4"/>
  <c r="F185" i="4"/>
  <c r="H185" i="4" s="1"/>
  <c r="I185" i="4" s="1"/>
  <c r="AD185" i="4" s="1"/>
  <c r="AE185" i="4" s="1"/>
  <c r="AF185" i="4" s="1"/>
  <c r="G120" i="4"/>
  <c r="G184" i="4"/>
  <c r="G131" i="4"/>
  <c r="F120" i="4"/>
  <c r="F184" i="4"/>
  <c r="H184" i="4" s="1"/>
  <c r="I184" i="4" s="1"/>
  <c r="AD184" i="4" s="1"/>
  <c r="AE184" i="4" s="1"/>
  <c r="AF184" i="4" s="1"/>
  <c r="F131" i="4"/>
  <c r="H131" i="4" s="1"/>
  <c r="I131" i="4" s="1"/>
  <c r="AD131" i="4" s="1"/>
  <c r="AE131" i="4" s="1"/>
  <c r="G111" i="4"/>
  <c r="G174" i="4"/>
  <c r="F174" i="4"/>
  <c r="H174" i="4" s="1"/>
  <c r="I174" i="4" s="1"/>
  <c r="AD174" i="4" s="1"/>
  <c r="AE174" i="4" s="1"/>
  <c r="AF174" i="4" s="1"/>
  <c r="F111" i="4"/>
  <c r="H111" i="4" s="1"/>
  <c r="I111" i="4" s="1"/>
  <c r="G212" i="4"/>
  <c r="H212" i="4" s="1"/>
  <c r="I212" i="4" s="1"/>
  <c r="AD212" i="4" s="1"/>
  <c r="AE212" i="4" s="1"/>
  <c r="AF212" i="4" s="1"/>
  <c r="G221" i="4"/>
  <c r="H221" i="4" s="1"/>
  <c r="I221" i="4" s="1"/>
  <c r="AD221" i="4" s="1"/>
  <c r="AE221" i="4" s="1"/>
  <c r="AF221" i="4" s="1"/>
  <c r="G123" i="4"/>
  <c r="G134" i="4"/>
  <c r="G143" i="4"/>
  <c r="G63" i="4"/>
  <c r="H63" i="4" s="1"/>
  <c r="I63" i="4" s="1"/>
  <c r="AD63" i="4" s="1"/>
  <c r="AE63" i="4" s="1"/>
  <c r="G152" i="4"/>
  <c r="G161" i="4"/>
  <c r="G168" i="4"/>
  <c r="F123" i="4"/>
  <c r="H123" i="4" s="1"/>
  <c r="I123" i="4" s="1"/>
  <c r="F134" i="4"/>
  <c r="H134" i="4" s="1"/>
  <c r="I134" i="4" s="1"/>
  <c r="AD134" i="4" s="1"/>
  <c r="AE134" i="4" s="1"/>
  <c r="AF134" i="4" s="1"/>
  <c r="F161" i="4"/>
  <c r="F143" i="4"/>
  <c r="H143" i="4" s="1"/>
  <c r="I143" i="4" s="1"/>
  <c r="AD143" i="4" s="1"/>
  <c r="AE143" i="4" s="1"/>
  <c r="AF143" i="4" s="1"/>
  <c r="F152" i="4"/>
  <c r="H152" i="4" s="1"/>
  <c r="I152" i="4" s="1"/>
  <c r="AD152" i="4" s="1"/>
  <c r="AE152" i="4" s="1"/>
  <c r="AF152" i="4" s="1"/>
  <c r="F168" i="4"/>
  <c r="E28" i="7"/>
  <c r="F28" i="7" s="1"/>
  <c r="F167" i="4"/>
  <c r="F160" i="4"/>
  <c r="F133" i="4"/>
  <c r="F150" i="4"/>
  <c r="F141" i="4"/>
  <c r="F122" i="4"/>
  <c r="G135" i="4"/>
  <c r="G113" i="4"/>
  <c r="G177" i="4"/>
  <c r="G186" i="4"/>
  <c r="G144" i="4"/>
  <c r="G124" i="4"/>
  <c r="F177" i="4"/>
  <c r="H177" i="4" s="1"/>
  <c r="I177" i="4" s="1"/>
  <c r="F186" i="4"/>
  <c r="H186" i="4" s="1"/>
  <c r="I186" i="4" s="1"/>
  <c r="F124" i="4"/>
  <c r="H124" i="4" s="1"/>
  <c r="I124" i="4" s="1"/>
  <c r="F113" i="4"/>
  <c r="H113" i="4" s="1"/>
  <c r="I113" i="4" s="1"/>
  <c r="AD113" i="4" s="1"/>
  <c r="AE113" i="4" s="1"/>
  <c r="F135" i="4"/>
  <c r="F144" i="4"/>
  <c r="H144" i="4" s="1"/>
  <c r="I144" i="4" s="1"/>
  <c r="AD144" i="4" s="1"/>
  <c r="G218" i="4"/>
  <c r="H218" i="4" s="1"/>
  <c r="I218" i="4" s="1"/>
  <c r="G192" i="4"/>
  <c r="H192" i="4" s="1"/>
  <c r="I192" i="4" s="1"/>
  <c r="G201" i="4"/>
  <c r="H201" i="4" s="1"/>
  <c r="I201" i="4" s="1"/>
  <c r="AF201" i="4" s="1"/>
  <c r="G25" i="4"/>
  <c r="H25" i="4" s="1"/>
  <c r="I25" i="4" s="1"/>
  <c r="AD25" i="4" s="1"/>
  <c r="AE25" i="4" s="1"/>
  <c r="AF25" i="4" s="1"/>
  <c r="G65" i="4"/>
  <c r="H65" i="4" s="1"/>
  <c r="I65" i="4" s="1"/>
  <c r="AD65" i="4" s="1"/>
  <c r="AE65" i="4" s="1"/>
  <c r="AF65" i="4" s="1"/>
  <c r="G80" i="4"/>
  <c r="H80" i="4" s="1"/>
  <c r="G87" i="4"/>
  <c r="H87" i="4" s="1"/>
  <c r="I87" i="4" s="1"/>
  <c r="G96" i="4"/>
  <c r="H96" i="4" s="1"/>
  <c r="I96" i="4" s="1"/>
  <c r="AD96" i="4" s="1"/>
  <c r="G104" i="4"/>
  <c r="H104" i="4" s="1"/>
  <c r="I104" i="4" s="1"/>
  <c r="AD104" i="4" s="1"/>
  <c r="G112" i="4"/>
  <c r="G119" i="4"/>
  <c r="G121" i="4"/>
  <c r="G130" i="4"/>
  <c r="G132" i="4"/>
  <c r="G175" i="4"/>
  <c r="G183" i="4"/>
  <c r="F121" i="4"/>
  <c r="H121" i="4" s="1"/>
  <c r="I121" i="4" s="1"/>
  <c r="AD121" i="4" s="1"/>
  <c r="F112" i="4"/>
  <c r="H112" i="4" s="1"/>
  <c r="I112" i="4" s="1"/>
  <c r="F183" i="4"/>
  <c r="H183" i="4" s="1"/>
  <c r="F175" i="4"/>
  <c r="H175" i="4" s="1"/>
  <c r="I175" i="4" s="1"/>
  <c r="F119" i="4"/>
  <c r="H119" i="4" s="1"/>
  <c r="I119" i="4" s="1"/>
  <c r="F132" i="4"/>
  <c r="H132" i="4" s="1"/>
  <c r="I132" i="4" s="1"/>
  <c r="AD132" i="4" s="1"/>
  <c r="AE132" i="4" s="1"/>
  <c r="F130" i="4"/>
  <c r="H130" i="4" s="1"/>
  <c r="I130" i="4" s="1"/>
  <c r="AD130" i="4" s="1"/>
  <c r="AE130" i="4" s="1"/>
  <c r="AF130" i="4" s="1"/>
  <c r="G129" i="4"/>
  <c r="G140" i="4"/>
  <c r="G166" i="4"/>
  <c r="G149" i="4"/>
  <c r="G24" i="4"/>
  <c r="G182" i="4"/>
  <c r="G118" i="4"/>
  <c r="G159" i="4"/>
  <c r="G110" i="4"/>
  <c r="G173" i="4"/>
  <c r="F140" i="4"/>
  <c r="H140" i="4" s="1"/>
  <c r="I140" i="4" s="1"/>
  <c r="F166" i="4"/>
  <c r="H166" i="4" s="1"/>
  <c r="I166" i="4" s="1"/>
  <c r="AD166" i="4" s="1"/>
  <c r="AE166" i="4" s="1"/>
  <c r="AF166" i="4" s="1"/>
  <c r="F149" i="4"/>
  <c r="H149" i="4" s="1"/>
  <c r="I149" i="4" s="1"/>
  <c r="F182" i="4"/>
  <c r="H182" i="4" s="1"/>
  <c r="I182" i="4" s="1"/>
  <c r="F110" i="4"/>
  <c r="H110" i="4" s="1"/>
  <c r="I110" i="4" s="1"/>
  <c r="F118" i="4"/>
  <c r="H118" i="4" s="1"/>
  <c r="I118" i="4" s="1"/>
  <c r="AD118" i="4" s="1"/>
  <c r="AE118" i="4" s="1"/>
  <c r="F129" i="4"/>
  <c r="H129" i="4" s="1"/>
  <c r="I129" i="4" s="1"/>
  <c r="F159" i="4"/>
  <c r="H159" i="4" s="1"/>
  <c r="F24" i="4"/>
  <c r="H24" i="4" s="1"/>
  <c r="I24" i="4" s="1"/>
  <c r="F173" i="4"/>
  <c r="H173" i="4" s="1"/>
  <c r="I173" i="4" s="1"/>
  <c r="AD173" i="4" s="1"/>
  <c r="AE173" i="4" s="1"/>
  <c r="AF173" i="4" s="1"/>
  <c r="G234" i="4"/>
  <c r="G23" i="4"/>
  <c r="H23" i="4" s="1"/>
  <c r="I23" i="4" s="1"/>
  <c r="AD23" i="4" s="1"/>
  <c r="AE23" i="4" s="1"/>
  <c r="AF23" i="4" s="1"/>
  <c r="G22" i="4"/>
  <c r="G139" i="4"/>
  <c r="G109" i="4"/>
  <c r="G117" i="4"/>
  <c r="G128" i="4"/>
  <c r="F148" i="4"/>
  <c r="F139" i="4"/>
  <c r="H139" i="4" s="1"/>
  <c r="I139" i="4" s="1"/>
  <c r="AD139" i="4" s="1"/>
  <c r="F158" i="4"/>
  <c r="F128" i="4"/>
  <c r="F165" i="4"/>
  <c r="F22" i="4"/>
  <c r="H22" i="4" s="1"/>
  <c r="I22" i="4" s="1"/>
  <c r="AD22" i="4" s="1"/>
  <c r="AE22" i="4" s="1"/>
  <c r="AF22" i="4" s="1"/>
  <c r="F117" i="4"/>
  <c r="H117" i="4" s="1"/>
  <c r="I117" i="4" s="1"/>
  <c r="F172" i="4"/>
  <c r="F109" i="4"/>
  <c r="H109" i="4" s="1"/>
  <c r="I109" i="4" s="1"/>
  <c r="F181" i="4"/>
  <c r="G88" i="2"/>
  <c r="G72" i="2"/>
  <c r="F72" i="2"/>
  <c r="H72" i="2" s="1"/>
  <c r="F88" i="2"/>
  <c r="H88" i="2" s="1"/>
  <c r="I88" i="2" s="1"/>
  <c r="V88" i="2" s="1"/>
  <c r="G96" i="2"/>
  <c r="G71" i="2"/>
  <c r="G80" i="2"/>
  <c r="G87" i="2"/>
  <c r="F80" i="2"/>
  <c r="H80" i="2" s="1"/>
  <c r="I80" i="2" s="1"/>
  <c r="V80" i="2" s="1"/>
  <c r="W80" i="2" s="1"/>
  <c r="F96" i="2"/>
  <c r="F71" i="2"/>
  <c r="H71" i="2" s="1"/>
  <c r="I71" i="2" s="1"/>
  <c r="F87" i="2"/>
  <c r="H87" i="2" s="1"/>
  <c r="I87" i="2" s="1"/>
  <c r="G79" i="2"/>
  <c r="G70" i="2"/>
  <c r="G95" i="2"/>
  <c r="G86" i="2"/>
  <c r="F95" i="2"/>
  <c r="H95" i="2" s="1"/>
  <c r="I95" i="2" s="1"/>
  <c r="F79" i="2"/>
  <c r="H79" i="2" s="1"/>
  <c r="F70" i="2"/>
  <c r="H70" i="2" s="1"/>
  <c r="I70" i="2" s="1"/>
  <c r="F86" i="2"/>
  <c r="H86" i="2" s="1"/>
  <c r="I86" i="2" s="1"/>
  <c r="G78" i="2"/>
  <c r="G94" i="2"/>
  <c r="G69" i="2"/>
  <c r="G85" i="2"/>
  <c r="F85" i="2"/>
  <c r="H85" i="2" s="1"/>
  <c r="I85" i="2" s="1"/>
  <c r="V85" i="2" s="1"/>
  <c r="W85" i="2" s="1"/>
  <c r="F78" i="2"/>
  <c r="H78" i="2" s="1"/>
  <c r="I78" i="2" s="1"/>
  <c r="F69" i="2"/>
  <c r="F94" i="2"/>
  <c r="H94" i="2" s="1"/>
  <c r="I94" i="2" s="1"/>
  <c r="G38" i="2"/>
  <c r="H38" i="2" s="1"/>
  <c r="G46" i="2"/>
  <c r="H46" i="2" s="1"/>
  <c r="I46" i="2" s="1"/>
  <c r="G56" i="2"/>
  <c r="H56" i="2" s="1"/>
  <c r="G68" i="2"/>
  <c r="G77" i="2"/>
  <c r="G84" i="2"/>
  <c r="G93" i="2"/>
  <c r="G102" i="2"/>
  <c r="H102" i="2" s="1"/>
  <c r="I102" i="2" s="1"/>
  <c r="G120" i="2"/>
  <c r="H120" i="2" s="1"/>
  <c r="I120" i="2" s="1"/>
  <c r="V120" i="2" s="1"/>
  <c r="G141" i="2"/>
  <c r="H141" i="2" s="1"/>
  <c r="I141" i="2" s="1"/>
  <c r="G159" i="2"/>
  <c r="H159" i="2" s="1"/>
  <c r="I159" i="2" s="1"/>
  <c r="G111" i="2"/>
  <c r="H111" i="2" s="1"/>
  <c r="I111" i="2" s="1"/>
  <c r="G132" i="2"/>
  <c r="H132" i="2" s="1"/>
  <c r="I132" i="2" s="1"/>
  <c r="G150" i="2"/>
  <c r="H150" i="2" s="1"/>
  <c r="I150" i="2" s="1"/>
  <c r="V150" i="2" s="1"/>
  <c r="W150" i="2" s="1"/>
  <c r="F84" i="2"/>
  <c r="F68" i="2"/>
  <c r="F77" i="2"/>
  <c r="F93" i="2"/>
  <c r="G83" i="2"/>
  <c r="G67" i="2"/>
  <c r="G76" i="2"/>
  <c r="G92" i="2"/>
  <c r="F83" i="2"/>
  <c r="H83" i="2" s="1"/>
  <c r="I83" i="2" s="1"/>
  <c r="F67" i="2"/>
  <c r="H67" i="2" s="1"/>
  <c r="I67" i="2" s="1"/>
  <c r="F76" i="2"/>
  <c r="H76" i="2" s="1"/>
  <c r="I76" i="2" s="1"/>
  <c r="V76" i="2" s="1"/>
  <c r="F92" i="2"/>
  <c r="H92" i="2" s="1"/>
  <c r="I92" i="2" s="1"/>
  <c r="G66" i="2"/>
  <c r="G75" i="2"/>
  <c r="G91" i="2"/>
  <c r="F66" i="2"/>
  <c r="H66" i="2" s="1"/>
  <c r="I66" i="2" s="1"/>
  <c r="F91" i="2"/>
  <c r="H91" i="2" s="1"/>
  <c r="I91" i="2" s="1"/>
  <c r="F75" i="2"/>
  <c r="H75" i="2" s="1"/>
  <c r="I75" i="2" s="1"/>
  <c r="K40" i="5"/>
  <c r="L40" i="5" s="1"/>
  <c r="M40" i="5" s="1"/>
  <c r="O40" i="5"/>
  <c r="P40" i="5" s="1"/>
  <c r="Q40" i="5" s="1"/>
  <c r="Z234" i="4"/>
  <c r="AA234" i="4" s="1"/>
  <c r="AB234" i="4" s="1"/>
  <c r="AD234" i="4"/>
  <c r="Y107" i="4"/>
  <c r="AA101" i="4"/>
  <c r="AB101" i="4" s="1"/>
  <c r="BA28" i="4"/>
  <c r="AG28" i="4" s="1"/>
  <c r="AG25" i="4"/>
  <c r="R99" i="3"/>
  <c r="I99" i="3"/>
  <c r="V99" i="3" s="1"/>
  <c r="W99" i="3" s="1"/>
  <c r="I47" i="3"/>
  <c r="R47" i="3"/>
  <c r="S47" i="3" s="1"/>
  <c r="T47" i="3" s="1"/>
  <c r="R192" i="2"/>
  <c r="S192" i="2" s="1"/>
  <c r="T192" i="2" s="1"/>
  <c r="I192" i="2"/>
  <c r="V192" i="2" s="1"/>
  <c r="W192" i="2" s="1"/>
  <c r="X192" i="2" s="1"/>
  <c r="C135" i="2"/>
  <c r="D135" i="2" s="1"/>
  <c r="I135" i="2" s="1"/>
  <c r="V135" i="2" s="1"/>
  <c r="W135" i="2" s="1"/>
  <c r="X135" i="2" s="1"/>
  <c r="C133" i="2"/>
  <c r="D133" i="2" s="1"/>
  <c r="I133" i="2" s="1"/>
  <c r="C57" i="2"/>
  <c r="D57" i="2" s="1"/>
  <c r="C60" i="2"/>
  <c r="D60" i="2" s="1"/>
  <c r="C58" i="2"/>
  <c r="D58" i="2" s="1"/>
  <c r="I58" i="2" s="1"/>
  <c r="C56" i="2"/>
  <c r="D56" i="2" s="1"/>
  <c r="C38" i="2"/>
  <c r="D38" i="2" s="1"/>
  <c r="C37" i="2"/>
  <c r="D37" i="2" s="1"/>
  <c r="I37" i="2" s="1"/>
  <c r="C41" i="2"/>
  <c r="D41" i="2" s="1"/>
  <c r="C39" i="2"/>
  <c r="D39" i="2" s="1"/>
  <c r="H24" i="3"/>
  <c r="I24" i="3" s="1"/>
  <c r="H142" i="4"/>
  <c r="I142" i="4" s="1"/>
  <c r="AD142" i="4" s="1"/>
  <c r="AE142" i="4" s="1"/>
  <c r="AF142" i="4" s="1"/>
  <c r="H82" i="2"/>
  <c r="I82" i="2" s="1"/>
  <c r="G26" i="5"/>
  <c r="H26" i="5" s="1"/>
  <c r="O26" i="5" s="1"/>
  <c r="P26" i="5" s="1"/>
  <c r="Q26" i="5" s="1"/>
  <c r="Z211" i="4"/>
  <c r="AA211" i="4" s="1"/>
  <c r="AB211" i="4" s="1"/>
  <c r="AD95" i="4"/>
  <c r="AD87" i="4"/>
  <c r="AD64" i="4"/>
  <c r="AD32" i="4"/>
  <c r="AE32" i="4" s="1"/>
  <c r="AF32" i="4" s="1"/>
  <c r="H113" i="3"/>
  <c r="I113" i="3" s="1"/>
  <c r="I100" i="3"/>
  <c r="V100" i="3" s="1"/>
  <c r="W100" i="3" s="1"/>
  <c r="X100" i="3" s="1"/>
  <c r="S216" i="2"/>
  <c r="T216" i="2" s="1"/>
  <c r="W48" i="6"/>
  <c r="X48" i="6" s="1"/>
  <c r="Z52" i="6"/>
  <c r="AA52" i="6" s="1"/>
  <c r="AB52" i="6" s="1"/>
  <c r="W39" i="6"/>
  <c r="X39" i="6" s="1"/>
  <c r="V33" i="6"/>
  <c r="Z37" i="6"/>
  <c r="AA37" i="6" s="1"/>
  <c r="AB37" i="6" s="1"/>
  <c r="W34" i="6"/>
  <c r="X34" i="6" s="1"/>
  <c r="V28" i="6"/>
  <c r="W28" i="6" s="1"/>
  <c r="X28" i="6" s="1"/>
  <c r="W27" i="2"/>
  <c r="R24" i="2"/>
  <c r="S24" i="2" s="1"/>
  <c r="T24" i="2" s="1"/>
  <c r="S106" i="3"/>
  <c r="T106" i="3" s="1"/>
  <c r="S58" i="3"/>
  <c r="T58" i="3" s="1"/>
  <c r="R33" i="3"/>
  <c r="S33" i="3" s="1"/>
  <c r="T33" i="3" s="1"/>
  <c r="S117" i="3"/>
  <c r="T117" i="3" s="1"/>
  <c r="V113" i="3"/>
  <c r="S75" i="3"/>
  <c r="T75" i="3" s="1"/>
  <c r="R45" i="3"/>
  <c r="S45" i="3" s="1"/>
  <c r="T45" i="3" s="1"/>
  <c r="Y207" i="2"/>
  <c r="S179" i="2"/>
  <c r="T179" i="2" s="1"/>
  <c r="S160" i="2"/>
  <c r="T160" i="2" s="1"/>
  <c r="T159" i="2"/>
  <c r="T161" i="2"/>
  <c r="S157" i="2"/>
  <c r="T157" i="2" s="1"/>
  <c r="S148" i="2"/>
  <c r="T148" i="2" s="1"/>
  <c r="S141" i="2"/>
  <c r="T141" i="2" s="1"/>
  <c r="V102" i="2"/>
  <c r="W102" i="2" s="1"/>
  <c r="S95" i="2"/>
  <c r="R76" i="2"/>
  <c r="S76" i="2" s="1"/>
  <c r="T76" i="2" s="1"/>
  <c r="W76" i="2"/>
  <c r="AA148" i="4"/>
  <c r="AA54" i="4"/>
  <c r="AB54" i="4" s="1"/>
  <c r="AE104" i="4"/>
  <c r="AA202" i="4"/>
  <c r="AB202" i="4" s="1"/>
  <c r="AA222" i="4"/>
  <c r="AB222" i="4" s="1"/>
  <c r="AE96" i="4"/>
  <c r="AA88" i="4"/>
  <c r="AB88" i="4" s="1"/>
  <c r="AA208" i="4"/>
  <c r="AB208" i="4" s="1"/>
  <c r="L24" i="5"/>
  <c r="M24" i="5" s="1"/>
  <c r="O41" i="5"/>
  <c r="P41" i="5" s="1"/>
  <c r="Q41" i="5" s="1"/>
  <c r="K42" i="5"/>
  <c r="L42" i="5" s="1"/>
  <c r="M42" i="5" s="1"/>
  <c r="L31" i="5"/>
  <c r="M31" i="5" s="1"/>
  <c r="O27" i="5"/>
  <c r="P27" i="5" s="1"/>
  <c r="Q27" i="5" s="1"/>
  <c r="L29" i="5"/>
  <c r="M29" i="5" s="1"/>
  <c r="L27" i="5"/>
  <c r="M27" i="5" s="1"/>
  <c r="P29" i="5"/>
  <c r="Q29" i="5" s="1"/>
  <c r="K26" i="5"/>
  <c r="L26" i="5" s="1"/>
  <c r="M26" i="5" s="1"/>
  <c r="R34" i="5"/>
  <c r="AD111" i="4"/>
  <c r="AE111" i="4" s="1"/>
  <c r="AF111" i="4" s="1"/>
  <c r="Z110" i="4"/>
  <c r="AA110" i="4" s="1"/>
  <c r="AB110" i="4" s="1"/>
  <c r="AA98" i="4"/>
  <c r="AB98" i="4" s="1"/>
  <c r="K39" i="1"/>
  <c r="K42" i="1" s="1"/>
  <c r="AA82" i="4"/>
  <c r="AB82" i="4" s="1"/>
  <c r="Z78" i="4"/>
  <c r="AA78" i="4" s="1"/>
  <c r="AB78" i="4" s="1"/>
  <c r="AE87" i="4"/>
  <c r="AF87" i="4" s="1"/>
  <c r="AA221" i="4"/>
  <c r="AB221" i="4" s="1"/>
  <c r="Z217" i="4"/>
  <c r="AA217" i="4" s="1"/>
  <c r="AB217" i="4" s="1"/>
  <c r="AA166" i="4"/>
  <c r="AB166" i="4" s="1"/>
  <c r="AA169" i="4"/>
  <c r="AB169" i="4" s="1"/>
  <c r="R122" i="3"/>
  <c r="S122" i="3" s="1"/>
  <c r="T122" i="3" s="1"/>
  <c r="S108" i="3"/>
  <c r="T108" i="3" s="1"/>
  <c r="R63" i="3"/>
  <c r="S63" i="3" s="1"/>
  <c r="T63" i="3" s="1"/>
  <c r="R47" i="2"/>
  <c r="S47" i="2" s="1"/>
  <c r="T47" i="2" s="1"/>
  <c r="R49" i="2"/>
  <c r="S49" i="2" s="1"/>
  <c r="T49" i="2" s="1"/>
  <c r="R54" i="2"/>
  <c r="S54" i="2" s="1"/>
  <c r="T54" i="2" s="1"/>
  <c r="R96" i="2"/>
  <c r="S96" i="2" s="1"/>
  <c r="T96" i="2" s="1"/>
  <c r="V87" i="2"/>
  <c r="W87" i="2" s="1"/>
  <c r="X87" i="2" s="1"/>
  <c r="S82" i="2"/>
  <c r="T82" i="2" s="1"/>
  <c r="S75" i="2"/>
  <c r="T75" i="2" s="1"/>
  <c r="H36" i="6"/>
  <c r="I36" i="6" s="1"/>
  <c r="Z36" i="6" s="1"/>
  <c r="AA36" i="6" s="1"/>
  <c r="AB36" i="6" s="1"/>
  <c r="H40" i="6"/>
  <c r="I40" i="6" s="1"/>
  <c r="H22" i="6"/>
  <c r="I22" i="6" s="1"/>
  <c r="H38" i="6"/>
  <c r="I38" i="6" s="1"/>
  <c r="Z38" i="6" s="1"/>
  <c r="AA38" i="6" s="1"/>
  <c r="AB38" i="6" s="1"/>
  <c r="H45" i="6"/>
  <c r="I45" i="6" s="1"/>
  <c r="Z45" i="6" s="1"/>
  <c r="AA45" i="6" s="1"/>
  <c r="H65" i="6"/>
  <c r="I65" i="6" s="1"/>
  <c r="Z40" i="6"/>
  <c r="AA40" i="6" s="1"/>
  <c r="AB40" i="6" s="1"/>
  <c r="Y90" i="3"/>
  <c r="R87" i="3"/>
  <c r="S87" i="3" s="1"/>
  <c r="T87" i="3" s="1"/>
  <c r="T94" i="3"/>
  <c r="X99" i="3"/>
  <c r="S99" i="3"/>
  <c r="T99" i="3" s="1"/>
  <c r="S109" i="2"/>
  <c r="T109" i="2" s="1"/>
  <c r="S103" i="2"/>
  <c r="T103" i="2" s="1"/>
  <c r="S100" i="2"/>
  <c r="T100" i="2" s="1"/>
  <c r="T95" i="2"/>
  <c r="V95" i="2"/>
  <c r="W95" i="2" s="1"/>
  <c r="X95" i="2" s="1"/>
  <c r="S70" i="2"/>
  <c r="T70" i="2" s="1"/>
  <c r="S67" i="2"/>
  <c r="S44" i="2"/>
  <c r="T44" i="2" s="1"/>
  <c r="AA145" i="4"/>
  <c r="AB145" i="4" s="1"/>
  <c r="N36" i="1"/>
  <c r="V47" i="2"/>
  <c r="W47" i="2" s="1"/>
  <c r="X47" i="2"/>
  <c r="V70" i="2"/>
  <c r="W70" i="2" s="1"/>
  <c r="X70" i="2" s="1"/>
  <c r="V104" i="2"/>
  <c r="X27" i="2"/>
  <c r="V46" i="2"/>
  <c r="W46" i="2" s="1"/>
  <c r="X46" i="2" s="1"/>
  <c r="V57" i="2"/>
  <c r="W57" i="2" s="1"/>
  <c r="X57" i="2" s="1"/>
  <c r="R62" i="2"/>
  <c r="S62" i="2" s="1"/>
  <c r="T62" i="2" s="1"/>
  <c r="V78" i="2"/>
  <c r="W78" i="2" s="1"/>
  <c r="X78" i="2" s="1"/>
  <c r="X80" i="2"/>
  <c r="W88" i="2"/>
  <c r="X88" i="2" s="1"/>
  <c r="V133" i="2"/>
  <c r="W133" i="2" s="1"/>
  <c r="X133" i="2" s="1"/>
  <c r="R60" i="2"/>
  <c r="S60" i="2" s="1"/>
  <c r="T60" i="2" s="1"/>
  <c r="I72" i="2"/>
  <c r="S78" i="2"/>
  <c r="T78" i="2" s="1"/>
  <c r="V100" i="2"/>
  <c r="W100" i="2" s="1"/>
  <c r="X100" i="2" s="1"/>
  <c r="V112" i="2"/>
  <c r="W112" i="2" s="1"/>
  <c r="X112" i="2" s="1"/>
  <c r="W120" i="2"/>
  <c r="X120" i="2" s="1"/>
  <c r="V177" i="2"/>
  <c r="W177" i="2" s="1"/>
  <c r="X177" i="2" s="1"/>
  <c r="R177" i="2"/>
  <c r="S177" i="2" s="1"/>
  <c r="T177" i="2" s="1"/>
  <c r="D30" i="1"/>
  <c r="D31" i="1" s="1"/>
  <c r="R27" i="2"/>
  <c r="S27" i="2" s="1"/>
  <c r="T27" i="2" s="1"/>
  <c r="R48" i="2"/>
  <c r="S48" i="2" s="1"/>
  <c r="T48" i="2" s="1"/>
  <c r="I60" i="2"/>
  <c r="W105" i="2"/>
  <c r="X105" i="2" s="1"/>
  <c r="S112" i="2"/>
  <c r="T112" i="2" s="1"/>
  <c r="V119" i="2"/>
  <c r="W119" i="2" s="1"/>
  <c r="X119" i="2" s="1"/>
  <c r="V124" i="2"/>
  <c r="W124" i="2" s="1"/>
  <c r="X124" i="2" s="1"/>
  <c r="I186" i="2"/>
  <c r="V186" i="2" s="1"/>
  <c r="W186" i="2" s="1"/>
  <c r="V92" i="2"/>
  <c r="W92" i="2" s="1"/>
  <c r="X92" i="2" s="1"/>
  <c r="Q166" i="2"/>
  <c r="Q167" i="2" s="1"/>
  <c r="V30" i="2"/>
  <c r="W30" i="2" s="1"/>
  <c r="X30" i="2" s="1"/>
  <c r="V37" i="2"/>
  <c r="W37" i="2" s="1"/>
  <c r="X37" i="2" s="1"/>
  <c r="I41" i="2"/>
  <c r="V45" i="2"/>
  <c r="W45" i="2" s="1"/>
  <c r="X45" i="2" s="1"/>
  <c r="V67" i="2"/>
  <c r="W67" i="2" s="1"/>
  <c r="X67" i="2" s="1"/>
  <c r="I79" i="2"/>
  <c r="S91" i="2"/>
  <c r="T91" i="2" s="1"/>
  <c r="V97" i="2"/>
  <c r="W97" i="2" s="1"/>
  <c r="X97" i="2" s="1"/>
  <c r="H106" i="2"/>
  <c r="I106" i="2" s="1"/>
  <c r="V118" i="2"/>
  <c r="W118" i="2" s="1"/>
  <c r="X118" i="2" s="1"/>
  <c r="Q126" i="3"/>
  <c r="S121" i="3"/>
  <c r="R41" i="2"/>
  <c r="S41" i="2" s="1"/>
  <c r="T41" i="2" s="1"/>
  <c r="V111" i="2"/>
  <c r="W111" i="2" s="1"/>
  <c r="X111" i="2" s="1"/>
  <c r="R122" i="2"/>
  <c r="S122" i="2" s="1"/>
  <c r="T122" i="2" s="1"/>
  <c r="V22" i="2"/>
  <c r="V51" i="2"/>
  <c r="W51" i="2" s="1"/>
  <c r="X51" i="2" s="1"/>
  <c r="S69" i="2"/>
  <c r="T69" i="2" s="1"/>
  <c r="H93" i="2"/>
  <c r="I93" i="2" s="1"/>
  <c r="V103" i="2"/>
  <c r="W103" i="2" s="1"/>
  <c r="X103" i="2" s="1"/>
  <c r="V152" i="2"/>
  <c r="W152" i="2" s="1"/>
  <c r="X152" i="2" s="1"/>
  <c r="V24" i="3"/>
  <c r="W24" i="3" s="1"/>
  <c r="X24" i="3" s="1"/>
  <c r="V58" i="2"/>
  <c r="W58" i="2" s="1"/>
  <c r="X58" i="2" s="1"/>
  <c r="R72" i="2"/>
  <c r="S72" i="2" s="1"/>
  <c r="T72" i="2" s="1"/>
  <c r="W104" i="2"/>
  <c r="X104" i="2" s="1"/>
  <c r="R114" i="2"/>
  <c r="S114" i="2" s="1"/>
  <c r="T114" i="2" s="1"/>
  <c r="V114" i="2"/>
  <c r="W114" i="2" s="1"/>
  <c r="X114" i="2" s="1"/>
  <c r="S118" i="2"/>
  <c r="T118" i="2" s="1"/>
  <c r="T115" i="2"/>
  <c r="V143" i="2"/>
  <c r="W143" i="2" s="1"/>
  <c r="X143" i="2" s="1"/>
  <c r="R143" i="2"/>
  <c r="S143" i="2" s="1"/>
  <c r="T143" i="2" s="1"/>
  <c r="V63" i="3"/>
  <c r="W63" i="3" s="1"/>
  <c r="X63" i="3" s="1"/>
  <c r="V44" i="2"/>
  <c r="W44" i="2" s="1"/>
  <c r="X44" i="2" s="1"/>
  <c r="V35" i="3"/>
  <c r="W35" i="3" s="1"/>
  <c r="X35" i="3" s="1"/>
  <c r="R35" i="3"/>
  <c r="S35" i="3" s="1"/>
  <c r="T35" i="3" s="1"/>
  <c r="I39" i="2"/>
  <c r="X54" i="2"/>
  <c r="X76" i="2"/>
  <c r="V91" i="2"/>
  <c r="W91" i="2" s="1"/>
  <c r="X91" i="2" s="1"/>
  <c r="R101" i="2"/>
  <c r="S101" i="2" s="1"/>
  <c r="T101" i="2" s="1"/>
  <c r="V101" i="2"/>
  <c r="W101" i="2" s="1"/>
  <c r="X101" i="2" s="1"/>
  <c r="C31" i="1"/>
  <c r="U63" i="2"/>
  <c r="T45" i="2"/>
  <c r="I48" i="2"/>
  <c r="V48" i="2" s="1"/>
  <c r="W48" i="2" s="1"/>
  <c r="R55" i="2"/>
  <c r="S55" i="2" s="1"/>
  <c r="T55" i="2" s="1"/>
  <c r="V55" i="2"/>
  <c r="W55" i="2" s="1"/>
  <c r="X55" i="2" s="1"/>
  <c r="V66" i="2"/>
  <c r="V82" i="2"/>
  <c r="W82" i="2" s="1"/>
  <c r="X82" i="2" s="1"/>
  <c r="T87" i="2"/>
  <c r="T102" i="2"/>
  <c r="R106" i="2"/>
  <c r="S106" i="2" s="1"/>
  <c r="T106" i="2" s="1"/>
  <c r="I115" i="2"/>
  <c r="V121" i="2"/>
  <c r="W121" i="2" s="1"/>
  <c r="X121" i="2" s="1"/>
  <c r="V60" i="3"/>
  <c r="W60" i="3" s="1"/>
  <c r="Y63" i="2"/>
  <c r="V36" i="2"/>
  <c r="W36" i="2" s="1"/>
  <c r="X36" i="2" s="1"/>
  <c r="I38" i="2"/>
  <c r="V39" i="2"/>
  <c r="W39" i="2" s="1"/>
  <c r="R56" i="2"/>
  <c r="S56" i="2" s="1"/>
  <c r="T56" i="2" s="1"/>
  <c r="T67" i="2"/>
  <c r="R79" i="2"/>
  <c r="S79" i="2" s="1"/>
  <c r="T79" i="2" s="1"/>
  <c r="X85" i="2"/>
  <c r="R93" i="2"/>
  <c r="S93" i="2" s="1"/>
  <c r="T93" i="2" s="1"/>
  <c r="V93" i="2"/>
  <c r="W93" i="2" s="1"/>
  <c r="X102" i="2"/>
  <c r="X113" i="2"/>
  <c r="I61" i="3"/>
  <c r="V61" i="3" s="1"/>
  <c r="W61" i="3" s="1"/>
  <c r="S36" i="2"/>
  <c r="V49" i="2"/>
  <c r="W49" i="2" s="1"/>
  <c r="X49" i="2" s="1"/>
  <c r="R86" i="2"/>
  <c r="S86" i="2" s="1"/>
  <c r="T86" i="2" s="1"/>
  <c r="V86" i="2"/>
  <c r="W86" i="2" s="1"/>
  <c r="X86" i="2" s="1"/>
  <c r="R25" i="2"/>
  <c r="S25" i="2" s="1"/>
  <c r="V25" i="2"/>
  <c r="W25" i="2" s="1"/>
  <c r="X25" i="2" s="1"/>
  <c r="I31" i="2"/>
  <c r="C21" i="1" s="1"/>
  <c r="R37" i="2"/>
  <c r="S37" i="2" s="1"/>
  <c r="T37" i="2" s="1"/>
  <c r="H40" i="2"/>
  <c r="I56" i="2"/>
  <c r="R71" i="2"/>
  <c r="S71" i="2" s="1"/>
  <c r="T71" i="2" s="1"/>
  <c r="V71" i="2"/>
  <c r="W71" i="2" s="1"/>
  <c r="X71" i="2" s="1"/>
  <c r="V75" i="2"/>
  <c r="W75" i="2" s="1"/>
  <c r="X75" i="2" s="1"/>
  <c r="T80" i="2"/>
  <c r="V83" i="2"/>
  <c r="W83" i="2" s="1"/>
  <c r="X83" i="2" s="1"/>
  <c r="T94" i="2"/>
  <c r="I109" i="2"/>
  <c r="W110" i="2"/>
  <c r="X110" i="2" s="1"/>
  <c r="I122" i="2"/>
  <c r="V122" i="2" s="1"/>
  <c r="W122" i="2" s="1"/>
  <c r="S48" i="3"/>
  <c r="T48" i="3" s="1"/>
  <c r="Y31" i="2"/>
  <c r="I134" i="2"/>
  <c r="V140" i="2"/>
  <c r="W140" i="2" s="1"/>
  <c r="X140" i="2" s="1"/>
  <c r="T189" i="2"/>
  <c r="T27" i="3"/>
  <c r="S44" i="3"/>
  <c r="T44" i="3" s="1"/>
  <c r="V46" i="3"/>
  <c r="W46" i="3" s="1"/>
  <c r="X46" i="3" s="1"/>
  <c r="V57" i="3"/>
  <c r="W57" i="3" s="1"/>
  <c r="X57" i="3" s="1"/>
  <c r="Z48" i="4"/>
  <c r="AA48" i="4" s="1"/>
  <c r="AB48" i="4" s="1"/>
  <c r="T22" i="2"/>
  <c r="C40" i="2"/>
  <c r="D40" i="2" s="1"/>
  <c r="R40" i="2" s="1"/>
  <c r="S40" i="2" s="1"/>
  <c r="C59" i="2"/>
  <c r="D59" i="2" s="1"/>
  <c r="R59" i="2" s="1"/>
  <c r="S59" i="2" s="1"/>
  <c r="U127" i="2"/>
  <c r="U167" i="2" s="1"/>
  <c r="V130" i="2"/>
  <c r="X150" i="2"/>
  <c r="V151" i="2"/>
  <c r="W151" i="2" s="1"/>
  <c r="V157" i="2"/>
  <c r="W157" i="2" s="1"/>
  <c r="X157" i="2" s="1"/>
  <c r="V159" i="2"/>
  <c r="W159" i="2" s="1"/>
  <c r="X159" i="2" s="1"/>
  <c r="X162" i="2"/>
  <c r="Y180" i="2"/>
  <c r="I204" i="2"/>
  <c r="V27" i="3"/>
  <c r="W27" i="3" s="1"/>
  <c r="X27" i="3" s="1"/>
  <c r="T29" i="3"/>
  <c r="V32" i="3"/>
  <c r="W32" i="3" s="1"/>
  <c r="X32" i="3" s="1"/>
  <c r="R39" i="3"/>
  <c r="S39" i="3" s="1"/>
  <c r="T39" i="3" s="1"/>
  <c r="X66" i="3"/>
  <c r="V86" i="3"/>
  <c r="W86" i="3" s="1"/>
  <c r="X86" i="3" s="1"/>
  <c r="R38" i="2"/>
  <c r="S38" i="2" s="1"/>
  <c r="T38" i="2" s="1"/>
  <c r="R51" i="2"/>
  <c r="S51" i="2" s="1"/>
  <c r="T51" i="2" s="1"/>
  <c r="R57" i="2"/>
  <c r="S57" i="2" s="1"/>
  <c r="T57" i="2" s="1"/>
  <c r="R68" i="2"/>
  <c r="S68" i="2" s="1"/>
  <c r="T68" i="2" s="1"/>
  <c r="R88" i="2"/>
  <c r="S88" i="2" s="1"/>
  <c r="T88" i="2" s="1"/>
  <c r="V94" i="2"/>
  <c r="W94" i="2" s="1"/>
  <c r="X94" i="2" s="1"/>
  <c r="V109" i="2"/>
  <c r="W109" i="2" s="1"/>
  <c r="R132" i="2"/>
  <c r="S132" i="2" s="1"/>
  <c r="T132" i="2" s="1"/>
  <c r="T152" i="2"/>
  <c r="T174" i="2"/>
  <c r="S213" i="2"/>
  <c r="T213" i="2" s="1"/>
  <c r="T34" i="3"/>
  <c r="S46" i="3"/>
  <c r="T46" i="3" s="1"/>
  <c r="Q79" i="3"/>
  <c r="S53" i="3"/>
  <c r="R39" i="2"/>
  <c r="S39" i="2" s="1"/>
  <c r="T39" i="2" s="1"/>
  <c r="R46" i="2"/>
  <c r="S46" i="2" s="1"/>
  <c r="T46" i="2" s="1"/>
  <c r="R58" i="2"/>
  <c r="S58" i="2" s="1"/>
  <c r="T58" i="2" s="1"/>
  <c r="Y127" i="2"/>
  <c r="R77" i="2"/>
  <c r="S77" i="2" s="1"/>
  <c r="T77" i="2" s="1"/>
  <c r="R84" i="2"/>
  <c r="S84" i="2" s="1"/>
  <c r="T84" i="2" s="1"/>
  <c r="R97" i="2"/>
  <c r="S97" i="2" s="1"/>
  <c r="T97" i="2" s="1"/>
  <c r="R105" i="2"/>
  <c r="S105" i="2" s="1"/>
  <c r="T105" i="2" s="1"/>
  <c r="R120" i="2"/>
  <c r="S120" i="2" s="1"/>
  <c r="T120" i="2" s="1"/>
  <c r="V123" i="2"/>
  <c r="W123" i="2" s="1"/>
  <c r="X123" i="2" s="1"/>
  <c r="V142" i="2"/>
  <c r="W142" i="2" s="1"/>
  <c r="X142" i="2" s="1"/>
  <c r="I154" i="2"/>
  <c r="V195" i="2"/>
  <c r="I43" i="3"/>
  <c r="V56" i="3"/>
  <c r="W56" i="3" s="1"/>
  <c r="X56" i="3" s="1"/>
  <c r="V59" i="3"/>
  <c r="W59" i="3" s="1"/>
  <c r="X59" i="3" s="1"/>
  <c r="I34" i="4"/>
  <c r="I35" i="4" s="1"/>
  <c r="R92" i="2"/>
  <c r="S92" i="2" s="1"/>
  <c r="T92" i="2" s="1"/>
  <c r="R113" i="2"/>
  <c r="S113" i="2" s="1"/>
  <c r="T113" i="2" s="1"/>
  <c r="T124" i="2"/>
  <c r="R151" i="2"/>
  <c r="S151" i="2" s="1"/>
  <c r="T151" i="2" s="1"/>
  <c r="V161" i="2"/>
  <c r="W161" i="2" s="1"/>
  <c r="X161" i="2" s="1"/>
  <c r="AU167" i="2"/>
  <c r="L23" i="1" s="1"/>
  <c r="V198" i="2"/>
  <c r="W198" i="2" s="1"/>
  <c r="X198" i="2" s="1"/>
  <c r="Y40" i="3"/>
  <c r="V45" i="3"/>
  <c r="W45" i="3" s="1"/>
  <c r="X45" i="3" s="1"/>
  <c r="AD73" i="4"/>
  <c r="AE73" i="4" s="1"/>
  <c r="AF73" i="4" s="1"/>
  <c r="R85" i="2"/>
  <c r="S85" i="2" s="1"/>
  <c r="T85" i="2" s="1"/>
  <c r="R121" i="2"/>
  <c r="S121" i="2" s="1"/>
  <c r="T121" i="2" s="1"/>
  <c r="V219" i="2"/>
  <c r="W219" i="2" s="1"/>
  <c r="X219" i="2" s="1"/>
  <c r="R230" i="2"/>
  <c r="S230" i="2" s="1"/>
  <c r="T230" i="2" s="1"/>
  <c r="I28" i="3"/>
  <c r="V28" i="3" s="1"/>
  <c r="W28" i="3" s="1"/>
  <c r="V58" i="3"/>
  <c r="V65" i="3"/>
  <c r="W65" i="3" s="1"/>
  <c r="X65" i="3" s="1"/>
  <c r="S139" i="2"/>
  <c r="R204" i="2"/>
  <c r="S204" i="2" s="1"/>
  <c r="T204" i="2" s="1"/>
  <c r="U231" i="2"/>
  <c r="V216" i="2"/>
  <c r="W216" i="2" s="1"/>
  <c r="X216" i="2" s="1"/>
  <c r="T222" i="2"/>
  <c r="Q127" i="2"/>
  <c r="V148" i="2"/>
  <c r="W148" i="2" s="1"/>
  <c r="X148" i="2" s="1"/>
  <c r="I151" i="2"/>
  <c r="V154" i="2"/>
  <c r="W154" i="2" s="1"/>
  <c r="V163" i="2"/>
  <c r="W163" i="2" s="1"/>
  <c r="X163" i="2" s="1"/>
  <c r="W195" i="2"/>
  <c r="X195" i="2" s="1"/>
  <c r="V225" i="2"/>
  <c r="W225" i="2" s="1"/>
  <c r="X225" i="2" s="1"/>
  <c r="R225" i="2"/>
  <c r="S225" i="2" s="1"/>
  <c r="T225" i="2" s="1"/>
  <c r="V34" i="3"/>
  <c r="W34" i="3" s="1"/>
  <c r="X34" i="3" s="1"/>
  <c r="V64" i="3"/>
  <c r="W64" i="3" s="1"/>
  <c r="X64" i="3" s="1"/>
  <c r="R66" i="2"/>
  <c r="R133" i="2"/>
  <c r="S133" i="2" s="1"/>
  <c r="T133" i="2" s="1"/>
  <c r="R136" i="2"/>
  <c r="S136" i="2" s="1"/>
  <c r="T136" i="2" s="1"/>
  <c r="Y231" i="2"/>
  <c r="T228" i="2"/>
  <c r="V25" i="3"/>
  <c r="W25" i="3" s="1"/>
  <c r="X25" i="3" s="1"/>
  <c r="V47" i="3"/>
  <c r="W47" i="3" s="1"/>
  <c r="X47" i="3" s="1"/>
  <c r="S66" i="2"/>
  <c r="T66" i="2" s="1"/>
  <c r="R123" i="2"/>
  <c r="S123" i="2" s="1"/>
  <c r="T123" i="2" s="1"/>
  <c r="I136" i="2"/>
  <c r="T140" i="2"/>
  <c r="V149" i="2"/>
  <c r="W149" i="2" s="1"/>
  <c r="X149" i="2" s="1"/>
  <c r="R158" i="2"/>
  <c r="S158" i="2" s="1"/>
  <c r="T158" i="2" s="1"/>
  <c r="H183" i="2"/>
  <c r="I183" i="2" s="1"/>
  <c r="W201" i="2"/>
  <c r="X201" i="2" s="1"/>
  <c r="I213" i="2"/>
  <c r="X222" i="2"/>
  <c r="W23" i="3"/>
  <c r="X23" i="3" s="1"/>
  <c r="W58" i="3"/>
  <c r="X58" i="3" s="1"/>
  <c r="H60" i="3"/>
  <c r="I60" i="3" s="1"/>
  <c r="S64" i="3"/>
  <c r="T64" i="3" s="1"/>
  <c r="S130" i="2"/>
  <c r="V132" i="2"/>
  <c r="W132" i="2" s="1"/>
  <c r="X132" i="2" s="1"/>
  <c r="T139" i="2"/>
  <c r="V121" i="3"/>
  <c r="Z25" i="4"/>
  <c r="AA25" i="4" s="1"/>
  <c r="AB25" i="4" s="1"/>
  <c r="BA75" i="4"/>
  <c r="AG75" i="4" s="1"/>
  <c r="R154" i="2"/>
  <c r="S154" i="2" s="1"/>
  <c r="T154" i="2" s="1"/>
  <c r="R162" i="2"/>
  <c r="S162" i="2" s="1"/>
  <c r="T162" i="2" s="1"/>
  <c r="R165" i="2"/>
  <c r="S165" i="2" s="1"/>
  <c r="T165" i="2" s="1"/>
  <c r="R171" i="2"/>
  <c r="S171" i="2" s="1"/>
  <c r="I174" i="2"/>
  <c r="Q207" i="2"/>
  <c r="V213" i="2"/>
  <c r="W213" i="2" s="1"/>
  <c r="R219" i="2"/>
  <c r="S219" i="2" s="1"/>
  <c r="T219" i="2" s="1"/>
  <c r="S25" i="3"/>
  <c r="T25" i="3" s="1"/>
  <c r="V70" i="3"/>
  <c r="W70" i="3" s="1"/>
  <c r="R85" i="3"/>
  <c r="S85" i="3" s="1"/>
  <c r="T85" i="3" s="1"/>
  <c r="BH42" i="4"/>
  <c r="BH68" i="4" s="1"/>
  <c r="BA49" i="4"/>
  <c r="AG49" i="4" s="1"/>
  <c r="Z55" i="4"/>
  <c r="AA55" i="4" s="1"/>
  <c r="AB55" i="4" s="1"/>
  <c r="AA58" i="4"/>
  <c r="AB58" i="4" s="1"/>
  <c r="AC115" i="4"/>
  <c r="R131" i="2"/>
  <c r="S131" i="2" s="1"/>
  <c r="T131" i="2" s="1"/>
  <c r="V145" i="2"/>
  <c r="W145" i="2" s="1"/>
  <c r="X145" i="2" s="1"/>
  <c r="V153" i="2"/>
  <c r="W153" i="2" s="1"/>
  <c r="X153" i="2" s="1"/>
  <c r="R198" i="2"/>
  <c r="S198" i="2" s="1"/>
  <c r="T198" i="2" s="1"/>
  <c r="Q231" i="2"/>
  <c r="R26" i="3"/>
  <c r="S26" i="3" s="1"/>
  <c r="T26" i="3" s="1"/>
  <c r="R69" i="3"/>
  <c r="S69" i="3" s="1"/>
  <c r="T69" i="3" s="1"/>
  <c r="V72" i="3"/>
  <c r="W72" i="3" s="1"/>
  <c r="X72" i="3" s="1"/>
  <c r="R72" i="3"/>
  <c r="S72" i="3" s="1"/>
  <c r="T72" i="3" s="1"/>
  <c r="R95" i="3"/>
  <c r="V95" i="3"/>
  <c r="W95" i="3" s="1"/>
  <c r="V115" i="3"/>
  <c r="W115" i="3" s="1"/>
  <c r="X115" i="3" s="1"/>
  <c r="AD31" i="4"/>
  <c r="AE31" i="4" s="1"/>
  <c r="AF31" i="4" s="1"/>
  <c r="Z31" i="4"/>
  <c r="AA31" i="4" s="1"/>
  <c r="AD37" i="4"/>
  <c r="I41" i="4"/>
  <c r="I42" i="4"/>
  <c r="AA40" i="4"/>
  <c r="AB40" i="4" s="1"/>
  <c r="Z52" i="4"/>
  <c r="AC91" i="4"/>
  <c r="O43" i="5"/>
  <c r="K43" i="5"/>
  <c r="L43" i="5" s="1"/>
  <c r="M43" i="5" s="1"/>
  <c r="I70" i="3"/>
  <c r="R125" i="3"/>
  <c r="S125" i="3" s="1"/>
  <c r="T125" i="3" s="1"/>
  <c r="AD26" i="4"/>
  <c r="Z26" i="4"/>
  <c r="AA26" i="4" s="1"/>
  <c r="AB26" i="4" s="1"/>
  <c r="AA37" i="4"/>
  <c r="Y42" i="4"/>
  <c r="I46" i="4"/>
  <c r="AD60" i="4"/>
  <c r="AE60" i="4" s="1"/>
  <c r="AF60" i="4" s="1"/>
  <c r="Z65" i="4"/>
  <c r="AA65" i="4" s="1"/>
  <c r="AB65" i="4" s="1"/>
  <c r="R135" i="2"/>
  <c r="S135" i="2" s="1"/>
  <c r="T135" i="2" s="1"/>
  <c r="R150" i="2"/>
  <c r="S150" i="2" s="1"/>
  <c r="T150" i="2" s="1"/>
  <c r="U180" i="2"/>
  <c r="R183" i="2"/>
  <c r="R201" i="2"/>
  <c r="S201" i="2" s="1"/>
  <c r="T201" i="2" s="1"/>
  <c r="R206" i="2"/>
  <c r="S206" i="2" s="1"/>
  <c r="T206" i="2" s="1"/>
  <c r="U79" i="3"/>
  <c r="R60" i="3"/>
  <c r="S60" i="3" s="1"/>
  <c r="T60" i="3" s="1"/>
  <c r="R66" i="3"/>
  <c r="S66" i="3" s="1"/>
  <c r="T66" i="3" s="1"/>
  <c r="U90" i="3"/>
  <c r="BB127" i="3"/>
  <c r="L25" i="1" s="1"/>
  <c r="AD61" i="4"/>
  <c r="AE61" i="4" s="1"/>
  <c r="AF61" i="4" s="1"/>
  <c r="Z61" i="4"/>
  <c r="AA61" i="4" s="1"/>
  <c r="AD62" i="4"/>
  <c r="AE62" i="4" s="1"/>
  <c r="AF62" i="4" s="1"/>
  <c r="V171" i="2"/>
  <c r="W171" i="2" s="1"/>
  <c r="U207" i="2"/>
  <c r="I210" i="2"/>
  <c r="I228" i="2"/>
  <c r="I38" i="3"/>
  <c r="Y49" i="3"/>
  <c r="V53" i="3"/>
  <c r="R102" i="3"/>
  <c r="S102" i="3" s="1"/>
  <c r="T102" i="3" s="1"/>
  <c r="R123" i="3"/>
  <c r="S123" i="3" s="1"/>
  <c r="T123" i="3" s="1"/>
  <c r="Z22" i="4"/>
  <c r="AA22" i="4" s="1"/>
  <c r="AB22" i="4" s="1"/>
  <c r="AE26" i="4"/>
  <c r="AF26" i="4" s="1"/>
  <c r="BE35" i="4"/>
  <c r="AA32" i="4"/>
  <c r="AB32" i="4" s="1"/>
  <c r="AD40" i="4"/>
  <c r="AE40" i="4" s="1"/>
  <c r="AF40" i="4" s="1"/>
  <c r="Z41" i="4"/>
  <c r="AA41" i="4" s="1"/>
  <c r="AB41" i="4" s="1"/>
  <c r="AD41" i="4"/>
  <c r="AE41" i="4" s="1"/>
  <c r="AA46" i="4"/>
  <c r="AB46" i="4" s="1"/>
  <c r="C134" i="2"/>
  <c r="D134" i="2" s="1"/>
  <c r="R186" i="2"/>
  <c r="S186" i="2" s="1"/>
  <c r="T186" i="2" s="1"/>
  <c r="I189" i="2"/>
  <c r="R22" i="3"/>
  <c r="R28" i="3"/>
  <c r="S28" i="3" s="1"/>
  <c r="T28" i="3" s="1"/>
  <c r="I29" i="3"/>
  <c r="R43" i="3"/>
  <c r="R61" i="3"/>
  <c r="S61" i="3" s="1"/>
  <c r="T61" i="3" s="1"/>
  <c r="V104" i="3"/>
  <c r="W104" i="3" s="1"/>
  <c r="X104" i="3" s="1"/>
  <c r="Y109" i="3"/>
  <c r="BF35" i="4"/>
  <c r="AA52" i="4"/>
  <c r="AB52" i="4" s="1"/>
  <c r="R210" i="2"/>
  <c r="R76" i="3"/>
  <c r="S76" i="3" s="1"/>
  <c r="T76" i="3" s="1"/>
  <c r="R88" i="3"/>
  <c r="S88" i="3" s="1"/>
  <c r="T88" i="3" s="1"/>
  <c r="V88" i="3"/>
  <c r="W88" i="3" s="1"/>
  <c r="X88" i="3" s="1"/>
  <c r="Z21" i="4"/>
  <c r="AA21" i="4" s="1"/>
  <c r="BG35" i="4"/>
  <c r="AD47" i="4"/>
  <c r="AD58" i="4"/>
  <c r="V183" i="2"/>
  <c r="Y79" i="3"/>
  <c r="R68" i="3"/>
  <c r="S68" i="3" s="1"/>
  <c r="T68" i="3" s="1"/>
  <c r="R70" i="3"/>
  <c r="S70" i="3" s="1"/>
  <c r="T70" i="3" s="1"/>
  <c r="I77" i="3"/>
  <c r="U109" i="3"/>
  <c r="V107" i="3"/>
  <c r="W107" i="3" s="1"/>
  <c r="X107" i="3" s="1"/>
  <c r="V124" i="3"/>
  <c r="W124" i="3" s="1"/>
  <c r="X124" i="3" s="1"/>
  <c r="AD24" i="4"/>
  <c r="Z24" i="4"/>
  <c r="AA24" i="4" s="1"/>
  <c r="AB24" i="4" s="1"/>
  <c r="AD33" i="4"/>
  <c r="AE33" i="4" s="1"/>
  <c r="AF33" i="4" s="1"/>
  <c r="AA34" i="4"/>
  <c r="AB34" i="4" s="1"/>
  <c r="BI49" i="4"/>
  <c r="AD46" i="4"/>
  <c r="AE46" i="4" s="1"/>
  <c r="AD53" i="4"/>
  <c r="AE53" i="4" s="1"/>
  <c r="AF53" i="4" s="1"/>
  <c r="Z53" i="4"/>
  <c r="AA53" i="4" s="1"/>
  <c r="AB53" i="4" s="1"/>
  <c r="V98" i="3"/>
  <c r="W98" i="3" s="1"/>
  <c r="X98" i="3" s="1"/>
  <c r="Y35" i="4"/>
  <c r="AF39" i="4"/>
  <c r="BC56" i="4"/>
  <c r="AD54" i="4"/>
  <c r="AE54" i="4" s="1"/>
  <c r="AF54" i="4" s="1"/>
  <c r="AF63" i="4"/>
  <c r="V22" i="3"/>
  <c r="X95" i="3"/>
  <c r="I97" i="3"/>
  <c r="V97" i="3" s="1"/>
  <c r="W97" i="3" s="1"/>
  <c r="X116" i="3"/>
  <c r="I27" i="4"/>
  <c r="I28" i="4" s="1"/>
  <c r="AD21" i="4"/>
  <c r="AE21" i="4" s="1"/>
  <c r="AE24" i="4"/>
  <c r="AF24" i="4" s="1"/>
  <c r="AE47" i="4"/>
  <c r="AF47" i="4" s="1"/>
  <c r="AD88" i="4"/>
  <c r="AE88" i="4" s="1"/>
  <c r="AF88" i="4" s="1"/>
  <c r="R84" i="3"/>
  <c r="S84" i="3" s="1"/>
  <c r="T84" i="3" s="1"/>
  <c r="R97" i="3"/>
  <c r="S97" i="3" s="1"/>
  <c r="Q118" i="3"/>
  <c r="I44" i="4"/>
  <c r="Z47" i="4"/>
  <c r="AA47" i="4" s="1"/>
  <c r="AB47" i="4" s="1"/>
  <c r="Z64" i="4"/>
  <c r="AA64" i="4" s="1"/>
  <c r="AB64" i="4" s="1"/>
  <c r="AF81" i="4"/>
  <c r="Z128" i="4"/>
  <c r="AD177" i="4"/>
  <c r="AE177" i="4" s="1"/>
  <c r="AF177" i="4" s="1"/>
  <c r="AD218" i="4"/>
  <c r="AE218" i="4" s="1"/>
  <c r="AF218" i="4" s="1"/>
  <c r="O32" i="5"/>
  <c r="P32" i="5" s="1"/>
  <c r="Q32" i="5" s="1"/>
  <c r="Z26" i="6"/>
  <c r="AA26" i="6" s="1"/>
  <c r="V76" i="3"/>
  <c r="W76" i="3" s="1"/>
  <c r="X76" i="3" s="1"/>
  <c r="R98" i="3"/>
  <c r="S98" i="3" s="1"/>
  <c r="T98" i="3" s="1"/>
  <c r="R105" i="3"/>
  <c r="S105" i="3" s="1"/>
  <c r="T105" i="3" s="1"/>
  <c r="R114" i="3"/>
  <c r="S114" i="3" s="1"/>
  <c r="T114" i="3" s="1"/>
  <c r="Y126" i="3"/>
  <c r="AD34" i="4"/>
  <c r="AE34" i="4" s="1"/>
  <c r="BA35" i="4"/>
  <c r="AG35" i="4" s="1"/>
  <c r="Z45" i="4"/>
  <c r="AA45" i="4" s="1"/>
  <c r="AB45" i="4" s="1"/>
  <c r="Y56" i="4"/>
  <c r="Z74" i="4"/>
  <c r="AA74" i="4" s="1"/>
  <c r="AB74" i="4" s="1"/>
  <c r="AF131" i="4"/>
  <c r="T97" i="3"/>
  <c r="Z33" i="4"/>
  <c r="AA33" i="4" s="1"/>
  <c r="AB33" i="4" s="1"/>
  <c r="Z39" i="4"/>
  <c r="AA39" i="4" s="1"/>
  <c r="AB39" i="4" s="1"/>
  <c r="Z44" i="4"/>
  <c r="AC67" i="4"/>
  <c r="BI67" i="4"/>
  <c r="AB62" i="4"/>
  <c r="AE78" i="4"/>
  <c r="AF78" i="4" s="1"/>
  <c r="AA85" i="4"/>
  <c r="AB85" i="4" s="1"/>
  <c r="Z114" i="4"/>
  <c r="AA114" i="4" s="1"/>
  <c r="AB114" i="4" s="1"/>
  <c r="BF126" i="4"/>
  <c r="BA146" i="4"/>
  <c r="AG146" i="4" s="1"/>
  <c r="BJ238" i="4"/>
  <c r="W113" i="3"/>
  <c r="Z59" i="4"/>
  <c r="AA59" i="4" s="1"/>
  <c r="AB59" i="4" s="1"/>
  <c r="BC75" i="4"/>
  <c r="AF86" i="4"/>
  <c r="AD93" i="4"/>
  <c r="Z93" i="4"/>
  <c r="AA93" i="4" s="1"/>
  <c r="AD105" i="4"/>
  <c r="AE105" i="4" s="1"/>
  <c r="AF105" i="4" s="1"/>
  <c r="BH126" i="4"/>
  <c r="AD119" i="4"/>
  <c r="AE119" i="4" s="1"/>
  <c r="AF119" i="4" s="1"/>
  <c r="Z119" i="4"/>
  <c r="AA119" i="4" s="1"/>
  <c r="AB119" i="4" s="1"/>
  <c r="AF132" i="4"/>
  <c r="Z135" i="4"/>
  <c r="AA135" i="4" s="1"/>
  <c r="AB135" i="4" s="1"/>
  <c r="R74" i="3"/>
  <c r="S74" i="3" s="1"/>
  <c r="T74" i="3" s="1"/>
  <c r="I94" i="3"/>
  <c r="V94" i="3" s="1"/>
  <c r="R100" i="3"/>
  <c r="S100" i="3" s="1"/>
  <c r="T100" i="3" s="1"/>
  <c r="V114" i="3"/>
  <c r="W114" i="3" s="1"/>
  <c r="X114" i="3" s="1"/>
  <c r="R116" i="3"/>
  <c r="S116" i="3" s="1"/>
  <c r="T116" i="3" s="1"/>
  <c r="Y28" i="4"/>
  <c r="AD45" i="4"/>
  <c r="AE45" i="4" s="1"/>
  <c r="AF45" i="4" s="1"/>
  <c r="AC49" i="4"/>
  <c r="H59" i="4"/>
  <c r="I59" i="4" s="1"/>
  <c r="I66" i="4" s="1"/>
  <c r="AA60" i="4"/>
  <c r="AB60" i="4" s="1"/>
  <c r="Z63" i="4"/>
  <c r="AA63" i="4" s="1"/>
  <c r="AB63" i="4" s="1"/>
  <c r="Y83" i="4"/>
  <c r="AD97" i="4"/>
  <c r="AE97" i="4" s="1"/>
  <c r="AF97" i="4" s="1"/>
  <c r="Z97" i="4"/>
  <c r="AA97" i="4" s="1"/>
  <c r="AB97" i="4" s="1"/>
  <c r="AA109" i="4"/>
  <c r="BJ115" i="4"/>
  <c r="Z120" i="4"/>
  <c r="AA120" i="4"/>
  <c r="AB120" i="4" s="1"/>
  <c r="AD123" i="4"/>
  <c r="AE123" i="4" s="1"/>
  <c r="AF123" i="4" s="1"/>
  <c r="Z123" i="4"/>
  <c r="AA123" i="4" s="1"/>
  <c r="AB123" i="4" s="1"/>
  <c r="Z133" i="4"/>
  <c r="AA133" i="4" s="1"/>
  <c r="AB133" i="4" s="1"/>
  <c r="I52" i="4"/>
  <c r="AD52" i="4" s="1"/>
  <c r="AE52" i="4" s="1"/>
  <c r="AE64" i="4"/>
  <c r="AF64" i="4" s="1"/>
  <c r="AD77" i="4"/>
  <c r="AA105" i="4"/>
  <c r="AB105" i="4" s="1"/>
  <c r="Z129" i="4"/>
  <c r="AA129" i="4" s="1"/>
  <c r="AB129" i="4" s="1"/>
  <c r="BA137" i="4"/>
  <c r="AG137" i="4" s="1"/>
  <c r="Z141" i="4"/>
  <c r="AA141" i="4" s="1"/>
  <c r="AB141" i="4" s="1"/>
  <c r="Z23" i="4"/>
  <c r="AA23" i="4" s="1"/>
  <c r="AB23" i="4" s="1"/>
  <c r="AC35" i="4"/>
  <c r="AC68" i="4" s="1"/>
  <c r="H51" i="4"/>
  <c r="I51" i="4" s="1"/>
  <c r="BE67" i="4"/>
  <c r="BJ83" i="4"/>
  <c r="I80" i="4"/>
  <c r="AD109" i="4"/>
  <c r="AD110" i="4"/>
  <c r="AE110" i="4" s="1"/>
  <c r="AF110" i="4" s="1"/>
  <c r="AA209" i="4"/>
  <c r="AB209" i="4" s="1"/>
  <c r="AA77" i="4"/>
  <c r="AD89" i="4"/>
  <c r="AE89" i="4" s="1"/>
  <c r="AF89" i="4" s="1"/>
  <c r="Z89" i="4"/>
  <c r="AA89" i="4" s="1"/>
  <c r="AB89" i="4" s="1"/>
  <c r="I106" i="4"/>
  <c r="AD112" i="4"/>
  <c r="AE112" i="4" s="1"/>
  <c r="AF112" i="4" s="1"/>
  <c r="AF113" i="4"/>
  <c r="AD117" i="4"/>
  <c r="AF118" i="4"/>
  <c r="AD124" i="4"/>
  <c r="AE124" i="4" s="1"/>
  <c r="AF124" i="4" s="1"/>
  <c r="Z124" i="4"/>
  <c r="AA124" i="4" s="1"/>
  <c r="AB124" i="4" s="1"/>
  <c r="Z144" i="4"/>
  <c r="AA144" i="4" s="1"/>
  <c r="AB144" i="4" s="1"/>
  <c r="Z204" i="4"/>
  <c r="AA204" i="4" s="1"/>
  <c r="AB204" i="4" s="1"/>
  <c r="O36" i="5"/>
  <c r="P36" i="5" s="1"/>
  <c r="W121" i="3"/>
  <c r="AD30" i="4"/>
  <c r="BA56" i="4"/>
  <c r="AG56" i="4" s="1"/>
  <c r="AD71" i="4"/>
  <c r="AE71" i="4" s="1"/>
  <c r="I74" i="4"/>
  <c r="AD74" i="4" s="1"/>
  <c r="AE74" i="4" s="1"/>
  <c r="AC83" i="4"/>
  <c r="Z95" i="4"/>
  <c r="AA95" i="4" s="1"/>
  <c r="AB95" i="4" s="1"/>
  <c r="BE107" i="4"/>
  <c r="BA115" i="4"/>
  <c r="AG115" i="4" s="1"/>
  <c r="Z121" i="4"/>
  <c r="AA121" i="4" s="1"/>
  <c r="AB121" i="4" s="1"/>
  <c r="BI146" i="4"/>
  <c r="BE154" i="4"/>
  <c r="Z183" i="4"/>
  <c r="AA183" i="4" s="1"/>
  <c r="AB183" i="4" s="1"/>
  <c r="K23" i="5"/>
  <c r="L23" i="5" s="1"/>
  <c r="M23" i="5" s="1"/>
  <c r="R83" i="3"/>
  <c r="AB61" i="4"/>
  <c r="BI75" i="4"/>
  <c r="Y75" i="4"/>
  <c r="Z80" i="4"/>
  <c r="AA80" i="4" s="1"/>
  <c r="AB80" i="4" s="1"/>
  <c r="AE95" i="4"/>
  <c r="AF95" i="4" s="1"/>
  <c r="AD103" i="4"/>
  <c r="AE103" i="4" s="1"/>
  <c r="AF103" i="4" s="1"/>
  <c r="AC107" i="4"/>
  <c r="AE121" i="4"/>
  <c r="AF121" i="4" s="1"/>
  <c r="Z131" i="4"/>
  <c r="AA131" i="4" s="1"/>
  <c r="AB131" i="4" s="1"/>
  <c r="BJ146" i="4"/>
  <c r="AC154" i="4"/>
  <c r="Z51" i="4"/>
  <c r="BF67" i="4"/>
  <c r="Z66" i="4"/>
  <c r="AA66" i="4" s="1"/>
  <c r="AB66" i="4" s="1"/>
  <c r="I85" i="4"/>
  <c r="BG91" i="4"/>
  <c r="BG155" i="4" s="1"/>
  <c r="BH99" i="4"/>
  <c r="AF96" i="4"/>
  <c r="AF104" i="4"/>
  <c r="AD106" i="4"/>
  <c r="AE106" i="4" s="1"/>
  <c r="Z106" i="4"/>
  <c r="AA106" i="4" s="1"/>
  <c r="AB106" i="4" s="1"/>
  <c r="Z111" i="4"/>
  <c r="AA111" i="4" s="1"/>
  <c r="AB111" i="4" s="1"/>
  <c r="I114" i="4"/>
  <c r="I115" i="4" s="1"/>
  <c r="Z125" i="4"/>
  <c r="AA125" i="4" s="1"/>
  <c r="AB125" i="4" s="1"/>
  <c r="BG146" i="4"/>
  <c r="H128" i="4"/>
  <c r="I128" i="4" s="1"/>
  <c r="Z173" i="4"/>
  <c r="AA173" i="4" s="1"/>
  <c r="AB173" i="4" s="1"/>
  <c r="BA188" i="4"/>
  <c r="AG188" i="4" s="1"/>
  <c r="Z182" i="4"/>
  <c r="O20" i="5"/>
  <c r="P39" i="5"/>
  <c r="Q39" i="5" s="1"/>
  <c r="G225" i="4"/>
  <c r="H225" i="4" s="1"/>
  <c r="I225" i="4" s="1"/>
  <c r="G207" i="4"/>
  <c r="H207" i="4" s="1"/>
  <c r="I207" i="4" s="1"/>
  <c r="G216" i="4"/>
  <c r="H216" i="4" s="1"/>
  <c r="I216" i="4" s="1"/>
  <c r="G199" i="4"/>
  <c r="H199" i="4" s="1"/>
  <c r="I199" i="4" s="1"/>
  <c r="G190" i="4"/>
  <c r="H190" i="4" s="1"/>
  <c r="I190" i="4" s="1"/>
  <c r="AD190" i="4" s="1"/>
  <c r="G165" i="4"/>
  <c r="H165" i="4" s="1"/>
  <c r="I165" i="4" s="1"/>
  <c r="G148" i="4"/>
  <c r="H148" i="4" s="1"/>
  <c r="I148" i="4" s="1"/>
  <c r="G232" i="4"/>
  <c r="H232" i="4" s="1"/>
  <c r="I232" i="4" s="1"/>
  <c r="AD232" i="4" s="1"/>
  <c r="G181" i="4"/>
  <c r="H181" i="4" s="1"/>
  <c r="I181" i="4" s="1"/>
  <c r="G172" i="4"/>
  <c r="H172" i="4" s="1"/>
  <c r="I172" i="4" s="1"/>
  <c r="G158" i="4"/>
  <c r="H158" i="4" s="1"/>
  <c r="I158" i="4" s="1"/>
  <c r="Z56" i="6"/>
  <c r="AA56" i="6" s="1"/>
  <c r="AB56" i="6" s="1"/>
  <c r="Y99" i="4"/>
  <c r="AA139" i="4"/>
  <c r="Y146" i="4"/>
  <c r="AD140" i="4"/>
  <c r="AE140" i="4" s="1"/>
  <c r="AF140" i="4" s="1"/>
  <c r="Z219" i="4"/>
  <c r="AA219" i="4" s="1"/>
  <c r="AB219" i="4" s="1"/>
  <c r="AC75" i="4"/>
  <c r="BA126" i="4"/>
  <c r="AG126" i="4" s="1"/>
  <c r="BF137" i="4"/>
  <c r="BF155" i="4" s="1"/>
  <c r="AE144" i="4"/>
  <c r="AF144" i="4" s="1"/>
  <c r="AB148" i="4"/>
  <c r="AA151" i="4"/>
  <c r="AB151" i="4" s="1"/>
  <c r="I183" i="4"/>
  <c r="AD191" i="4"/>
  <c r="AE191" i="4" s="1"/>
  <c r="AF191" i="4" s="1"/>
  <c r="AD201" i="4"/>
  <c r="AE201" i="4" s="1"/>
  <c r="Z201" i="4"/>
  <c r="AA201" i="4" s="1"/>
  <c r="AB201" i="4" s="1"/>
  <c r="O24" i="5"/>
  <c r="P24" i="5" s="1"/>
  <c r="Q24" i="5" s="1"/>
  <c r="BC126" i="4"/>
  <c r="AC146" i="4"/>
  <c r="Z159" i="4"/>
  <c r="AA159" i="4" s="1"/>
  <c r="AB159" i="4" s="1"/>
  <c r="AD175" i="4"/>
  <c r="AE175" i="4" s="1"/>
  <c r="AF175" i="4" s="1"/>
  <c r="AD192" i="4"/>
  <c r="AE192" i="4" s="1"/>
  <c r="AF192" i="4" s="1"/>
  <c r="Z31" i="6"/>
  <c r="Z87" i="4"/>
  <c r="AA87" i="4" s="1"/>
  <c r="AB87" i="4" s="1"/>
  <c r="AD101" i="4"/>
  <c r="AE101" i="4" s="1"/>
  <c r="BH137" i="4"/>
  <c r="I159" i="4"/>
  <c r="AD159" i="4" s="1"/>
  <c r="AE159" i="4" s="1"/>
  <c r="Z176" i="4"/>
  <c r="AA176" i="4" s="1"/>
  <c r="AB176" i="4" s="1"/>
  <c r="AD186" i="4"/>
  <c r="AE186" i="4" s="1"/>
  <c r="AF186" i="4" s="1"/>
  <c r="G22" i="5"/>
  <c r="H22" i="5" s="1"/>
  <c r="H34" i="5" s="1"/>
  <c r="Z113" i="4"/>
  <c r="AA113" i="4" s="1"/>
  <c r="AB113" i="4" s="1"/>
  <c r="Z118" i="4"/>
  <c r="AA118" i="4" s="1"/>
  <c r="AB118" i="4" s="1"/>
  <c r="AC137" i="4"/>
  <c r="BI137" i="4"/>
  <c r="Z143" i="4"/>
  <c r="AA143" i="4" s="1"/>
  <c r="AB143" i="4" s="1"/>
  <c r="BJ154" i="4"/>
  <c r="AD151" i="4"/>
  <c r="AE151" i="4" s="1"/>
  <c r="AF151" i="4" s="1"/>
  <c r="Z162" i="4"/>
  <c r="AA162" i="4" s="1"/>
  <c r="AB162" i="4" s="1"/>
  <c r="Z174" i="4"/>
  <c r="AA174" i="4" s="1"/>
  <c r="AB174" i="4" s="1"/>
  <c r="Z177" i="4"/>
  <c r="AA177" i="4" s="1"/>
  <c r="AB177" i="4" s="1"/>
  <c r="AC197" i="4"/>
  <c r="Z81" i="4"/>
  <c r="AA81" i="4" s="1"/>
  <c r="AB81" i="4" s="1"/>
  <c r="Z86" i="4"/>
  <c r="AA86" i="4" s="1"/>
  <c r="AB86" i="4" s="1"/>
  <c r="Z112" i="4"/>
  <c r="AA112" i="4" s="1"/>
  <c r="AB112" i="4" s="1"/>
  <c r="Z117" i="4"/>
  <c r="BJ137" i="4"/>
  <c r="Z134" i="4"/>
  <c r="AA134" i="4" s="1"/>
  <c r="AB134" i="4" s="1"/>
  <c r="Y163" i="4"/>
  <c r="Z160" i="4"/>
  <c r="AA160" i="4" s="1"/>
  <c r="AB160" i="4" s="1"/>
  <c r="BF170" i="4"/>
  <c r="BF205" i="4"/>
  <c r="BH214" i="4"/>
  <c r="BI237" i="4"/>
  <c r="AA130" i="4"/>
  <c r="AB130" i="4" s="1"/>
  <c r="Z132" i="4"/>
  <c r="AA132" i="4" s="1"/>
  <c r="AB132" i="4" s="1"/>
  <c r="BG170" i="4"/>
  <c r="AA184" i="4"/>
  <c r="Y237" i="4"/>
  <c r="BH170" i="4"/>
  <c r="AB167" i="4"/>
  <c r="AC188" i="4"/>
  <c r="BF188" i="4"/>
  <c r="Z187" i="4"/>
  <c r="AA187" i="4" s="1"/>
  <c r="AB187" i="4" s="1"/>
  <c r="AD193" i="4"/>
  <c r="AA216" i="4"/>
  <c r="O37" i="5"/>
  <c r="P37" i="5" s="1"/>
  <c r="Q37" i="5" s="1"/>
  <c r="O49" i="5"/>
  <c r="P49" i="5" s="1"/>
  <c r="Q49" i="5" s="1"/>
  <c r="O60" i="5"/>
  <c r="Y137" i="4"/>
  <c r="BE146" i="4"/>
  <c r="Z140" i="4"/>
  <c r="AA140" i="4" s="1"/>
  <c r="AB140" i="4" s="1"/>
  <c r="BF154" i="4"/>
  <c r="Z150" i="4"/>
  <c r="AA150" i="4" s="1"/>
  <c r="AB150" i="4" s="1"/>
  <c r="Z194" i="4"/>
  <c r="AA194" i="4" s="1"/>
  <c r="AB194" i="4" s="1"/>
  <c r="O25" i="5"/>
  <c r="P25" i="5" s="1"/>
  <c r="Q25" i="5" s="1"/>
  <c r="O31" i="5"/>
  <c r="P31" i="5" s="1"/>
  <c r="Q31" i="5" s="1"/>
  <c r="O46" i="5"/>
  <c r="BC230" i="4"/>
  <c r="K39" i="5"/>
  <c r="L39" i="5" s="1"/>
  <c r="M39" i="5" s="1"/>
  <c r="O39" i="5"/>
  <c r="P60" i="5"/>
  <c r="Q60" i="5" s="1"/>
  <c r="U24" i="6"/>
  <c r="AC41" i="6"/>
  <c r="M33" i="1" s="1"/>
  <c r="BJ205" i="4"/>
  <c r="Z212" i="4"/>
  <c r="AA212" i="4" s="1"/>
  <c r="AB212" i="4" s="1"/>
  <c r="BJ230" i="4"/>
  <c r="AC237" i="4"/>
  <c r="N44" i="5"/>
  <c r="N56" i="5" s="1"/>
  <c r="AA165" i="4"/>
  <c r="AC179" i="4"/>
  <c r="AD211" i="4"/>
  <c r="AE211" i="4" s="1"/>
  <c r="AF211" i="4" s="1"/>
  <c r="G33" i="5"/>
  <c r="H33" i="5" s="1"/>
  <c r="AC24" i="6"/>
  <c r="M35" i="1" s="1"/>
  <c r="J55" i="5"/>
  <c r="L48" i="5"/>
  <c r="M48" i="5" s="1"/>
  <c r="O62" i="5"/>
  <c r="P62" i="5" s="1"/>
  <c r="Q62" i="5" s="1"/>
  <c r="K62" i="5"/>
  <c r="L62" i="5" s="1"/>
  <c r="M62" i="5" s="1"/>
  <c r="BC188" i="4"/>
  <c r="AD195" i="4"/>
  <c r="AE195" i="4" s="1"/>
  <c r="AF195" i="4" s="1"/>
  <c r="BG205" i="4"/>
  <c r="BI214" i="4"/>
  <c r="AD210" i="4"/>
  <c r="AE210" i="4" s="1"/>
  <c r="AF210" i="4" s="1"/>
  <c r="BG230" i="4"/>
  <c r="AP56" i="5"/>
  <c r="L46" i="5"/>
  <c r="K55" i="5"/>
  <c r="R55" i="5"/>
  <c r="R66" i="5"/>
  <c r="M30" i="1" s="1"/>
  <c r="K58" i="5"/>
  <c r="O58" i="5"/>
  <c r="Z153" i="4"/>
  <c r="AA153" i="4" s="1"/>
  <c r="AB153" i="4" s="1"/>
  <c r="Y179" i="4"/>
  <c r="BE179" i="4"/>
  <c r="BA205" i="4"/>
  <c r="AG205" i="4" s="1"/>
  <c r="AB207" i="4"/>
  <c r="Z210" i="4"/>
  <c r="Z218" i="4"/>
  <c r="AA218" i="4" s="1"/>
  <c r="AB218" i="4" s="1"/>
  <c r="BH230" i="4"/>
  <c r="G23" i="5"/>
  <c r="H23" i="5" s="1"/>
  <c r="O23" i="5" s="1"/>
  <c r="P23" i="5" s="1"/>
  <c r="O28" i="5"/>
  <c r="P28" i="5" s="1"/>
  <c r="Q28" i="5" s="1"/>
  <c r="L53" i="5"/>
  <c r="M53" i="5" s="1"/>
  <c r="O59" i="5"/>
  <c r="P59" i="5" s="1"/>
  <c r="Q59" i="5" s="1"/>
  <c r="Z23" i="6"/>
  <c r="AA23" i="6" s="1"/>
  <c r="AB23" i="6" s="1"/>
  <c r="H34" i="6"/>
  <c r="I34" i="6" s="1"/>
  <c r="Z34" i="6" s="1"/>
  <c r="AA34" i="6" s="1"/>
  <c r="Z158" i="4"/>
  <c r="AA158" i="4" s="1"/>
  <c r="Z172" i="4"/>
  <c r="AA172" i="4" s="1"/>
  <c r="AB172" i="4" s="1"/>
  <c r="AA178" i="4"/>
  <c r="AB178" i="4" s="1"/>
  <c r="AB184" i="4"/>
  <c r="Z191" i="4"/>
  <c r="AA191" i="4" s="1"/>
  <c r="AB191" i="4" s="1"/>
  <c r="AD203" i="4"/>
  <c r="AE203" i="4" s="1"/>
  <c r="AF203" i="4" s="1"/>
  <c r="AC214" i="4"/>
  <c r="Y223" i="4"/>
  <c r="Y230" i="4"/>
  <c r="Z228" i="4"/>
  <c r="AA228" i="4" s="1"/>
  <c r="AB228" i="4" s="1"/>
  <c r="Z232" i="4"/>
  <c r="BF237" i="4"/>
  <c r="N34" i="5"/>
  <c r="Z168" i="4"/>
  <c r="Z170" i="4" s="1"/>
  <c r="Z190" i="4"/>
  <c r="BE197" i="4"/>
  <c r="AA193" i="4"/>
  <c r="AB193" i="4" s="1"/>
  <c r="Z195" i="4"/>
  <c r="AA195" i="4" s="1"/>
  <c r="AB195" i="4" s="1"/>
  <c r="I209" i="4"/>
  <c r="AD219" i="4"/>
  <c r="AE219" i="4" s="1"/>
  <c r="AF219" i="4" s="1"/>
  <c r="Z230" i="4"/>
  <c r="BG237" i="4"/>
  <c r="L47" i="5"/>
  <c r="M47" i="5" s="1"/>
  <c r="N66" i="5"/>
  <c r="AA181" i="4"/>
  <c r="AB181" i="4" s="1"/>
  <c r="BG188" i="4"/>
  <c r="BF197" i="4"/>
  <c r="BG223" i="4"/>
  <c r="AC223" i="4"/>
  <c r="AA225" i="4"/>
  <c r="AD227" i="4"/>
  <c r="AE227" i="4" s="1"/>
  <c r="AF227" i="4" s="1"/>
  <c r="BH237" i="4"/>
  <c r="AE234" i="4"/>
  <c r="AF234" i="4" s="1"/>
  <c r="Z235" i="4"/>
  <c r="AA235" i="4" s="1"/>
  <c r="AB235" i="4" s="1"/>
  <c r="L19" i="5"/>
  <c r="J34" i="5"/>
  <c r="BH188" i="4"/>
  <c r="AE193" i="4"/>
  <c r="AF193" i="4" s="1"/>
  <c r="Y205" i="4"/>
  <c r="Z213" i="4"/>
  <c r="AA213" i="4" s="1"/>
  <c r="AB213" i="4" s="1"/>
  <c r="I226" i="4"/>
  <c r="I228" i="4"/>
  <c r="BE237" i="4"/>
  <c r="K20" i="5"/>
  <c r="P43" i="5"/>
  <c r="Q43" i="5" s="1"/>
  <c r="V53" i="6"/>
  <c r="W53" i="6" s="1"/>
  <c r="X53" i="6" s="1"/>
  <c r="I53" i="6"/>
  <c r="BA41" i="6"/>
  <c r="Z199" i="4"/>
  <c r="BI230" i="4"/>
  <c r="V40" i="6"/>
  <c r="W40" i="6" s="1"/>
  <c r="X40" i="6" s="1"/>
  <c r="Z192" i="4"/>
  <c r="AA192" i="4" s="1"/>
  <c r="AB192" i="4" s="1"/>
  <c r="AD208" i="4"/>
  <c r="AE208" i="4" s="1"/>
  <c r="AF208" i="4" s="1"/>
  <c r="Z220" i="4"/>
  <c r="AA220" i="4" s="1"/>
  <c r="AB220" i="4" s="1"/>
  <c r="AC230" i="4"/>
  <c r="Z233" i="4"/>
  <c r="AA233" i="4" s="1"/>
  <c r="AB233" i="4" s="1"/>
  <c r="G30" i="5"/>
  <c r="H30" i="5" s="1"/>
  <c r="BC41" i="6"/>
  <c r="AZ77" i="6"/>
  <c r="F38" i="9"/>
  <c r="F54" i="5" s="1"/>
  <c r="G54" i="5" s="1"/>
  <c r="H54" i="5" s="1"/>
  <c r="E38" i="9"/>
  <c r="F64" i="6"/>
  <c r="E49" i="10"/>
  <c r="F49" i="10" s="1"/>
  <c r="O53" i="5"/>
  <c r="P53" i="5" s="1"/>
  <c r="Q53" i="5" s="1"/>
  <c r="V22" i="6"/>
  <c r="U41" i="6"/>
  <c r="Z39" i="6"/>
  <c r="AA39" i="6" s="1"/>
  <c r="AB39" i="6" s="1"/>
  <c r="Z53" i="6"/>
  <c r="AA53" i="6" s="1"/>
  <c r="BA237" i="4"/>
  <c r="AG237" i="4" s="1"/>
  <c r="O52" i="5"/>
  <c r="P52" i="5" s="1"/>
  <c r="Q52" i="5" s="1"/>
  <c r="O63" i="5"/>
  <c r="P63" i="5" s="1"/>
  <c r="Q63" i="5" s="1"/>
  <c r="Y29" i="6"/>
  <c r="O38" i="6"/>
  <c r="P38" i="6" s="1"/>
  <c r="BB77" i="6"/>
  <c r="BB78" i="6" s="1"/>
  <c r="G202" i="4"/>
  <c r="H202" i="4" s="1"/>
  <c r="I202" i="4" s="1"/>
  <c r="O51" i="5"/>
  <c r="P51" i="5" s="1"/>
  <c r="Q51" i="5" s="1"/>
  <c r="Q64" i="5"/>
  <c r="V23" i="6"/>
  <c r="W23" i="6" s="1"/>
  <c r="X23" i="6" s="1"/>
  <c r="I27" i="6"/>
  <c r="AC29" i="6"/>
  <c r="M34" i="1" s="1"/>
  <c r="H32" i="6"/>
  <c r="I32" i="6" s="1"/>
  <c r="Z33" i="6"/>
  <c r="AA33" i="6" s="1"/>
  <c r="AB33" i="6" s="1"/>
  <c r="W47" i="6"/>
  <c r="X47" i="6" s="1"/>
  <c r="R44" i="5"/>
  <c r="K36" i="5"/>
  <c r="G38" i="5"/>
  <c r="H38" i="5" s="1"/>
  <c r="O38" i="5" s="1"/>
  <c r="P38" i="5" s="1"/>
  <c r="O65" i="5"/>
  <c r="P65" i="5" s="1"/>
  <c r="Q65" i="5" s="1"/>
  <c r="V45" i="6"/>
  <c r="Y49" i="6"/>
  <c r="W64" i="6"/>
  <c r="X64" i="6" s="1"/>
  <c r="F34" i="9"/>
  <c r="F50" i="5" s="1"/>
  <c r="E34" i="9"/>
  <c r="E50" i="5"/>
  <c r="K64" i="5"/>
  <c r="L64" i="5" s="1"/>
  <c r="M64" i="5" s="1"/>
  <c r="Y41" i="6"/>
  <c r="U49" i="6"/>
  <c r="U78" i="6" s="1"/>
  <c r="V52" i="6"/>
  <c r="W52" i="6" s="1"/>
  <c r="W26" i="6"/>
  <c r="W31" i="6"/>
  <c r="F23" i="8"/>
  <c r="G44" i="3" s="1"/>
  <c r="H44" i="3" s="1"/>
  <c r="I44" i="3" s="1"/>
  <c r="O48" i="5" l="1"/>
  <c r="P48" i="5" s="1"/>
  <c r="Q48" i="5" s="1"/>
  <c r="G141" i="4"/>
  <c r="H141" i="4" s="1"/>
  <c r="I141" i="4" s="1"/>
  <c r="G167" i="4"/>
  <c r="H167" i="4" s="1"/>
  <c r="I167" i="4" s="1"/>
  <c r="G122" i="4"/>
  <c r="H122" i="4" s="1"/>
  <c r="I122" i="4" s="1"/>
  <c r="AD122" i="4" s="1"/>
  <c r="AE122" i="4" s="1"/>
  <c r="AF122" i="4" s="1"/>
  <c r="G160" i="4"/>
  <c r="H160" i="4" s="1"/>
  <c r="I160" i="4" s="1"/>
  <c r="G150" i="4"/>
  <c r="H150" i="4" s="1"/>
  <c r="I150" i="4" s="1"/>
  <c r="G133" i="4"/>
  <c r="H133" i="4" s="1"/>
  <c r="I133" i="4" s="1"/>
  <c r="G210" i="4"/>
  <c r="H176" i="4"/>
  <c r="I176" i="4" s="1"/>
  <c r="AD176" i="4" s="1"/>
  <c r="AE176" i="4" s="1"/>
  <c r="AF176" i="4" s="1"/>
  <c r="H120" i="4"/>
  <c r="I120" i="4" s="1"/>
  <c r="H161" i="4"/>
  <c r="I161" i="4" s="1"/>
  <c r="H168" i="4"/>
  <c r="I168" i="4" s="1"/>
  <c r="AD168" i="4" s="1"/>
  <c r="AE168" i="4" s="1"/>
  <c r="AF168" i="4" s="1"/>
  <c r="H135" i="4"/>
  <c r="I135" i="4" s="1"/>
  <c r="AD135" i="4" s="1"/>
  <c r="AE135" i="4" s="1"/>
  <c r="AF135" i="4" s="1"/>
  <c r="H96" i="2"/>
  <c r="I96" i="2" s="1"/>
  <c r="V96" i="2" s="1"/>
  <c r="W96" i="2" s="1"/>
  <c r="X96" i="2" s="1"/>
  <c r="H69" i="2"/>
  <c r="I69" i="2" s="1"/>
  <c r="V69" i="2" s="1"/>
  <c r="W69" i="2" s="1"/>
  <c r="X69" i="2" s="1"/>
  <c r="H84" i="2"/>
  <c r="I84" i="2" s="1"/>
  <c r="V84" i="2" s="1"/>
  <c r="W84" i="2" s="1"/>
  <c r="X84" i="2" s="1"/>
  <c r="H68" i="2"/>
  <c r="I68" i="2" s="1"/>
  <c r="V68" i="2" s="1"/>
  <c r="W68" i="2" s="1"/>
  <c r="X68" i="2" s="1"/>
  <c r="H77" i="2"/>
  <c r="I77" i="2" s="1"/>
  <c r="V77" i="2" s="1"/>
  <c r="W77" i="2" s="1"/>
  <c r="X77" i="2" s="1"/>
  <c r="R180" i="2"/>
  <c r="U127" i="3"/>
  <c r="BI68" i="4"/>
  <c r="BE155" i="4"/>
  <c r="Q232" i="2"/>
  <c r="BE68" i="4"/>
  <c r="BC68" i="4"/>
  <c r="BJ155" i="4"/>
  <c r="AC238" i="4"/>
  <c r="BC238" i="4"/>
  <c r="BI238" i="4"/>
  <c r="L27" i="1"/>
  <c r="Y78" i="6"/>
  <c r="BE78" i="6"/>
  <c r="L34" i="1"/>
  <c r="N34" i="1" s="1"/>
  <c r="I40" i="2"/>
  <c r="I62" i="2" s="1"/>
  <c r="Z237" i="4"/>
  <c r="K34" i="5"/>
  <c r="L33" i="1"/>
  <c r="BC78" i="6"/>
  <c r="H44" i="5"/>
  <c r="L35" i="1"/>
  <c r="N35" i="1" s="1"/>
  <c r="W27" i="6"/>
  <c r="V29" i="6"/>
  <c r="I125" i="3"/>
  <c r="V123" i="3"/>
  <c r="V102" i="3"/>
  <c r="W102" i="3" s="1"/>
  <c r="X102" i="3"/>
  <c r="V85" i="3"/>
  <c r="W85" i="3" s="1"/>
  <c r="X85" i="3" s="1"/>
  <c r="V83" i="3"/>
  <c r="W83" i="3" s="1"/>
  <c r="I89" i="3"/>
  <c r="I90" i="3" s="1"/>
  <c r="V75" i="3"/>
  <c r="W75" i="3" s="1"/>
  <c r="X75" i="3"/>
  <c r="V68" i="3"/>
  <c r="W68" i="3" s="1"/>
  <c r="X68" i="3"/>
  <c r="V160" i="2"/>
  <c r="W160" i="2" s="1"/>
  <c r="X160" i="2"/>
  <c r="O42" i="5"/>
  <c r="P42" i="5" s="1"/>
  <c r="P44" i="5" s="1"/>
  <c r="Q42" i="5"/>
  <c r="V33" i="3"/>
  <c r="W33" i="3" s="1"/>
  <c r="X33" i="3"/>
  <c r="V141" i="2"/>
  <c r="W141" i="2" s="1"/>
  <c r="X141" i="2"/>
  <c r="I117" i="3"/>
  <c r="V41" i="6"/>
  <c r="W33" i="6"/>
  <c r="Z22" i="6"/>
  <c r="I24" i="6"/>
  <c r="C35" i="1" s="1"/>
  <c r="W77" i="6"/>
  <c r="AC78" i="6"/>
  <c r="I38" i="1" s="1"/>
  <c r="I39" i="1" s="1"/>
  <c r="I42" i="1" s="1"/>
  <c r="BA68" i="4"/>
  <c r="AG68" i="4" s="1"/>
  <c r="Y232" i="2"/>
  <c r="N24" i="1" s="1"/>
  <c r="AB31" i="4"/>
  <c r="AB35" i="4" s="1"/>
  <c r="AA35" i="4"/>
  <c r="Z67" i="4"/>
  <c r="Z179" i="4"/>
  <c r="AD35" i="4"/>
  <c r="AE30" i="4"/>
  <c r="R56" i="5"/>
  <c r="M27" i="1" s="1"/>
  <c r="N27" i="1" s="1"/>
  <c r="AA182" i="4"/>
  <c r="AB182" i="4" s="1"/>
  <c r="Z188" i="4"/>
  <c r="AB188" i="4"/>
  <c r="Z223" i="4"/>
  <c r="AA168" i="4"/>
  <c r="AB168" i="4" s="1"/>
  <c r="R126" i="3"/>
  <c r="Z65" i="6"/>
  <c r="AA65" i="6" s="1"/>
  <c r="AB65" i="6" s="1"/>
  <c r="Y127" i="3"/>
  <c r="V44" i="3"/>
  <c r="W44" i="3" s="1"/>
  <c r="X44" i="3" s="1"/>
  <c r="X31" i="6"/>
  <c r="V134" i="2"/>
  <c r="W134" i="2" s="1"/>
  <c r="X134" i="2" s="1"/>
  <c r="AF101" i="4"/>
  <c r="AD79" i="4"/>
  <c r="AE79" i="4" s="1"/>
  <c r="AF79" i="4" s="1"/>
  <c r="Z79" i="4"/>
  <c r="V79" i="2"/>
  <c r="W79" i="2" s="1"/>
  <c r="X79" i="2" s="1"/>
  <c r="AD66" i="4"/>
  <c r="AE66" i="4" s="1"/>
  <c r="AF66" i="4" s="1"/>
  <c r="R63" i="2"/>
  <c r="BH155" i="4"/>
  <c r="AE77" i="4"/>
  <c r="AA28" i="4"/>
  <c r="AB21" i="4"/>
  <c r="AB28" i="4" s="1"/>
  <c r="M19" i="5"/>
  <c r="P58" i="5"/>
  <c r="O66" i="5"/>
  <c r="F30" i="1" s="1"/>
  <c r="F31" i="1" s="1"/>
  <c r="BG238" i="4"/>
  <c r="BG239" i="4" s="1"/>
  <c r="X52" i="6"/>
  <c r="X77" i="6" s="1"/>
  <c r="AA199" i="4"/>
  <c r="AF71" i="4"/>
  <c r="I41" i="6"/>
  <c r="C33" i="1" s="1"/>
  <c r="Z32" i="6"/>
  <c r="AA32" i="6" s="1"/>
  <c r="AB32" i="6" s="1"/>
  <c r="K66" i="5"/>
  <c r="L58" i="5"/>
  <c r="BF238" i="4"/>
  <c r="AB93" i="4"/>
  <c r="AE190" i="4"/>
  <c r="AF190" i="4" s="1"/>
  <c r="AD80" i="4"/>
  <c r="AE80" i="4" s="1"/>
  <c r="AF80" i="4" s="1"/>
  <c r="I82" i="4"/>
  <c r="W94" i="3"/>
  <c r="S95" i="3"/>
  <c r="R109" i="3"/>
  <c r="I222" i="4"/>
  <c r="I223" i="4"/>
  <c r="AD216" i="4"/>
  <c r="S22" i="3"/>
  <c r="R40" i="3"/>
  <c r="S118" i="3"/>
  <c r="T113" i="3"/>
  <c r="T118" i="3" s="1"/>
  <c r="AA146" i="4"/>
  <c r="AB139" i="4"/>
  <c r="AB146" i="4" s="1"/>
  <c r="AD228" i="4"/>
  <c r="AE228" i="4" s="1"/>
  <c r="AF228" i="4" s="1"/>
  <c r="AA210" i="4"/>
  <c r="Z214" i="4"/>
  <c r="AE232" i="4"/>
  <c r="BH238" i="4"/>
  <c r="Z56" i="4"/>
  <c r="AA51" i="4"/>
  <c r="AD98" i="4"/>
  <c r="AE98" i="4" s="1"/>
  <c r="AF98" i="4" s="1"/>
  <c r="I99" i="4"/>
  <c r="O54" i="5"/>
  <c r="P54" i="5" s="1"/>
  <c r="Q54" i="5" s="1"/>
  <c r="AD226" i="4"/>
  <c r="AE226" i="4" s="1"/>
  <c r="AF226" i="4" s="1"/>
  <c r="Y68" i="4"/>
  <c r="AZ78" i="6"/>
  <c r="L37" i="1"/>
  <c r="N37" i="1" s="1"/>
  <c r="AD38" i="4"/>
  <c r="AE38" i="4" s="1"/>
  <c r="AF38" i="4" s="1"/>
  <c r="Z38" i="4"/>
  <c r="X171" i="2"/>
  <c r="T127" i="2"/>
  <c r="I165" i="2"/>
  <c r="I166" i="2" s="1"/>
  <c r="BJ239" i="4"/>
  <c r="AB179" i="4"/>
  <c r="BA238" i="4"/>
  <c r="AG238" i="4" s="1"/>
  <c r="Z126" i="4"/>
  <c r="AA117" i="4"/>
  <c r="AA163" i="4"/>
  <c r="AB158" i="4"/>
  <c r="AB163" i="4" s="1"/>
  <c r="I204" i="4"/>
  <c r="I205" i="4" s="1"/>
  <c r="AD199" i="4"/>
  <c r="BF68" i="4"/>
  <c r="T59" i="2"/>
  <c r="I59" i="2"/>
  <c r="T25" i="2"/>
  <c r="T31" i="2" s="1"/>
  <c r="S31" i="2"/>
  <c r="V72" i="2"/>
  <c r="W72" i="2" s="1"/>
  <c r="X72" i="2" s="1"/>
  <c r="I126" i="2"/>
  <c r="I127" i="2" s="1"/>
  <c r="AA232" i="4"/>
  <c r="O22" i="5"/>
  <c r="P22" i="5" s="1"/>
  <c r="Q22" i="5" s="1"/>
  <c r="AD183" i="4"/>
  <c r="AE183" i="4" s="1"/>
  <c r="AF183" i="4" s="1"/>
  <c r="Z146" i="4"/>
  <c r="Z49" i="4"/>
  <c r="AA44" i="4"/>
  <c r="AA67" i="4"/>
  <c r="I206" i="2"/>
  <c r="I207" i="2"/>
  <c r="S127" i="2"/>
  <c r="I48" i="3"/>
  <c r="I49" i="3" s="1"/>
  <c r="R166" i="2"/>
  <c r="V40" i="2"/>
  <c r="W40" i="2" s="1"/>
  <c r="X40" i="2" s="1"/>
  <c r="W22" i="3"/>
  <c r="V189" i="2"/>
  <c r="W189" i="2" s="1"/>
  <c r="X189" i="2" s="1"/>
  <c r="AB37" i="4"/>
  <c r="R118" i="3"/>
  <c r="V174" i="2"/>
  <c r="W174" i="2" s="1"/>
  <c r="X174" i="2" s="1"/>
  <c r="T171" i="2"/>
  <c r="T180" i="2" s="1"/>
  <c r="S180" i="2"/>
  <c r="T36" i="2"/>
  <c r="S63" i="2"/>
  <c r="V31" i="2"/>
  <c r="F21" i="1" s="1"/>
  <c r="M21" i="1" s="1"/>
  <c r="N21" i="1" s="1"/>
  <c r="W22" i="2"/>
  <c r="V60" i="2"/>
  <c r="W60" i="2" s="1"/>
  <c r="X60" i="2" s="1"/>
  <c r="M31" i="1"/>
  <c r="N30" i="1"/>
  <c r="AD102" i="4"/>
  <c r="AE102" i="4" s="1"/>
  <c r="AF102" i="4" s="1"/>
  <c r="Z102" i="4"/>
  <c r="I213" i="4"/>
  <c r="I214" i="4" s="1"/>
  <c r="AD207" i="4"/>
  <c r="R90" i="3"/>
  <c r="Z91" i="4"/>
  <c r="AF21" i="4"/>
  <c r="Z35" i="4"/>
  <c r="AE58" i="4"/>
  <c r="R207" i="2"/>
  <c r="S79" i="3"/>
  <c r="T53" i="3"/>
  <c r="T79" i="3" s="1"/>
  <c r="T40" i="2"/>
  <c r="D21" i="1"/>
  <c r="Z197" i="4"/>
  <c r="AE139" i="4"/>
  <c r="AD225" i="4"/>
  <c r="I229" i="4"/>
  <c r="I230" i="4" s="1"/>
  <c r="AB91" i="4"/>
  <c r="AB77" i="4"/>
  <c r="AD129" i="4"/>
  <c r="AE129" i="4" s="1"/>
  <c r="AF129" i="4" s="1"/>
  <c r="AA91" i="4"/>
  <c r="AD44" i="4"/>
  <c r="I48" i="4"/>
  <c r="I49" i="4"/>
  <c r="R134" i="2"/>
  <c r="S134" i="2" s="1"/>
  <c r="S166" i="2" s="1"/>
  <c r="T134" i="2"/>
  <c r="AF34" i="4"/>
  <c r="X61" i="3"/>
  <c r="AB45" i="6"/>
  <c r="AD200" i="4"/>
  <c r="AE200" i="4" s="1"/>
  <c r="AF200" i="4" s="1"/>
  <c r="Z200" i="4"/>
  <c r="AA200" i="4" s="1"/>
  <c r="AB200" i="4" s="1"/>
  <c r="M38" i="1"/>
  <c r="N33" i="1"/>
  <c r="AD202" i="4"/>
  <c r="AE202" i="4" s="1"/>
  <c r="AF202" i="4" s="1"/>
  <c r="AA223" i="4"/>
  <c r="AB216" i="4"/>
  <c r="AB223" i="4" s="1"/>
  <c r="AE117" i="4"/>
  <c r="AE93" i="4"/>
  <c r="Z137" i="4"/>
  <c r="AA128" i="4"/>
  <c r="W53" i="3"/>
  <c r="R127" i="2"/>
  <c r="I179" i="2"/>
  <c r="U232" i="2"/>
  <c r="X28" i="3"/>
  <c r="V204" i="2"/>
  <c r="W204" i="2" s="1"/>
  <c r="X204" i="2" s="1"/>
  <c r="AA31" i="6"/>
  <c r="AD158" i="4"/>
  <c r="P20" i="5"/>
  <c r="I90" i="4"/>
  <c r="I91" i="4"/>
  <c r="AD85" i="4"/>
  <c r="AF74" i="4"/>
  <c r="O44" i="5"/>
  <c r="I55" i="4"/>
  <c r="AD51" i="4"/>
  <c r="I108" i="3"/>
  <c r="I109" i="3"/>
  <c r="X213" i="2"/>
  <c r="X122" i="2"/>
  <c r="V115" i="2"/>
  <c r="W115" i="2" s="1"/>
  <c r="X115" i="2" s="1"/>
  <c r="X93" i="2"/>
  <c r="V49" i="6"/>
  <c r="W45" i="6"/>
  <c r="V77" i="6"/>
  <c r="O30" i="5"/>
  <c r="P30" i="5" s="1"/>
  <c r="Q30" i="5" s="1"/>
  <c r="Z27" i="6"/>
  <c r="AA27" i="6" s="1"/>
  <c r="AB27" i="6" s="1"/>
  <c r="AA230" i="4"/>
  <c r="I196" i="4"/>
  <c r="I197" i="4"/>
  <c r="I236" i="4"/>
  <c r="AF232" i="4"/>
  <c r="Q23" i="5"/>
  <c r="Y238" i="4"/>
  <c r="AF167" i="4"/>
  <c r="AD160" i="4"/>
  <c r="AE160" i="4" s="1"/>
  <c r="AF160" i="4" s="1"/>
  <c r="I178" i="4"/>
  <c r="I179" i="4" s="1"/>
  <c r="AD172" i="4"/>
  <c r="Y155" i="4"/>
  <c r="Q36" i="5"/>
  <c r="AE109" i="4"/>
  <c r="AF52" i="4"/>
  <c r="S210" i="2"/>
  <c r="R231" i="2"/>
  <c r="V38" i="3"/>
  <c r="W38" i="3" s="1"/>
  <c r="X38" i="3" s="1"/>
  <c r="I67" i="4"/>
  <c r="S183" i="2"/>
  <c r="V38" i="2"/>
  <c r="W38" i="2" s="1"/>
  <c r="X38" i="2" s="1"/>
  <c r="R31" i="2"/>
  <c r="V24" i="6"/>
  <c r="BA78" i="6"/>
  <c r="AD149" i="4"/>
  <c r="AE149" i="4" s="1"/>
  <c r="AF149" i="4" s="1"/>
  <c r="Z149" i="4"/>
  <c r="L20" i="5"/>
  <c r="M20" i="5" s="1"/>
  <c r="BE238" i="4"/>
  <c r="BE239" i="4" s="1"/>
  <c r="J56" i="5"/>
  <c r="W22" i="6"/>
  <c r="I187" i="4"/>
  <c r="AD181" i="4"/>
  <c r="AA115" i="4"/>
  <c r="AB109" i="4"/>
  <c r="AB115" i="4" s="1"/>
  <c r="BC155" i="4"/>
  <c r="BC239" i="4" s="1"/>
  <c r="AB67" i="4"/>
  <c r="I29" i="6"/>
  <c r="C34" i="1" s="1"/>
  <c r="V77" i="3"/>
  <c r="W77" i="3" s="1"/>
  <c r="X77" i="3" s="1"/>
  <c r="Z28" i="4"/>
  <c r="V228" i="2"/>
  <c r="W228" i="2" s="1"/>
  <c r="X228" i="2" s="1"/>
  <c r="I78" i="3"/>
  <c r="I79" i="3" s="1"/>
  <c r="R79" i="3"/>
  <c r="BA155" i="4"/>
  <c r="AG155" i="4" s="1"/>
  <c r="T130" i="2"/>
  <c r="V136" i="2"/>
  <c r="W136" i="2" s="1"/>
  <c r="X136" i="2" s="1"/>
  <c r="I40" i="3"/>
  <c r="V106" i="2"/>
  <c r="W106" i="2" s="1"/>
  <c r="X106" i="2" s="1"/>
  <c r="W66" i="2"/>
  <c r="V41" i="2"/>
  <c r="W41" i="2" s="1"/>
  <c r="X41" i="2" s="1"/>
  <c r="AB53" i="6"/>
  <c r="AA190" i="4"/>
  <c r="AD182" i="4"/>
  <c r="AE182" i="4" s="1"/>
  <c r="AF182" i="4" s="1"/>
  <c r="BI155" i="4"/>
  <c r="BI239" i="4" s="1"/>
  <c r="I75" i="4"/>
  <c r="AF106" i="4"/>
  <c r="AB26" i="6"/>
  <c r="I107" i="4"/>
  <c r="AD27" i="4"/>
  <c r="AE27" i="4" s="1"/>
  <c r="AF27" i="4" s="1"/>
  <c r="I230" i="2"/>
  <c r="I231" i="2"/>
  <c r="V210" i="2"/>
  <c r="S83" i="3"/>
  <c r="AD72" i="4"/>
  <c r="AE72" i="4" s="1"/>
  <c r="AF72" i="4" s="1"/>
  <c r="Z72" i="4"/>
  <c r="X154" i="2"/>
  <c r="I39" i="3"/>
  <c r="W130" i="2"/>
  <c r="S126" i="3"/>
  <c r="T121" i="3"/>
  <c r="T126" i="3" s="1"/>
  <c r="X186" i="2"/>
  <c r="X26" i="6"/>
  <c r="M46" i="5"/>
  <c r="M55" i="5" s="1"/>
  <c r="L55" i="5"/>
  <c r="P46" i="5"/>
  <c r="G50" i="5"/>
  <c r="H50" i="5" s="1"/>
  <c r="L36" i="5"/>
  <c r="K44" i="5"/>
  <c r="Z163" i="4"/>
  <c r="AB225" i="4"/>
  <c r="AB230" i="4" s="1"/>
  <c r="AD94" i="4"/>
  <c r="AE94" i="4" s="1"/>
  <c r="AF94" i="4" s="1"/>
  <c r="Z94" i="4"/>
  <c r="AA94" i="4" s="1"/>
  <c r="AB94" i="4" s="1"/>
  <c r="AD148" i="4"/>
  <c r="AD128" i="4"/>
  <c r="AD114" i="4"/>
  <c r="AE114" i="4" s="1"/>
  <c r="AF114" i="4" s="1"/>
  <c r="R49" i="3"/>
  <c r="S43" i="3"/>
  <c r="X121" i="3"/>
  <c r="V43" i="3"/>
  <c r="X151" i="2"/>
  <c r="X109" i="2"/>
  <c r="X39" i="2"/>
  <c r="Q127" i="3"/>
  <c r="AA179" i="4"/>
  <c r="Q38" i="5"/>
  <c r="O33" i="5"/>
  <c r="P33" i="5" s="1"/>
  <c r="Q33" i="5" s="1"/>
  <c r="G64" i="6"/>
  <c r="H64" i="6" s="1"/>
  <c r="I64" i="6" s="1"/>
  <c r="AD209" i="4"/>
  <c r="AE209" i="4" s="1"/>
  <c r="AF209" i="4"/>
  <c r="I48" i="6"/>
  <c r="I49" i="6" s="1"/>
  <c r="C36" i="1" s="1"/>
  <c r="AB34" i="6"/>
  <c r="AB165" i="4"/>
  <c r="AF159" i="4"/>
  <c r="AC155" i="4"/>
  <c r="AC239" i="4" s="1"/>
  <c r="AD165" i="4"/>
  <c r="Z115" i="4"/>
  <c r="X97" i="3"/>
  <c r="X113" i="3"/>
  <c r="V29" i="3"/>
  <c r="W29" i="3" s="1"/>
  <c r="X29" i="3" s="1"/>
  <c r="AE37" i="4"/>
  <c r="AF46" i="4"/>
  <c r="X70" i="3"/>
  <c r="AF41" i="4"/>
  <c r="AD59" i="4"/>
  <c r="AE59" i="4" s="1"/>
  <c r="AF59" i="4" s="1"/>
  <c r="V89" i="3"/>
  <c r="W89" i="3" s="1"/>
  <c r="X89" i="3" s="1"/>
  <c r="X60" i="3"/>
  <c r="Y167" i="2"/>
  <c r="M23" i="1" s="1"/>
  <c r="W183" i="2"/>
  <c r="X183" i="2" s="1"/>
  <c r="V56" i="2"/>
  <c r="W56" i="2" s="1"/>
  <c r="X56" i="2" s="1"/>
  <c r="X48" i="2"/>
  <c r="V131" i="2"/>
  <c r="W131" i="2" s="1"/>
  <c r="X131" i="2" s="1"/>
  <c r="AD141" i="4" l="1"/>
  <c r="I145" i="4"/>
  <c r="AD120" i="4"/>
  <c r="I125" i="4"/>
  <c r="V125" i="3"/>
  <c r="W125" i="3" s="1"/>
  <c r="I126" i="3"/>
  <c r="BH239" i="4"/>
  <c r="Y239" i="4"/>
  <c r="K56" i="5"/>
  <c r="AD167" i="4"/>
  <c r="AE167" i="4" s="1"/>
  <c r="I169" i="4"/>
  <c r="AD150" i="4"/>
  <c r="AE150" i="4" s="1"/>
  <c r="AF150" i="4" s="1"/>
  <c r="I153" i="4"/>
  <c r="AD133" i="4"/>
  <c r="AE133" i="4" s="1"/>
  <c r="AF133" i="4" s="1"/>
  <c r="I136" i="4"/>
  <c r="AD161" i="4"/>
  <c r="AE161" i="4" s="1"/>
  <c r="AF161" i="4" s="1"/>
  <c r="I162" i="4"/>
  <c r="AD162" i="4" s="1"/>
  <c r="AE162" i="4" s="1"/>
  <c r="AF162" i="4" s="1"/>
  <c r="I163" i="4"/>
  <c r="X27" i="6"/>
  <c r="X29" i="6" s="1"/>
  <c r="W29" i="6"/>
  <c r="W123" i="3"/>
  <c r="X123" i="3" s="1"/>
  <c r="V126" i="3"/>
  <c r="I118" i="3"/>
  <c r="I127" i="3" s="1"/>
  <c r="C25" i="1" s="1"/>
  <c r="V117" i="3"/>
  <c r="X33" i="6"/>
  <c r="X41" i="6" s="1"/>
  <c r="W41" i="6"/>
  <c r="Z24" i="6"/>
  <c r="F35" i="1" s="1"/>
  <c r="AA22" i="6"/>
  <c r="AE35" i="4"/>
  <c r="AF30" i="4"/>
  <c r="AF35" i="4" s="1"/>
  <c r="AD67" i="4"/>
  <c r="AE28" i="4"/>
  <c r="AA188" i="4"/>
  <c r="AB170" i="4"/>
  <c r="AA170" i="4"/>
  <c r="AD99" i="4"/>
  <c r="AD107" i="4"/>
  <c r="M25" i="1"/>
  <c r="N25" i="1" s="1"/>
  <c r="O21" i="1"/>
  <c r="AA29" i="6"/>
  <c r="Z29" i="6"/>
  <c r="F34" i="1" s="1"/>
  <c r="Z41" i="6"/>
  <c r="F33" i="1" s="1"/>
  <c r="R232" i="2"/>
  <c r="R127" i="3"/>
  <c r="S167" i="2"/>
  <c r="R167" i="2"/>
  <c r="T63" i="2"/>
  <c r="BA239" i="4"/>
  <c r="AG239" i="4" s="1"/>
  <c r="M26" i="1" s="1"/>
  <c r="Z64" i="6"/>
  <c r="I67" i="6"/>
  <c r="I77" i="6"/>
  <c r="C37" i="1" s="1"/>
  <c r="C38" i="1" s="1"/>
  <c r="N23" i="1"/>
  <c r="X130" i="2"/>
  <c r="AD236" i="4"/>
  <c r="AE148" i="4"/>
  <c r="AA197" i="4"/>
  <c r="AB190" i="4"/>
  <c r="AB197" i="4" s="1"/>
  <c r="V39" i="3"/>
  <c r="Z154" i="4"/>
  <c r="AA149" i="4"/>
  <c r="AE172" i="4"/>
  <c r="V179" i="2"/>
  <c r="Z99" i="4"/>
  <c r="V206" i="2"/>
  <c r="W206" i="2" s="1"/>
  <c r="X206" i="2" s="1"/>
  <c r="X207" i="2" s="1"/>
  <c r="AA237" i="4"/>
  <c r="AB232" i="4"/>
  <c r="AB237" i="4" s="1"/>
  <c r="AD204" i="4"/>
  <c r="AE204" i="4" s="1"/>
  <c r="AF204" i="4" s="1"/>
  <c r="AE75" i="4"/>
  <c r="D36" i="1"/>
  <c r="O36" i="1"/>
  <c r="D34" i="1"/>
  <c r="O34" i="1"/>
  <c r="W49" i="6"/>
  <c r="X45" i="6"/>
  <c r="X49" i="6" s="1"/>
  <c r="AE158" i="4"/>
  <c r="AD213" i="4"/>
  <c r="AE213" i="4" s="1"/>
  <c r="AF213" i="4" s="1"/>
  <c r="T166" i="2"/>
  <c r="AD55" i="4"/>
  <c r="AE55" i="4" s="1"/>
  <c r="AF55" i="4" s="1"/>
  <c r="W31" i="2"/>
  <c r="X22" i="2"/>
  <c r="X31" i="2" s="1"/>
  <c r="AE199" i="4"/>
  <c r="AB29" i="6"/>
  <c r="S231" i="2"/>
  <c r="T210" i="2"/>
  <c r="T231" i="2" s="1"/>
  <c r="I56" i="4"/>
  <c r="I68" i="4" s="1"/>
  <c r="Z107" i="4"/>
  <c r="AA102" i="4"/>
  <c r="AA99" i="4"/>
  <c r="AA205" i="4"/>
  <c r="AB199" i="4"/>
  <c r="AB205" i="4" s="1"/>
  <c r="AF77" i="4"/>
  <c r="AF107" i="4"/>
  <c r="S90" i="3"/>
  <c r="T83" i="3"/>
  <c r="T90" i="3" s="1"/>
  <c r="W210" i="2"/>
  <c r="Q46" i="5"/>
  <c r="AE51" i="4"/>
  <c r="AF117" i="4"/>
  <c r="AE225" i="4"/>
  <c r="S49" i="3"/>
  <c r="T43" i="3"/>
  <c r="T49" i="3" s="1"/>
  <c r="I237" i="4"/>
  <c r="AE42" i="4"/>
  <c r="AF37" i="4"/>
  <c r="AF42" i="4" s="1"/>
  <c r="O35" i="1"/>
  <c r="D35" i="1"/>
  <c r="AD28" i="4"/>
  <c r="AD196" i="4"/>
  <c r="X53" i="3"/>
  <c r="N38" i="1"/>
  <c r="I180" i="2"/>
  <c r="I232" i="2" s="1"/>
  <c r="C24" i="1" s="1"/>
  <c r="AE67" i="4"/>
  <c r="AF58" i="4"/>
  <c r="AF67" i="4" s="1"/>
  <c r="X22" i="3"/>
  <c r="T95" i="3"/>
  <c r="T109" i="3" s="1"/>
  <c r="S109" i="3"/>
  <c r="AB99" i="4"/>
  <c r="Z205" i="4"/>
  <c r="Z238" i="4" s="1"/>
  <c r="AE107" i="4"/>
  <c r="AA72" i="4"/>
  <c r="Z75" i="4"/>
  <c r="AA41" i="6"/>
  <c r="AB31" i="6"/>
  <c r="AB41" i="6" s="1"/>
  <c r="W90" i="3"/>
  <c r="X83" i="3"/>
  <c r="X90" i="3" s="1"/>
  <c r="AF139" i="4"/>
  <c r="AD42" i="4"/>
  <c r="AD178" i="4"/>
  <c r="AE178" i="4" s="1"/>
  <c r="AF178" i="4" s="1"/>
  <c r="V126" i="2"/>
  <c r="BF239" i="4"/>
  <c r="Z48" i="6"/>
  <c r="X66" i="2"/>
  <c r="V78" i="3"/>
  <c r="AE181" i="4"/>
  <c r="L38" i="1"/>
  <c r="AA137" i="4"/>
  <c r="AB128" i="4"/>
  <c r="AB137" i="4" s="1"/>
  <c r="V90" i="3"/>
  <c r="N31" i="1"/>
  <c r="O30" i="1"/>
  <c r="O31" i="1" s="1"/>
  <c r="V207" i="2"/>
  <c r="Z42" i="4"/>
  <c r="Z68" i="4" s="1"/>
  <c r="AA38" i="4"/>
  <c r="AB51" i="4"/>
  <c r="AB56" i="4" s="1"/>
  <c r="AA56" i="4"/>
  <c r="L66" i="5"/>
  <c r="M58" i="5"/>
  <c r="M66" i="5" s="1"/>
  <c r="AD187" i="4"/>
  <c r="AE187" i="4" s="1"/>
  <c r="AF187" i="4" s="1"/>
  <c r="AA49" i="4"/>
  <c r="AB44" i="4"/>
  <c r="AB49" i="4" s="1"/>
  <c r="AA126" i="4"/>
  <c r="AB117" i="4"/>
  <c r="AB126" i="4" s="1"/>
  <c r="S40" i="3"/>
  <c r="T22" i="3"/>
  <c r="T40" i="3" s="1"/>
  <c r="AD82" i="4"/>
  <c r="AE82" i="4" s="1"/>
  <c r="AF82" i="4" s="1"/>
  <c r="AE85" i="4"/>
  <c r="AF28" i="4"/>
  <c r="AE115" i="4"/>
  <c r="AF109" i="4"/>
  <c r="AF115" i="4" s="1"/>
  <c r="I188" i="4"/>
  <c r="AD115" i="4"/>
  <c r="AD90" i="4"/>
  <c r="AE90" i="4" s="1"/>
  <c r="AF90" i="4" s="1"/>
  <c r="L44" i="5"/>
  <c r="M36" i="5"/>
  <c r="M44" i="5" s="1"/>
  <c r="W24" i="6"/>
  <c r="X22" i="6"/>
  <c r="X24" i="6" s="1"/>
  <c r="Q44" i="5"/>
  <c r="O34" i="5"/>
  <c r="AD48" i="4"/>
  <c r="AE48" i="4" s="1"/>
  <c r="AF48" i="4" s="1"/>
  <c r="V62" i="2"/>
  <c r="W62" i="2" s="1"/>
  <c r="X62" i="2" s="1"/>
  <c r="V59" i="2"/>
  <c r="W59" i="2" s="1"/>
  <c r="W63" i="2" s="1"/>
  <c r="I63" i="2"/>
  <c r="I167" i="2" s="1"/>
  <c r="C23" i="1" s="1"/>
  <c r="AE216" i="4"/>
  <c r="I83" i="4"/>
  <c r="D33" i="1"/>
  <c r="O33" i="1"/>
  <c r="P66" i="5"/>
  <c r="Q58" i="5"/>
  <c r="Q66" i="5" s="1"/>
  <c r="AE128" i="4"/>
  <c r="W43" i="3"/>
  <c r="S207" i="2"/>
  <c r="T183" i="2"/>
  <c r="T207" i="2" s="1"/>
  <c r="V78" i="6"/>
  <c r="X94" i="3"/>
  <c r="AE99" i="4"/>
  <c r="AF93" i="4"/>
  <c r="AF99" i="4" s="1"/>
  <c r="AE165" i="4"/>
  <c r="O50" i="5"/>
  <c r="H55" i="5"/>
  <c r="H56" i="5" s="1"/>
  <c r="C27" i="1" s="1"/>
  <c r="V230" i="2"/>
  <c r="W230" i="2" s="1"/>
  <c r="X230" i="2" s="1"/>
  <c r="AD75" i="4"/>
  <c r="V108" i="3"/>
  <c r="P34" i="5"/>
  <c r="Q20" i="5"/>
  <c r="Q34" i="5" s="1"/>
  <c r="AE44" i="4"/>
  <c r="AD229" i="4"/>
  <c r="AE229" i="4" s="1"/>
  <c r="AF229" i="4" s="1"/>
  <c r="AE207" i="4"/>
  <c r="V48" i="3"/>
  <c r="W48" i="3" s="1"/>
  <c r="X48" i="3" s="1"/>
  <c r="M34" i="5"/>
  <c r="V165" i="2"/>
  <c r="W165" i="2" s="1"/>
  <c r="W166" i="2" s="1"/>
  <c r="AB210" i="4"/>
  <c r="AB214" i="4" s="1"/>
  <c r="AA214" i="4"/>
  <c r="L34" i="5"/>
  <c r="Z83" i="4"/>
  <c r="AA79" i="4"/>
  <c r="AD222" i="4"/>
  <c r="AE222" i="4" s="1"/>
  <c r="AF222" i="4" s="1"/>
  <c r="AF75" i="4"/>
  <c r="AE120" i="4" l="1"/>
  <c r="I126" i="4"/>
  <c r="AD125" i="4"/>
  <c r="X125" i="3"/>
  <c r="X126" i="3" s="1"/>
  <c r="W126" i="3"/>
  <c r="V118" i="3"/>
  <c r="W117" i="3"/>
  <c r="L26" i="1"/>
  <c r="L28" i="1" s="1"/>
  <c r="AB238" i="4"/>
  <c r="AE141" i="4"/>
  <c r="AD146" i="4"/>
  <c r="AD145" i="4"/>
  <c r="AE145" i="4" s="1"/>
  <c r="AF145" i="4" s="1"/>
  <c r="I146" i="4"/>
  <c r="AD169" i="4"/>
  <c r="I170" i="4"/>
  <c r="I238" i="4" s="1"/>
  <c r="AD153" i="4"/>
  <c r="AE153" i="4" s="1"/>
  <c r="AF153" i="4" s="1"/>
  <c r="I154" i="4"/>
  <c r="I137" i="4"/>
  <c r="AD136" i="4"/>
  <c r="AB22" i="6"/>
  <c r="AB24" i="6" s="1"/>
  <c r="AA24" i="6"/>
  <c r="X78" i="6"/>
  <c r="W207" i="2"/>
  <c r="AD188" i="4"/>
  <c r="AD223" i="4"/>
  <c r="AD230" i="4"/>
  <c r="AD49" i="4"/>
  <c r="AD214" i="4"/>
  <c r="AD154" i="4"/>
  <c r="AA238" i="4"/>
  <c r="L56" i="5"/>
  <c r="M56" i="5"/>
  <c r="S127" i="3"/>
  <c r="T127" i="3"/>
  <c r="V63" i="2"/>
  <c r="T167" i="2"/>
  <c r="I78" i="6"/>
  <c r="V49" i="3"/>
  <c r="X59" i="2"/>
  <c r="X63" i="2"/>
  <c r="D38" i="1"/>
  <c r="AA48" i="6"/>
  <c r="Z49" i="6"/>
  <c r="F36" i="1" s="1"/>
  <c r="AB102" i="4"/>
  <c r="AB107" i="4" s="1"/>
  <c r="AA107" i="4"/>
  <c r="W39" i="3"/>
  <c r="V40" i="3"/>
  <c r="AE49" i="4"/>
  <c r="AF44" i="4"/>
  <c r="AF49" i="4" s="1"/>
  <c r="P50" i="5"/>
  <c r="O55" i="5"/>
  <c r="O56" i="5" s="1"/>
  <c r="F27" i="1" s="1"/>
  <c r="W231" i="2"/>
  <c r="X210" i="2"/>
  <c r="X231" i="2" s="1"/>
  <c r="N26" i="1"/>
  <c r="N28" i="1" s="1"/>
  <c r="N39" i="1" s="1"/>
  <c r="O27" i="1"/>
  <c r="D27" i="1"/>
  <c r="O25" i="1"/>
  <c r="D25" i="1"/>
  <c r="AE223" i="4"/>
  <c r="AF216" i="4"/>
  <c r="AF223" i="4" s="1"/>
  <c r="AE196" i="4"/>
  <c r="AD197" i="4"/>
  <c r="V231" i="2"/>
  <c r="M28" i="1"/>
  <c r="M39" i="1" s="1"/>
  <c r="L39" i="1"/>
  <c r="D23" i="1"/>
  <c r="O23" i="1"/>
  <c r="V166" i="2"/>
  <c r="W49" i="3"/>
  <c r="X43" i="3"/>
  <c r="X49" i="3" s="1"/>
  <c r="X165" i="2"/>
  <c r="X166" i="2" s="1"/>
  <c r="AF128" i="4"/>
  <c r="W179" i="2"/>
  <c r="V180" i="2"/>
  <c r="AE154" i="4"/>
  <c r="AF148" i="4"/>
  <c r="AF154" i="4" s="1"/>
  <c r="W78" i="3"/>
  <c r="V79" i="3"/>
  <c r="AE230" i="4"/>
  <c r="AF225" i="4"/>
  <c r="AF230" i="4" s="1"/>
  <c r="AF83" i="4"/>
  <c r="T232" i="2"/>
  <c r="AE163" i="4"/>
  <c r="AF158" i="4"/>
  <c r="AF163" i="4" s="1"/>
  <c r="D37" i="1"/>
  <c r="O37" i="1"/>
  <c r="O38" i="1" s="1"/>
  <c r="W108" i="3"/>
  <c r="V109" i="3"/>
  <c r="AE91" i="4"/>
  <c r="AF85" i="4"/>
  <c r="AF91" i="4" s="1"/>
  <c r="AE83" i="4"/>
  <c r="S232" i="2"/>
  <c r="AD163" i="4"/>
  <c r="AE236" i="4"/>
  <c r="AD237" i="4"/>
  <c r="Z67" i="6"/>
  <c r="AA67" i="6" s="1"/>
  <c r="AB67" i="6" s="1"/>
  <c r="AE188" i="4"/>
  <c r="AF181" i="4"/>
  <c r="AF188" i="4" s="1"/>
  <c r="AD91" i="4"/>
  <c r="W126" i="2"/>
  <c r="V127" i="2"/>
  <c r="Z155" i="4"/>
  <c r="Z239" i="4" s="1"/>
  <c r="AE179" i="4"/>
  <c r="AF172" i="4"/>
  <c r="AF179" i="4" s="1"/>
  <c r="AA64" i="6"/>
  <c r="AB38" i="4"/>
  <c r="AB42" i="4" s="1"/>
  <c r="AB68" i="4" s="1"/>
  <c r="AA42" i="4"/>
  <c r="AA68" i="4" s="1"/>
  <c r="AB72" i="4"/>
  <c r="AB75" i="4" s="1"/>
  <c r="AA75" i="4"/>
  <c r="AE56" i="4"/>
  <c r="AF51" i="4"/>
  <c r="AF56" i="4" s="1"/>
  <c r="AE205" i="4"/>
  <c r="AF199" i="4"/>
  <c r="AF205" i="4" s="1"/>
  <c r="W78" i="6"/>
  <c r="AD179" i="4"/>
  <c r="O24" i="1"/>
  <c r="D24" i="1"/>
  <c r="AD56" i="4"/>
  <c r="AD205" i="4"/>
  <c r="AA154" i="4"/>
  <c r="AB149" i="4"/>
  <c r="AB154" i="4" s="1"/>
  <c r="AF165" i="4"/>
  <c r="AE214" i="4"/>
  <c r="AF207" i="4"/>
  <c r="AF214" i="4" s="1"/>
  <c r="AB79" i="4"/>
  <c r="AB83" i="4" s="1"/>
  <c r="AA83" i="4"/>
  <c r="AD83" i="4"/>
  <c r="AE126" i="4" l="1"/>
  <c r="AF120" i="4"/>
  <c r="AF126" i="4" s="1"/>
  <c r="X117" i="3"/>
  <c r="X118" i="3" s="1"/>
  <c r="W118" i="3"/>
  <c r="AE146" i="4"/>
  <c r="AF141" i="4"/>
  <c r="AF146" i="4" s="1"/>
  <c r="AD137" i="4"/>
  <c r="AE136" i="4"/>
  <c r="I155" i="4"/>
  <c r="AE125" i="4"/>
  <c r="AF125" i="4" s="1"/>
  <c r="AD126" i="4"/>
  <c r="AE169" i="4"/>
  <c r="AD170" i="4"/>
  <c r="AF68" i="4"/>
  <c r="AD68" i="4"/>
  <c r="AD155" i="4"/>
  <c r="AA155" i="4"/>
  <c r="AA239" i="4" s="1"/>
  <c r="AB155" i="4"/>
  <c r="AB239" i="4" s="1"/>
  <c r="AD238" i="4"/>
  <c r="Z77" i="6"/>
  <c r="F37" i="1" s="1"/>
  <c r="V232" i="2"/>
  <c r="F24" i="1" s="1"/>
  <c r="M43" i="1"/>
  <c r="M40" i="1"/>
  <c r="M41" i="1"/>
  <c r="M42" i="1"/>
  <c r="AA49" i="6"/>
  <c r="AB48" i="6"/>
  <c r="AB49" i="6" s="1"/>
  <c r="AF236" i="4"/>
  <c r="AF237" i="4" s="1"/>
  <c r="AE237" i="4"/>
  <c r="V167" i="2"/>
  <c r="F23" i="1" s="1"/>
  <c r="AE197" i="4"/>
  <c r="AF196" i="4"/>
  <c r="AF197" i="4" s="1"/>
  <c r="W127" i="2"/>
  <c r="W167" i="2" s="1"/>
  <c r="X126" i="2"/>
  <c r="X127" i="2" s="1"/>
  <c r="X167" i="2" s="1"/>
  <c r="N43" i="1"/>
  <c r="O43" i="1" s="1"/>
  <c r="N41" i="1"/>
  <c r="N40" i="1"/>
  <c r="N42" i="1"/>
  <c r="V127" i="3"/>
  <c r="F25" i="1" s="1"/>
  <c r="Q50" i="5"/>
  <c r="Q55" i="5" s="1"/>
  <c r="Q56" i="5" s="1"/>
  <c r="P55" i="5"/>
  <c r="P56" i="5" s="1"/>
  <c r="X108" i="3"/>
  <c r="X109" i="3" s="1"/>
  <c r="W109" i="3"/>
  <c r="L43" i="1"/>
  <c r="B47" i="1" s="1"/>
  <c r="L40" i="1"/>
  <c r="L42" i="1"/>
  <c r="L41" i="1"/>
  <c r="AE68" i="4"/>
  <c r="AA77" i="6"/>
  <c r="AA78" i="6" s="1"/>
  <c r="G38" i="1" s="1"/>
  <c r="AB64" i="6"/>
  <c r="AB77" i="6" s="1"/>
  <c r="X179" i="2"/>
  <c r="X180" i="2" s="1"/>
  <c r="X232" i="2" s="1"/>
  <c r="W180" i="2"/>
  <c r="W232" i="2" s="1"/>
  <c r="X78" i="3"/>
  <c r="X79" i="3" s="1"/>
  <c r="W79" i="3"/>
  <c r="W40" i="3"/>
  <c r="X39" i="3"/>
  <c r="X40" i="3" s="1"/>
  <c r="AE137" i="4" l="1"/>
  <c r="AE155" i="4" s="1"/>
  <c r="AF136" i="4"/>
  <c r="AF137" i="4" s="1"/>
  <c r="AF155" i="4" s="1"/>
  <c r="I239" i="4"/>
  <c r="C26" i="1"/>
  <c r="K160" i="4"/>
  <c r="AE170" i="4"/>
  <c r="AE238" i="4" s="1"/>
  <c r="AE239" i="4" s="1"/>
  <c r="AF169" i="4"/>
  <c r="AF170" i="4" s="1"/>
  <c r="Z78" i="6"/>
  <c r="F38" i="1" s="1"/>
  <c r="AD239" i="4"/>
  <c r="F26" i="1" s="1"/>
  <c r="F28" i="1" s="1"/>
  <c r="AF238" i="4"/>
  <c r="AF239" i="4" s="1"/>
  <c r="AB78" i="6"/>
  <c r="H38" i="1" s="1"/>
  <c r="W127" i="3"/>
  <c r="X127" i="3"/>
  <c r="C49" i="1"/>
  <c r="B49" i="1"/>
  <c r="B52" i="1"/>
  <c r="B50" i="1"/>
  <c r="D47" i="1"/>
  <c r="O26" i="1" l="1"/>
  <c r="O28" i="1" s="1"/>
  <c r="O39" i="1" s="1"/>
  <c r="G35" i="1"/>
  <c r="D26" i="1"/>
  <c r="D28" i="1" s="1"/>
  <c r="D39" i="1" s="1"/>
  <c r="C28" i="1"/>
  <c r="C39" i="1" s="1"/>
  <c r="G23" i="1"/>
  <c r="H23" i="1" s="1"/>
  <c r="J23" i="1"/>
  <c r="J28" i="1" s="1"/>
  <c r="J39" i="1" s="1"/>
  <c r="F39" i="1"/>
  <c r="B62" i="1"/>
  <c r="D50" i="1"/>
  <c r="H28" i="1"/>
  <c r="H39" i="1" s="1"/>
  <c r="H42" i="1" s="1"/>
  <c r="G25" i="1"/>
  <c r="G28" i="1" s="1"/>
  <c r="G39" i="1" s="1"/>
  <c r="G42" i="1" s="1"/>
  <c r="D52" i="1"/>
  <c r="B51" i="1"/>
  <c r="E26" i="1" l="1"/>
  <c r="E27" i="1"/>
  <c r="E24" i="1"/>
  <c r="E25" i="1"/>
  <c r="E37" i="1"/>
  <c r="E23" i="1"/>
  <c r="E34" i="1"/>
  <c r="E36" i="1"/>
  <c r="E33" i="1"/>
  <c r="E35" i="1"/>
  <c r="E21" i="1"/>
  <c r="E30" i="1"/>
  <c r="E31" i="1" s="1"/>
  <c r="C40" i="1"/>
  <c r="C41" i="1"/>
  <c r="D51" i="1"/>
  <c r="J41" i="1" l="1"/>
  <c r="J42" i="1" s="1"/>
  <c r="I43" i="1" s="1"/>
  <c r="F40" i="1"/>
  <c r="O40" i="1"/>
  <c r="F41" i="1"/>
  <c r="O41" i="1"/>
  <c r="E28" i="1"/>
  <c r="E38" i="1"/>
  <c r="D42" i="1" l="1"/>
  <c r="E42" i="1"/>
  <c r="E43" i="1"/>
  <c r="E39" i="1"/>
  <c r="O42" i="1"/>
</calcChain>
</file>

<file path=xl/sharedStrings.xml><?xml version="1.0" encoding="utf-8"?>
<sst xmlns="http://schemas.openxmlformats.org/spreadsheetml/2006/main" count="1770" uniqueCount="556">
  <si>
    <t>Project name :</t>
  </si>
  <si>
    <t>PROPOSED THREE STORY RESIDENCE</t>
  </si>
  <si>
    <t>Location :</t>
  </si>
  <si>
    <t>GRAND CENTENIAL HOMES KAWIT CAVITE</t>
  </si>
  <si>
    <t>Date :</t>
  </si>
  <si>
    <t>Total Area:</t>
  </si>
  <si>
    <t>sq.m</t>
  </si>
  <si>
    <t>water cs</t>
  </si>
  <si>
    <t>ITEM NO</t>
  </si>
  <si>
    <t>WORK ITEM DESCRIPTION</t>
  </si>
  <si>
    <t>Total Amount
 Php</t>
  </si>
  <si>
    <t>Cost per Sq.m</t>
  </si>
  <si>
    <t>Weighted % age</t>
  </si>
  <si>
    <t>AMOUNT</t>
  </si>
  <si>
    <t>PERCENTAGE ACCOMPLISHMENT</t>
  </si>
  <si>
    <t>BALANCE AMOUNT</t>
  </si>
  <si>
    <t>shower</t>
  </si>
  <si>
    <t>A</t>
  </si>
  <si>
    <t>GENERAL REQUIREMENTS</t>
  </si>
  <si>
    <t>THIS DATE</t>
  </si>
  <si>
    <t>PREVIOUS</t>
  </si>
  <si>
    <t>TO DATE</t>
  </si>
  <si>
    <t>General Requirements Sub-total:</t>
  </si>
  <si>
    <t>B</t>
  </si>
  <si>
    <t>ARCHITECTURAL WORKS</t>
  </si>
  <si>
    <t>Ceiling Finish</t>
  </si>
  <si>
    <t>Floor Finish</t>
  </si>
  <si>
    <t>Wall Finish</t>
  </si>
  <si>
    <t>Cabinet's</t>
  </si>
  <si>
    <t>Door's and Window's</t>
  </si>
  <si>
    <t>Architectural Sub-total:</t>
  </si>
  <si>
    <t>C</t>
  </si>
  <si>
    <t>PLUMBING WORKS</t>
  </si>
  <si>
    <t>Plumbing Fixtures</t>
  </si>
  <si>
    <t>Plumbing Sub-total:</t>
  </si>
  <si>
    <t>D</t>
  </si>
  <si>
    <t>ELECTRICAL WORKS</t>
  </si>
  <si>
    <t>Lighting Fixtures</t>
  </si>
  <si>
    <t>Switches</t>
  </si>
  <si>
    <t>Outlets</t>
  </si>
  <si>
    <t>Wires</t>
  </si>
  <si>
    <t>Panel Board</t>
  </si>
  <si>
    <t>Electrical Sub-total:</t>
  </si>
  <si>
    <t>Direct Sub-Total:</t>
  </si>
  <si>
    <t>Profit 7%:</t>
  </si>
  <si>
    <t>OCM 8%:</t>
  </si>
  <si>
    <t>Indirect Total Cost:</t>
  </si>
  <si>
    <t>DISCOUNTED AMOUNT:</t>
  </si>
  <si>
    <t>Overall Profit:</t>
  </si>
  <si>
    <t>BILLING SUMMARY</t>
  </si>
  <si>
    <t>BALANCE</t>
  </si>
  <si>
    <t>CONTRACT AMOUNT</t>
  </si>
  <si>
    <t>DEDUCTIONS</t>
  </si>
  <si>
    <t>RETENTION 5%</t>
  </si>
  <si>
    <t>RECOUPMENT 30%</t>
  </si>
  <si>
    <t>TOTAL BILLING THIS DATE</t>
  </si>
  <si>
    <t>%AGE BILLING THIS DATE</t>
  </si>
  <si>
    <t>Remaining To Bill</t>
  </si>
  <si>
    <t>Total :</t>
  </si>
  <si>
    <t>BANK DETAILS:</t>
  </si>
  <si>
    <t>BANK NAME:</t>
  </si>
  <si>
    <t>Saiko Builders Construction Services</t>
  </si>
  <si>
    <t>BPI ACCOUNT NUMBER:</t>
  </si>
  <si>
    <t>8930- 0154 -83</t>
  </si>
  <si>
    <t>TOTAL AMOUNT:</t>
  </si>
  <si>
    <t>Prepared By:</t>
  </si>
  <si>
    <t>Approved By:</t>
  </si>
  <si>
    <t>ENGR. Kiel Caryl Buscayno</t>
  </si>
  <si>
    <t>QUANTITY SURVEYOR</t>
  </si>
  <si>
    <t>John Karl S. Quizon</t>
  </si>
  <si>
    <t>Aljohn A. David</t>
  </si>
  <si>
    <t>Reviewed By :</t>
  </si>
  <si>
    <t>ENGR. John Mark Evangelista</t>
  </si>
  <si>
    <t>VICE PRESIDENT-COO</t>
  </si>
  <si>
    <t xml:space="preserve"> </t>
  </si>
  <si>
    <t>QUANTITY</t>
  </si>
  <si>
    <t>ACCOMPLISHMENT</t>
  </si>
  <si>
    <t>PREVIOUS ACCOMPLISHMENT</t>
  </si>
  <si>
    <t>Description</t>
  </si>
  <si>
    <t>UNIT</t>
  </si>
  <si>
    <t>Material Cost 
 Php/unit</t>
  </si>
  <si>
    <t>Labor and Equipment Cost
 Php/unit</t>
  </si>
  <si>
    <t>Total Cost
 Php/Unit</t>
  </si>
  <si>
    <t>PERCENTAGE</t>
  </si>
  <si>
    <t>BILLING 1</t>
  </si>
  <si>
    <t>BILLING 2</t>
  </si>
  <si>
    <t>BILLING 3</t>
  </si>
  <si>
    <t>BILLING 4</t>
  </si>
  <si>
    <t>BILLING 5</t>
  </si>
  <si>
    <t>BILLING 6</t>
  </si>
  <si>
    <t>BILLING 7</t>
  </si>
  <si>
    <t>BILLING 8</t>
  </si>
  <si>
    <t>Accomplishment</t>
  </si>
  <si>
    <t>Mobilization/Demobilization</t>
  </si>
  <si>
    <t>lot</t>
  </si>
  <si>
    <t>Site Management</t>
  </si>
  <si>
    <t>month/s</t>
  </si>
  <si>
    <t>Government Permits and Taxes</t>
  </si>
  <si>
    <t>by owner</t>
  </si>
  <si>
    <t>Services and Utilities</t>
  </si>
  <si>
    <t>Temporary Facilities</t>
  </si>
  <si>
    <t>Engineering plans, Shop Drawings &amp; Asbuilt</t>
  </si>
  <si>
    <t>-</t>
  </si>
  <si>
    <t>DISCOUNTED</t>
  </si>
  <si>
    <t>Hauling and Disposal</t>
  </si>
  <si>
    <t>Housekeeping</t>
  </si>
  <si>
    <t>Included</t>
  </si>
  <si>
    <t>Safety</t>
  </si>
  <si>
    <t>Scaffolding</t>
  </si>
  <si>
    <t xml:space="preserve">Ceiling Finish </t>
  </si>
  <si>
    <t>Ground Floor (Interior)</t>
  </si>
  <si>
    <t>HALLWAY, LIVING, DINING TO KITCHEN AREA</t>
  </si>
  <si>
    <t xml:space="preserve">Gypsum Board </t>
  </si>
  <si>
    <t xml:space="preserve">CARRYING channel </t>
  </si>
  <si>
    <t>l.m</t>
  </si>
  <si>
    <t>Metal Furring</t>
  </si>
  <si>
    <t>Multiplier Mark up</t>
  </si>
  <si>
    <t>Hanger clips</t>
  </si>
  <si>
    <t>pcs</t>
  </si>
  <si>
    <t>W clips</t>
  </si>
  <si>
    <t>Wall Angle</t>
  </si>
  <si>
    <t>Miscellaneous</t>
  </si>
  <si>
    <t>POWDER ROOM</t>
  </si>
  <si>
    <t>Ficem Board</t>
  </si>
  <si>
    <t>Paint flat finish</t>
  </si>
  <si>
    <t>Ground Floor (Exterior)</t>
  </si>
  <si>
    <t>PVC ceiling Panel</t>
  </si>
  <si>
    <t>H CLIP</t>
  </si>
  <si>
    <t>edging</t>
  </si>
  <si>
    <t>Miscellaneous and other consumables</t>
  </si>
  <si>
    <t>Ground Floor Ceiling Sub-total:</t>
  </si>
  <si>
    <t>Second Floor (Interior)</t>
  </si>
  <si>
    <t>BEDROOM 1</t>
  </si>
  <si>
    <t>BEDROOM 2</t>
  </si>
  <si>
    <r>
      <rPr>
        <sz val="10"/>
        <color theme="1"/>
        <rFont val="Arial"/>
      </rPr>
      <t xml:space="preserve">Ficem Board </t>
    </r>
    <r>
      <rPr>
        <b/>
        <sz val="10"/>
        <color theme="1"/>
        <rFont val="Arial"/>
      </rPr>
      <t>( T&amp;B )</t>
    </r>
  </si>
  <si>
    <t>BEDROOM 3</t>
  </si>
  <si>
    <t>Gypsum Board</t>
  </si>
  <si>
    <t>BEDROOM 4</t>
  </si>
  <si>
    <t>HALLWAY</t>
  </si>
  <si>
    <t>Second Floor (Exterior)</t>
  </si>
  <si>
    <t>Second Floor Ceiling Sub-total:</t>
  </si>
  <si>
    <t>Third Floor (Interior)</t>
  </si>
  <si>
    <t>MASTER'S BEDROOM TO WALK IN CLOSET</t>
  </si>
  <si>
    <t>MASTER'S T &amp; B</t>
  </si>
  <si>
    <t xml:space="preserve">Ficem Board </t>
  </si>
  <si>
    <t>Third Floor (Exterior)</t>
  </si>
  <si>
    <t>Third Floor Ceiling Sub-total:</t>
  </si>
  <si>
    <t>Ceiling Finish Sub-total:</t>
  </si>
  <si>
    <t>Floor Finish (Interior)</t>
  </si>
  <si>
    <t>Ground Floor</t>
  </si>
  <si>
    <t>MULTIPLIER  FLOOR FINSIH</t>
  </si>
  <si>
    <t>WHITE 600X600 mm MARBLE TILES HIGH GLOSS FINISH</t>
  </si>
  <si>
    <t>Office room</t>
  </si>
  <si>
    <t>Powder room</t>
  </si>
  <si>
    <t>300X300 mm WHITE MARBLE TILES NON SKID</t>
  </si>
  <si>
    <t>Ground Floor Flooring Sub-total:</t>
  </si>
  <si>
    <t>Second Floor</t>
  </si>
  <si>
    <t>Hallway</t>
  </si>
  <si>
    <t>SPC WOOD</t>
  </si>
  <si>
    <t>Bedroom 1</t>
  </si>
  <si>
    <t>Bedrorm 2</t>
  </si>
  <si>
    <t>Bedroom 3</t>
  </si>
  <si>
    <t>Bedroom 4</t>
  </si>
  <si>
    <t>Toilet and Bath bedrrom 2</t>
  </si>
  <si>
    <t>300X300 mm LIGHT GRAY TILES MARBLE LOOK IN NON- SKID FINISH</t>
  </si>
  <si>
    <t>Toilet and Bath bedrrom</t>
  </si>
  <si>
    <t>600x600mm White Tiles In Marble Look Non Skid</t>
  </si>
  <si>
    <t>Balcony</t>
  </si>
  <si>
    <t>600x600mm Non Skid Gray Tiles</t>
  </si>
  <si>
    <t>Second Floor Flooring Sub-total:</t>
  </si>
  <si>
    <t>Third Floor</t>
  </si>
  <si>
    <t>Walk in Closet</t>
  </si>
  <si>
    <t>Master's Bedroom</t>
  </si>
  <si>
    <t>Master's T&amp;B</t>
  </si>
  <si>
    <t>300X600mm Gray Marble Tiles in Non Skid Finish</t>
  </si>
  <si>
    <t>Memorabilia</t>
  </si>
  <si>
    <t>300x300mm Light Gray Marbles Tiles</t>
  </si>
  <si>
    <t xml:space="preserve">Viewdeck </t>
  </si>
  <si>
    <t>Third Floor Flooring Sub-total:</t>
  </si>
  <si>
    <t>Flooring Finish Sub-total:</t>
  </si>
  <si>
    <t>MARK UP</t>
  </si>
  <si>
    <t>Ground Floor ( Interior )</t>
  </si>
  <si>
    <t xml:space="preserve">FOYER, LIVING, DINING AND KITCHEN </t>
  </si>
  <si>
    <t>MISS</t>
  </si>
  <si>
    <t>White Mouldings</t>
  </si>
  <si>
    <t>Hidden Door PU Stone Finish Light Beige</t>
  </si>
  <si>
    <t>sqm</t>
  </si>
  <si>
    <t>White Fluted</t>
  </si>
  <si>
    <t>Laminated Synthetic Marble Finish</t>
  </si>
  <si>
    <t xml:space="preserve">Back Splash Quartz/ White Sintered Stone Terazzo look Finish </t>
  </si>
  <si>
    <t xml:space="preserve">Semi Gloss </t>
  </si>
  <si>
    <t xml:space="preserve">Wood Laminated Finish </t>
  </si>
  <si>
    <t xml:space="preserve">Beveled Clear Mirror 10mm THK </t>
  </si>
  <si>
    <t xml:space="preserve">OFFICE </t>
  </si>
  <si>
    <t>Biege Textured Wallpaper Finish</t>
  </si>
  <si>
    <t xml:space="preserve">PU Stone Textured Light Biege Finish </t>
  </si>
  <si>
    <t>18 mm THK MDF Plywood Wall Cladding in Wood Finish w/ warm strip light</t>
  </si>
  <si>
    <t>Semi Gloss Off White</t>
  </si>
  <si>
    <t>60X120 Gray Marble Tiles In High Gloss Finish</t>
  </si>
  <si>
    <t>Sub-Total for Ground Floor (Interior)</t>
  </si>
  <si>
    <t>Ground Floor ( Exterior )</t>
  </si>
  <si>
    <t xml:space="preserve">Exposed Aggregate Concrete Cladding </t>
  </si>
  <si>
    <t>Wall Flashing ( Dark Gray )</t>
  </si>
  <si>
    <t>Im</t>
  </si>
  <si>
    <t>Wall Piaint Finish ( Off White )</t>
  </si>
  <si>
    <t xml:space="preserve">Natural Limestone Tiles Texture Running Ashlar Pattern </t>
  </si>
  <si>
    <t>Wall Piaint Finish ( Dark Gray )</t>
  </si>
  <si>
    <t>Sub-total for Ground Floor (Exterior)</t>
  </si>
  <si>
    <t>Second Floor ( Interior )</t>
  </si>
  <si>
    <t>Wall in Light Biege Semi-Gloss Painted Finish</t>
  </si>
  <si>
    <t>Wall in Light Biege Semi-Gloss Painted Finish with mouldings</t>
  </si>
  <si>
    <t>BEDROOM 2 (Room and T&amp;B)</t>
  </si>
  <si>
    <t>Wall in off Light semi gloss Painted Finish</t>
  </si>
  <si>
    <t>Wall in Wood in Fluted Panel</t>
  </si>
  <si>
    <t>Headboard in light brown leatherette</t>
  </si>
  <si>
    <t xml:space="preserve">60x120 Gray Tiles Marble look in High Gloss Finish </t>
  </si>
  <si>
    <t xml:space="preserve">Mosaic Tiles Light Green Finish </t>
  </si>
  <si>
    <t>Clear Mirror With Warm Light</t>
  </si>
  <si>
    <t>Wall off White in Semi Gloss Painted Finish</t>
  </si>
  <si>
    <t xml:space="preserve">Wall Cladding in Fluted white Painted Finish </t>
  </si>
  <si>
    <t xml:space="preserve">Headboard </t>
  </si>
  <si>
    <t>Mouldings</t>
  </si>
  <si>
    <t>Stucco Cement Finish</t>
  </si>
  <si>
    <t>Headboard</t>
  </si>
  <si>
    <t>Wall in Semi Gloss off White</t>
  </si>
  <si>
    <t>T&amp;B</t>
  </si>
  <si>
    <t>White Mosaic Tiles In Semi Gloss Finish</t>
  </si>
  <si>
    <t xml:space="preserve">60x60 White Tiles In Marbles in Semi Gloss Finish </t>
  </si>
  <si>
    <t>Texturia Interior Film in Wood Finish or Wood Tiles</t>
  </si>
  <si>
    <t>Gray Quartz or Synthetic Counter Top</t>
  </si>
  <si>
    <t>Sub-total for Second Floor (Interior)</t>
  </si>
  <si>
    <t>Second Floor ( Exterior )</t>
  </si>
  <si>
    <t>BALCONY</t>
  </si>
  <si>
    <t xml:space="preserve">Exposed Aggregate Contcrete Cladding </t>
  </si>
  <si>
    <t>WPC Fluted Panel</t>
  </si>
  <si>
    <t>Wall Flashing  ( Dark Gray )</t>
  </si>
  <si>
    <t>Glass Railings 10mm THK</t>
  </si>
  <si>
    <t>smq</t>
  </si>
  <si>
    <t>Sub-total For Second Floor (Exterior)</t>
  </si>
  <si>
    <t>Third Floor ( Interior )</t>
  </si>
  <si>
    <t xml:space="preserve">WALK IN CLOSET </t>
  </si>
  <si>
    <t>White Semi Gloss</t>
  </si>
  <si>
    <t>MASTER'S BEDROOM</t>
  </si>
  <si>
    <t>Wall in White Textured Wallpaper Finish</t>
  </si>
  <si>
    <t>Wall in Wood Fluted Panel Finish</t>
  </si>
  <si>
    <t>MASTER'S  T&amp;B</t>
  </si>
  <si>
    <t>60x120 Marbles Tiles in High Gloss Finish</t>
  </si>
  <si>
    <t xml:space="preserve">60x120 Light Biege Tiles in High Gloss Finish </t>
  </si>
  <si>
    <t>MEMORABILIA</t>
  </si>
  <si>
    <t>Wall Cladding in Wood Laminated Finish</t>
  </si>
  <si>
    <t>Wall in Light Biege Semi- Gloss Painted Finish</t>
  </si>
  <si>
    <t>Wall in Semi Gloss off White Painted Finish</t>
  </si>
  <si>
    <t>VIEWDECK</t>
  </si>
  <si>
    <t>Sub-total For Third Floor (Interior)</t>
  </si>
  <si>
    <t>Third Floor ( Exterior )</t>
  </si>
  <si>
    <t xml:space="preserve">Concrete Cladding With Groove Lines </t>
  </si>
  <si>
    <t>Sub-total for Third Floor (Exterior)</t>
  </si>
  <si>
    <t>STAIR</t>
  </si>
  <si>
    <t>Wall Cladding White Fluted in Ducco Painted Finish</t>
  </si>
  <si>
    <t>Beveled Clear Mirror 10mm THK</t>
  </si>
  <si>
    <t xml:space="preserve">Sub-total For Stair </t>
  </si>
  <si>
    <t>Total For Wall Finish</t>
  </si>
  <si>
    <t xml:space="preserve">BILLING </t>
  </si>
  <si>
    <t>Cabinets</t>
  </si>
  <si>
    <t>GROUND FLOOR</t>
  </si>
  <si>
    <t>LIving Area ( Tv rack with Cabinets )</t>
  </si>
  <si>
    <t>UV Board Marble</t>
  </si>
  <si>
    <t>3/4'' Marine Plywood</t>
  </si>
  <si>
    <t>Pvc Fluted Panels</t>
  </si>
  <si>
    <t>1/2'' Backing Marine plywood</t>
  </si>
  <si>
    <t>Warm Strip Lights</t>
  </si>
  <si>
    <t>Paint Finish</t>
  </si>
  <si>
    <t>Miscellaneous and other Consumables</t>
  </si>
  <si>
    <t>LIving Area ( Tv rack with Cabinets ) Sub-total:</t>
  </si>
  <si>
    <t>LIving Area ( Storage Cabinets )</t>
  </si>
  <si>
    <t>Ducco Finish</t>
  </si>
  <si>
    <t>LIving Area ( Storage Cabinets ) Sub-total:</t>
  </si>
  <si>
    <t>Kitchen Area ( Storage Cabinets )</t>
  </si>
  <si>
    <t>Quartz White sintered stone</t>
  </si>
  <si>
    <t>Kitchen Area ( Storage Cabinets ) Sub-total:</t>
  </si>
  <si>
    <t>Kitchen Area ( Counter Top )</t>
  </si>
  <si>
    <t>Kitchen Area ( Counter Top ) Sub-total:</t>
  </si>
  <si>
    <t>Powder Room (Lavatory Cabinets)</t>
  </si>
  <si>
    <t>Powder Room Sub-total:</t>
  </si>
  <si>
    <t>Office (Shelves with Cabinets and table)</t>
  </si>
  <si>
    <t>1''x1''x2.0mm Tubular Steel</t>
  </si>
  <si>
    <t>PVC Board</t>
  </si>
  <si>
    <t>Veneer Laminate</t>
  </si>
  <si>
    <t>Veneer Edge Laminate</t>
  </si>
  <si>
    <t>Coated Powder (Black)</t>
  </si>
  <si>
    <t>Office (Shelves with Cabinets and table) Sub-total:</t>
  </si>
  <si>
    <t>Ground Floor Cabinet's Sub-total:</t>
  </si>
  <si>
    <t>SECOND FLOOR</t>
  </si>
  <si>
    <t>Hallway (cabinets)</t>
  </si>
  <si>
    <t>Hallway (cabinets) Sub-total:</t>
  </si>
  <si>
    <t>Bedroom 1 (Closets)</t>
  </si>
  <si>
    <t>Stainless Hanging Rod</t>
  </si>
  <si>
    <t>Bedroom 1 (Closets) Sub-total:</t>
  </si>
  <si>
    <t>Bedroom 1 (Table &amp; Top Cabinets)</t>
  </si>
  <si>
    <t>Vanity Lights</t>
  </si>
  <si>
    <t xml:space="preserve">Mirror </t>
  </si>
  <si>
    <t>Bedroom 1 (Table &amp; Top Cabinets) Sub-total:</t>
  </si>
  <si>
    <t>Bedroom 2 (Closets)</t>
  </si>
  <si>
    <t>Bedroom 2 (Closets) Sub-total:</t>
  </si>
  <si>
    <t>Bedroom 2 (Table &amp; Top Cabinets)</t>
  </si>
  <si>
    <t>2''x1''x2.0mm Tubular Steel</t>
  </si>
  <si>
    <t>Bedroom 2 (Table &amp; Top Cabinets) Sub-total:</t>
  </si>
  <si>
    <t>Bedroom 3 (Closets)</t>
  </si>
  <si>
    <t>Bedroom 3 (Closets) Sub-total:</t>
  </si>
  <si>
    <t>Bedroom 3 (Table &amp; Top Cabinets)</t>
  </si>
  <si>
    <t>Veneer laminated</t>
  </si>
  <si>
    <t>Bedroom 3 (Table &amp; Top Cabinets) Sub-total:</t>
  </si>
  <si>
    <t>Bedroom 4 (Table, shelves &amp; Top Cabinets)</t>
  </si>
  <si>
    <t>Bedroom 4 (Table, shelves &amp; Top Cabinets) Sub-total:</t>
  </si>
  <si>
    <t>Bedroom 4 (Closet)</t>
  </si>
  <si>
    <t>Wood Slatted Door</t>
  </si>
  <si>
    <t>Bedroom 4 (Closet) Sub-total:</t>
  </si>
  <si>
    <t>Common toilet &amp; Bath (2nd Floor)</t>
  </si>
  <si>
    <t>Common toilet &amp; Bath (2nd Floor) Sub-total:</t>
  </si>
  <si>
    <t>Second Floor Cabinet's Sub-total:</t>
  </si>
  <si>
    <t>THIRD FLOOR</t>
  </si>
  <si>
    <t>Master's Bedroom ( Cabinet Detail 1)</t>
  </si>
  <si>
    <t>Master's Bedroom ( Cabinet Detail 1) Sub-total:</t>
  </si>
  <si>
    <t>Master's Bedroom (Console Cabinet)</t>
  </si>
  <si>
    <t>Master's Bedroom (Walk in closet 1)</t>
  </si>
  <si>
    <t>Clear Glass Door Gold framing</t>
  </si>
  <si>
    <t>Master's Bedroom (Walk in closet 1)Sub-total:</t>
  </si>
  <si>
    <t>Master's Bedroom (Walk in closet 2)</t>
  </si>
  <si>
    <t>Master's Bedroom (Walk in closet 2)Sub-total:</t>
  </si>
  <si>
    <t>Master's Bedroom (Walk in closet 3)</t>
  </si>
  <si>
    <t>Master's Bedroom (Walk in closet 3)Sub-total:</t>
  </si>
  <si>
    <t>Master's Bedroom (Walk in Center Table)</t>
  </si>
  <si>
    <t>Clear Glass Tempered</t>
  </si>
  <si>
    <t>Master's Bedroom (Walk in Center Table) Sub-total:</t>
  </si>
  <si>
    <t>Master's Bedroom (lavatory sink T&amp;B)</t>
  </si>
  <si>
    <t>Master's Bedroom (lavatory sink T&amp;B) Sub-total:</t>
  </si>
  <si>
    <t>Memorabilia (Closet)</t>
  </si>
  <si>
    <t>Clear Glass Door</t>
  </si>
  <si>
    <t>Memorabilia (Closet) Sub-total:</t>
  </si>
  <si>
    <t>Roof Deck (Cabinet Detail 1)</t>
  </si>
  <si>
    <t>Roof Deck (Cabinet Detail 1) Sub-total:</t>
  </si>
  <si>
    <t>Roof Deck (Cabinet Datail 2)</t>
  </si>
  <si>
    <t>Roof Deck (Cabinet Detail 2) Sub-total:</t>
  </si>
  <si>
    <t>Third Floor Cabinet's Sub-total:</t>
  </si>
  <si>
    <t xml:space="preserve"> Cabinet's Sub-total:</t>
  </si>
  <si>
    <t>DOORS ( Door Jamb included)</t>
  </si>
  <si>
    <t>D1</t>
  </si>
  <si>
    <t>1.20X2.40 ( MAIN DOOR ) MAHOGANY WOOD PANEL
DOOR WITH PIVOT HINGE MECHANISM</t>
  </si>
  <si>
    <t>sets</t>
  </si>
  <si>
    <t>D2</t>
  </si>
  <si>
    <t>1.26x2.40 (2ND FLR HALLWAY) MAHOGANY WOOD PANEL DOOR AND FIXED WINDOW WITH 2"X6" DOOR JAMB</t>
  </si>
  <si>
    <t>D3</t>
  </si>
  <si>
    <t>0.80x2.40 (MASTER'S BEDROOM, BEDROOM 1,2,3,4, &amp; ROOF DECK) MAHOGANY WOOD PANEL DOOR WITH 2"X6" DOOR JAMB</t>
  </si>
  <si>
    <t>FREE</t>
  </si>
  <si>
    <t>D4</t>
  </si>
  <si>
    <t>0.70x2.40 (OFFICE, T ANDB ,&amp;POWDER ROOM) MAHOGANY WOOD PANEL DOOR WITH 2"X6" DOOR JAMB</t>
  </si>
  <si>
    <t>DK1</t>
  </si>
  <si>
    <t>Digital Door Knob</t>
  </si>
  <si>
    <t>DK2</t>
  </si>
  <si>
    <t xml:space="preserve">Door Knob </t>
  </si>
  <si>
    <t>D5</t>
  </si>
  <si>
    <t>1.20x2.40 (KITCHEN AREA, 2ND AND 3RD FLR BALCONY) ALUMINUM FRAMED 6MM THK. ANNEALED GLASS DOOR</t>
  </si>
  <si>
    <t>SD1</t>
  </si>
  <si>
    <t>3.20x2.40 (LIVING AND DINING AREA) ALUMINUM FRAMED 6MM THK. ANNEALED SLIDING GLASS DOOR</t>
  </si>
  <si>
    <t>SD2</t>
  </si>
  <si>
    <t>2.65x2.40 (DINING AREA) ALUMINUM FRAMED 6MM THK. ANNEALED SLIDING GLASS DOOR</t>
  </si>
  <si>
    <t>SD3</t>
  </si>
  <si>
    <t>2.00x2.40 (OFFICE ROOM) ALUMINUM FRAMED 6MM THK. ANNEALED FIXED AND SWING GLASS DOOR</t>
  </si>
  <si>
    <t>SD4</t>
  </si>
  <si>
    <t>1.80x2.40 (BEDROOM 1 AND 2) ALUMINUM FRAMED 6MM THK. ANNEALED SLIDING GLASS DOOR</t>
  </si>
  <si>
    <t>SD5</t>
  </si>
  <si>
    <t>2.80x2.80 (BEDROOM 4) ALUMINUM FRAMED 6MM THK. ANNEALED SLIDING GLASS DOOR</t>
  </si>
  <si>
    <t>SD6</t>
  </si>
  <si>
    <t>3.15x2.40 (WALK-IN CLOSET) ALUMINUM FRAMED 6MM THK. ANNEALED SLIDING MIRROR GLASS DOOR</t>
  </si>
  <si>
    <t>SD7</t>
  </si>
  <si>
    <t>3.00x2.40 (MASTER'S BEDROOM) ALUMINUM FRAMED 6MM THK. ANNEALED SLIDING GLASS DOOR</t>
  </si>
  <si>
    <t>SD8</t>
  </si>
  <si>
    <t>2.27x2.40 (MEMORABILIA) ALUMINUM FRAMED 6MM THK. ANNEALED SLIDING GLASS DOOR</t>
  </si>
  <si>
    <t>Sub-Total For Doors</t>
  </si>
  <si>
    <t>WINDOWS</t>
  </si>
  <si>
    <t>W1</t>
  </si>
  <si>
    <t>2.40X2.40 (FOYER) ALUMINUM FRAMED 6MM THK. ANNEALED FIXED WINDOW</t>
  </si>
  <si>
    <t>W2</t>
  </si>
  <si>
    <t>2.00x2.40 (OFFICE ROOM) ALUMINUM FRAMED 6MM THK. ANNEALED FIXED WINDOW</t>
  </si>
  <si>
    <t>W3</t>
  </si>
  <si>
    <t xml:space="preserve">0.60x1.80 {BEDROOM 1,2,4 And Master's BEDROOM) ALUMINUM FRAMED 6MM THK. ANNEALED FIXED WINDOW WITH AWNING WINDOW </t>
  </si>
  <si>
    <t>W4</t>
  </si>
  <si>
    <t>0.60x0.60 (BEDROOM 2 T AND B, MASTER'S T &amp; B) ALUMINUM FRAMED 6MM THK. ANNEALED AWNING WINDOW</t>
  </si>
  <si>
    <t>W5</t>
  </si>
  <si>
    <t>0.90x1.50(2ND FLR COMMON T AND B) ALUMINUM FRAMED 6MM THK. ANNEALED FIXED WINDOW</t>
  </si>
  <si>
    <t>W6</t>
  </si>
  <si>
    <t>1.80x1.50 (BEDROOM 3) ALUMINUM FRAMED 6MM THK. ANNEALED SLIDING WINDOW</t>
  </si>
  <si>
    <t>W7</t>
  </si>
  <si>
    <t>1.00x1.80 (MASTER'S BEDROOM) ALUMINUM FRAMED 6MM THK. ANNEALED FIXED WINDOW</t>
  </si>
  <si>
    <t>W8</t>
  </si>
  <si>
    <t>2.70x1.43 (MASTER'S TOILET AND BATH) ALUMINUM FRAMED 6MM THK. ANNEALED FIXED WINDOW</t>
  </si>
  <si>
    <t>Sub --Total For Window</t>
  </si>
  <si>
    <t>SHOWER ENCLOSURE</t>
  </si>
  <si>
    <t>SD9</t>
  </si>
  <si>
    <t>2.82X2.40 (MASTER'S TOILET AND BATH SHOWER ENCLOSURE) 6MM THK TEMPERED GLASS</t>
  </si>
  <si>
    <t>SD10</t>
  </si>
  <si>
    <t>1.37x2.18 (BEDROOM 2 (T &amp; B SHOWER ENCLOSURE) GOLD ALUMINUM FRAMED 6MM THK. FIXED AND SLIDING GLASS</t>
  </si>
  <si>
    <t>M1</t>
  </si>
  <si>
    <t>0.45x1.15 (BEDROOM 2 (T &amp; B)) 6MM THK MIRROR GLASS</t>
  </si>
  <si>
    <t>M2</t>
  </si>
  <si>
    <t>1.47x1.22 (MASTER'S TOILET AND BATH) 6MM THK MIRROR GLASS</t>
  </si>
  <si>
    <t>M3</t>
  </si>
  <si>
    <t>1.00x1.30(WALK-IN CLOSET) 6MM THK MIRROR GLASS WITH STRIP LIGHT</t>
  </si>
  <si>
    <t>M4</t>
  </si>
  <si>
    <t>1.35x0.90 (BEDROOM 1) 6MM THK MIRROR GLASS</t>
  </si>
  <si>
    <t>M5</t>
  </si>
  <si>
    <t>1.60x0.90 (BEDROOM 3) 6MM THK MIRROR GLASS</t>
  </si>
  <si>
    <t>M6</t>
  </si>
  <si>
    <t>2.00x0.90 (BEDROOM 4) 6MM THK MIRROR GLASS</t>
  </si>
  <si>
    <t>M7</t>
  </si>
  <si>
    <t>0.80x2.70 (FOYER) 6MM THK MIRROR GLASS</t>
  </si>
  <si>
    <t xml:space="preserve">Sub-total for Shower Enclosure </t>
  </si>
  <si>
    <t>Total for doors and window:</t>
  </si>
  <si>
    <t>PLUMBING FIIXTURES</t>
  </si>
  <si>
    <t>WC</t>
  </si>
  <si>
    <t xml:space="preserve">Water Closet </t>
  </si>
  <si>
    <t>OSM</t>
  </si>
  <si>
    <t>LS</t>
  </si>
  <si>
    <t xml:space="preserve">Lavatory/Sink </t>
  </si>
  <si>
    <t>BT</t>
  </si>
  <si>
    <t>Bathtub</t>
  </si>
  <si>
    <t>SS</t>
  </si>
  <si>
    <t>Shower Set</t>
  </si>
  <si>
    <t>Bidet</t>
  </si>
  <si>
    <t>FD</t>
  </si>
  <si>
    <t>Floor Drain</t>
  </si>
  <si>
    <t>KS</t>
  </si>
  <si>
    <t xml:space="preserve">Kitchen Sink </t>
  </si>
  <si>
    <t>F</t>
  </si>
  <si>
    <t>Faucet</t>
  </si>
  <si>
    <t>Plumbing Fixtures Sub-Total:</t>
  </si>
  <si>
    <t>Lighting Fixtures, Outlets and Switches</t>
  </si>
  <si>
    <t>Motor Outlets</t>
  </si>
  <si>
    <t>MISCELLANEOUS</t>
  </si>
  <si>
    <t>Convinience Outlets</t>
  </si>
  <si>
    <t>Outlets Sub-total:</t>
  </si>
  <si>
    <t>1 gang</t>
  </si>
  <si>
    <t>2 gang</t>
  </si>
  <si>
    <t xml:space="preserve">3 gang </t>
  </si>
  <si>
    <t xml:space="preserve"> Switches Sub-total:</t>
  </si>
  <si>
    <t>Pinlights</t>
  </si>
  <si>
    <t>Twin Pin Lights</t>
  </si>
  <si>
    <t>For 387 sq.m residential (3-storey, almost luxury):</t>
  </si>
  <si>
    <t>Strip Lights (3500K)</t>
  </si>
  <si>
    <t>Round Center Lights</t>
  </si>
  <si>
    <t>Accent Lights</t>
  </si>
  <si>
    <t xml:space="preserve">sq.m </t>
  </si>
  <si>
    <t xml:space="preserve">actual wires </t>
  </si>
  <si>
    <t>Pendant Lights</t>
  </si>
  <si>
    <t>Lighting (2.0 mm²): ~2.5–3.5 lm per sqm</t>
  </si>
  <si>
    <t>Chandelier</t>
  </si>
  <si>
    <t>Convenience outlets (3.5 mm²): ~0.8–1.2 lm per sqm</t>
  </si>
  <si>
    <t>Wall Lamps</t>
  </si>
  <si>
    <t>Higher loads / AC / kitchen (5.5 mm²): ~0.5–0.8 lm per sqm</t>
  </si>
  <si>
    <t>Integrated fan light</t>
  </si>
  <si>
    <t>Magnetic Track light</t>
  </si>
  <si>
    <t>Lighting Fixtures Sub-total:</t>
  </si>
  <si>
    <t>miscellaneous</t>
  </si>
  <si>
    <t>OUTLETS</t>
  </si>
  <si>
    <t>STRIP LIGHTS</t>
  </si>
  <si>
    <t>3.5 mm</t>
  </si>
  <si>
    <t>5.5 mm</t>
  </si>
  <si>
    <t>LIGHTING</t>
  </si>
  <si>
    <t>2.0mm</t>
  </si>
  <si>
    <t>Miscellaneuos and Other accessories</t>
  </si>
  <si>
    <t>Wires Sub-total:</t>
  </si>
  <si>
    <t xml:space="preserve">Feeder Line </t>
  </si>
  <si>
    <t>80mm</t>
  </si>
  <si>
    <t>14mm</t>
  </si>
  <si>
    <t>Circuit Breaker's (schneider)</t>
  </si>
  <si>
    <t>PANEL BOARD 26BRS MAIN: EZC 200A, 2P(MCCB)</t>
  </si>
  <si>
    <t>set's</t>
  </si>
  <si>
    <t>IC60N 15A, 2P(MCB)</t>
  </si>
  <si>
    <t>IC60N 20A, 2P(MCB)</t>
  </si>
  <si>
    <t>IC60N 30A, 2P(MCB)</t>
  </si>
  <si>
    <t>IC60N 40A, 2P(MCB)</t>
  </si>
  <si>
    <t>W/GROUNDING BUSBAR</t>
  </si>
  <si>
    <t xml:space="preserve">Conduits </t>
  </si>
  <si>
    <t>Entrance Cap</t>
  </si>
  <si>
    <t>EMT Connector</t>
  </si>
  <si>
    <t>Steel Clamp</t>
  </si>
  <si>
    <t>Threaded Elbow 90 degree</t>
  </si>
  <si>
    <t>Rubber Tape</t>
  </si>
  <si>
    <t>Electrical Tape</t>
  </si>
  <si>
    <t>Bushing</t>
  </si>
  <si>
    <t>Locknut</t>
  </si>
  <si>
    <t>EMT Coupling</t>
  </si>
  <si>
    <t>Panel Board Sub-total:</t>
  </si>
  <si>
    <t>ELECTRICAL WORKS SUB-TOTAL:</t>
  </si>
  <si>
    <t>Strip Lights</t>
  </si>
  <si>
    <t>SUPPLIER</t>
  </si>
  <si>
    <t>Descriptions</t>
  </si>
  <si>
    <t xml:space="preserve">Material </t>
  </si>
  <si>
    <t>Material Markup</t>
  </si>
  <si>
    <t xml:space="preserve"> Labor </t>
  </si>
  <si>
    <t>Labor Markup</t>
  </si>
  <si>
    <t>M</t>
  </si>
  <si>
    <t>L</t>
  </si>
  <si>
    <t>Material</t>
  </si>
  <si>
    <t>Labor</t>
  </si>
  <si>
    <t>Cabinets labor</t>
  </si>
  <si>
    <t>PVC CEILING PANEL</t>
  </si>
  <si>
    <t>glass labor</t>
  </si>
  <si>
    <t>H CLIP ceiling panel</t>
  </si>
  <si>
    <t xml:space="preserve">pvc ceiling panel edging </t>
  </si>
  <si>
    <t>FICEM BOARD</t>
  </si>
  <si>
    <t>3/4'' Marine Plyboard</t>
  </si>
  <si>
    <t>1/2'' Backing Marine plyboard</t>
  </si>
  <si>
    <t>Reflective Mirror</t>
  </si>
  <si>
    <t>wood slatted Door</t>
  </si>
  <si>
    <t>material</t>
  </si>
  <si>
    <t>material mark up</t>
  </si>
  <si>
    <t>labor</t>
  </si>
  <si>
    <t>labor mark up</t>
  </si>
  <si>
    <t>m</t>
  </si>
  <si>
    <t>Beveled Clear Mirror</t>
  </si>
  <si>
    <t>Flashing ( Dark Gray )</t>
  </si>
  <si>
    <t>Wall Paint Finish ( Dark Gray )</t>
  </si>
  <si>
    <t>BEDROOM 2 &amp; T&amp;B</t>
  </si>
  <si>
    <t xml:space="preserve">30x60 Gray Tiles Marble look in High Gloss Finish </t>
  </si>
  <si>
    <t>Wall in White Textured Wall Finish</t>
  </si>
  <si>
    <t>30x60 Marbles Tiles in High Gloss Finish</t>
  </si>
  <si>
    <t xml:space="preserve">30x60 Light Biege Tiles in High Gloss Finish </t>
  </si>
  <si>
    <t>Wall Paint Finish ( Off White )</t>
  </si>
  <si>
    <t>conrete cladding with groove lines</t>
  </si>
  <si>
    <t>Glass Railings  stair</t>
  </si>
  <si>
    <t>Glass Railings 2nd floor</t>
  </si>
  <si>
    <t>Glass Railings 3rd floor</t>
  </si>
  <si>
    <t>MATERIAL MARK UP</t>
  </si>
  <si>
    <t>LABOR</t>
  </si>
  <si>
    <t>LABOR MARK UP</t>
  </si>
  <si>
    <t>DOOR</t>
  </si>
  <si>
    <t xml:space="preserve">DOORS </t>
  </si>
  <si>
    <t>MATERIALS</t>
  </si>
  <si>
    <t>WINDOW</t>
  </si>
  <si>
    <t xml:space="preserve">shower </t>
  </si>
  <si>
    <t>materials</t>
  </si>
  <si>
    <t>round center lights</t>
  </si>
  <si>
    <t>accent lights</t>
  </si>
  <si>
    <t>3.5mm</t>
  </si>
  <si>
    <t>MCB ( 200AT) Schneider</t>
  </si>
  <si>
    <t>15 AT</t>
  </si>
  <si>
    <t>20 AT</t>
  </si>
  <si>
    <t>30 AT</t>
  </si>
  <si>
    <t>40 AT</t>
  </si>
  <si>
    <t>Panel Box</t>
  </si>
  <si>
    <t>ENGR. Nadine D. Usman</t>
  </si>
  <si>
    <t>Unit 6&amp;7 E.M Razon Commercial Building, San Pedro Camuning,</t>
  </si>
  <si>
    <t>Mexico, Pampanga, Philippines 2021</t>
  </si>
  <si>
    <t>09951119535 | clients@saikobuilders.com</t>
  </si>
  <si>
    <t>Billing 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</si>
</sst>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0;\(#,##0.00\)"/>
    <numFmt numFmtId="165" formatCode="_-* #,##0.00_-;\-* #,##0.00_-;_-* &quot;-&quot;??_-;_-@"/>
    <numFmt numFmtId="166" formatCode="mmmm&quot; &quot;d&quot;, &quot;yyyy"/>
    <numFmt numFmtId="167" formatCode="&quot;$&quot;#,##0.00"/>
    <numFmt numFmtId="168" formatCode="#,##0;\(#,##0\)"/>
    <numFmt numFmtId="169" formatCode="0.0%"/>
    <numFmt numFmtId="170" formatCode="#,##0.000000000"/>
  </numFmts>
  <fonts count="32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0"/>
      <name val="Arial"/>
    </font>
    <font>
      <b/>
      <sz val="10"/>
      <color theme="1"/>
      <name val="Arial"/>
    </font>
    <font>
      <b/>
      <sz val="11"/>
      <color rgb="FF00000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b/>
      <sz val="12"/>
      <color rgb="FF000000"/>
      <name val="Arial"/>
    </font>
    <font>
      <sz val="12"/>
      <color rgb="FFFF0000"/>
      <name val="Arial"/>
    </font>
    <font>
      <sz val="10"/>
      <color rgb="FFFF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theme="1"/>
      <name val="Arial"/>
      <scheme val="minor"/>
    </font>
    <font>
      <b/>
      <sz val="10"/>
      <color rgb="FFFF0000"/>
      <name val="Arial"/>
      <scheme val="minor"/>
    </font>
    <font>
      <b/>
      <sz val="10"/>
      <color rgb="FFFF0000"/>
      <name val="Arial"/>
    </font>
    <font>
      <b/>
      <sz val="12"/>
      <color theme="1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u/>
      <sz val="10"/>
      <color rgb="FF000000"/>
      <name val="Arial"/>
    </font>
    <font>
      <b/>
      <sz val="13"/>
      <color theme="1"/>
      <name val="Arial"/>
    </font>
    <font>
      <b/>
      <sz val="11"/>
      <color rgb="FFFF0000"/>
      <name val="Arial"/>
    </font>
    <font>
      <sz val="10"/>
      <color theme="1"/>
      <name val="Arial"/>
      <scheme val="minor"/>
    </font>
    <font>
      <sz val="11"/>
      <color rgb="FF000000"/>
      <name val="Arial"/>
    </font>
    <font>
      <b/>
      <sz val="11"/>
      <color theme="1"/>
      <name val="Arial"/>
      <family val="2"/>
    </font>
    <font>
      <sz val="11"/>
      <color rgb="FF000000"/>
      <name val="Arial"/>
      <family val="2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1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29" fillId="0" borderId="0" applyFont="0" applyFill="0" applyBorder="0" applyAlignment="0" applyProtection="0"/>
    <xf numFmtId="43" fontId="29" fillId="0" borderId="0" applyFont="0" applyFill="0" applyBorder="0" applyAlignment="0" applyProtection="0"/>
  </cellStyleXfs>
  <cellXfs count="5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right" vertical="center"/>
    </xf>
    <xf numFmtId="164" fontId="5" fillId="2" borderId="5" xfId="0" applyNumberFormat="1" applyFont="1" applyFill="1" applyBorder="1" applyAlignment="1">
      <alignment horizontal="left" vertical="center"/>
    </xf>
    <xf numFmtId="165" fontId="1" fillId="2" borderId="5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left" vertical="center"/>
    </xf>
    <xf numFmtId="164" fontId="1" fillId="5" borderId="10" xfId="0" applyNumberFormat="1" applyFont="1" applyFill="1" applyBorder="1" applyAlignment="1">
      <alignment horizontal="center" vertical="center"/>
    </xf>
    <xf numFmtId="165" fontId="5" fillId="5" borderId="10" xfId="0" applyNumberFormat="1" applyFont="1" applyFill="1" applyBorder="1" applyAlignment="1">
      <alignment horizontal="center" vertical="center"/>
    </xf>
    <xf numFmtId="10" fontId="5" fillId="5" borderId="10" xfId="0" applyNumberFormat="1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right" vertical="center"/>
    </xf>
    <xf numFmtId="164" fontId="5" fillId="0" borderId="10" xfId="0" applyNumberFormat="1" applyFont="1" applyBorder="1" applyAlignment="1">
      <alignment horizontal="center" vertical="center"/>
    </xf>
    <xf numFmtId="4" fontId="1" fillId="0" borderId="10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0" fontId="1" fillId="0" borderId="10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5" fontId="1" fillId="5" borderId="10" xfId="0" applyNumberFormat="1" applyFont="1" applyFill="1" applyBorder="1" applyAlignment="1">
      <alignment horizontal="center" vertical="center"/>
    </xf>
    <xf numFmtId="10" fontId="1" fillId="5" borderId="10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9" fontId="1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right" vertical="center"/>
    </xf>
    <xf numFmtId="164" fontId="2" fillId="0" borderId="10" xfId="0" applyNumberFormat="1" applyFont="1" applyBorder="1" applyAlignment="1">
      <alignment horizontal="center" vertical="center"/>
    </xf>
    <xf numFmtId="10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" fontId="2" fillId="0" borderId="10" xfId="0" applyNumberFormat="1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right" vertical="center"/>
    </xf>
    <xf numFmtId="164" fontId="2" fillId="4" borderId="10" xfId="0" applyNumberFormat="1" applyFont="1" applyFill="1" applyBorder="1" applyAlignment="1">
      <alignment horizontal="center" vertical="center"/>
    </xf>
    <xf numFmtId="10" fontId="2" fillId="4" borderId="10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right" vertical="center"/>
    </xf>
    <xf numFmtId="164" fontId="1" fillId="6" borderId="10" xfId="0" applyNumberFormat="1" applyFont="1" applyFill="1" applyBorder="1" applyAlignment="1">
      <alignment horizontal="center" vertical="center"/>
    </xf>
    <xf numFmtId="4" fontId="1" fillId="6" borderId="10" xfId="0" applyNumberFormat="1" applyFont="1" applyFill="1" applyBorder="1" applyAlignment="1">
      <alignment horizontal="center" vertical="center"/>
    </xf>
    <xf numFmtId="165" fontId="1" fillId="6" borderId="10" xfId="0" applyNumberFormat="1" applyFont="1" applyFill="1" applyBorder="1" applyAlignment="1">
      <alignment horizontal="center" vertical="center"/>
    </xf>
    <xf numFmtId="10" fontId="1" fillId="6" borderId="10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8" fillId="4" borderId="10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right" vertical="center"/>
    </xf>
    <xf numFmtId="164" fontId="9" fillId="4" borderId="10" xfId="0" applyNumberFormat="1" applyFont="1" applyFill="1" applyBorder="1" applyAlignment="1">
      <alignment horizontal="center" vertical="center"/>
    </xf>
    <xf numFmtId="4" fontId="9" fillId="4" borderId="11" xfId="0" applyNumberFormat="1" applyFont="1" applyFill="1" applyBorder="1" applyAlignment="1">
      <alignment horizontal="center" vertical="center"/>
    </xf>
    <xf numFmtId="164" fontId="8" fillId="4" borderId="10" xfId="0" applyNumberFormat="1" applyFont="1" applyFill="1" applyBorder="1" applyAlignment="1">
      <alignment horizontal="center" vertical="center"/>
    </xf>
    <xf numFmtId="10" fontId="9" fillId="4" borderId="10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10" fillId="4" borderId="1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right" vertical="center"/>
    </xf>
    <xf numFmtId="164" fontId="9" fillId="4" borderId="11" xfId="0" applyNumberFormat="1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10" fontId="9" fillId="4" borderId="1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2" borderId="14" xfId="0" applyFont="1" applyFill="1" applyBorder="1" applyAlignment="1">
      <alignment vertical="center"/>
    </xf>
    <xf numFmtId="0" fontId="13" fillId="2" borderId="14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0" fontId="12" fillId="2" borderId="1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10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4" fillId="0" borderId="19" xfId="0" applyFont="1" applyBorder="1" applyAlignment="1">
      <alignment vertical="center"/>
    </xf>
    <xf numFmtId="0" fontId="15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4" fillId="0" borderId="19" xfId="0" applyFont="1" applyBorder="1" applyAlignment="1">
      <alignment horizontal="right" vertical="center"/>
    </xf>
    <xf numFmtId="4" fontId="14" fillId="0" borderId="10" xfId="0" applyNumberFormat="1" applyFont="1" applyBorder="1" applyAlignment="1">
      <alignment horizontal="center" vertical="center"/>
    </xf>
    <xf numFmtId="4" fontId="7" fillId="0" borderId="10" xfId="0" applyNumberFormat="1" applyFont="1" applyBorder="1" applyAlignment="1">
      <alignment horizontal="center" vertical="center"/>
    </xf>
    <xf numFmtId="4" fontId="14" fillId="0" borderId="20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right" vertical="center"/>
    </xf>
    <xf numFmtId="0" fontId="14" fillId="0" borderId="20" xfId="0" applyFont="1" applyBorder="1" applyAlignment="1">
      <alignment horizontal="center" vertical="center"/>
    </xf>
    <xf numFmtId="0" fontId="14" fillId="8" borderId="19" xfId="0" applyFont="1" applyFill="1" applyBorder="1" applyAlignment="1">
      <alignment horizontal="right" vertical="center"/>
    </xf>
    <xf numFmtId="0" fontId="9" fillId="8" borderId="19" xfId="0" applyFont="1" applyFill="1" applyBorder="1" applyAlignment="1">
      <alignment horizontal="right" vertical="center"/>
    </xf>
    <xf numFmtId="4" fontId="17" fillId="0" borderId="10" xfId="0" applyNumberFormat="1" applyFont="1" applyBorder="1" applyAlignment="1">
      <alignment horizontal="center" vertical="center"/>
    </xf>
    <xf numFmtId="0" fontId="9" fillId="8" borderId="21" xfId="0" applyFont="1" applyFill="1" applyBorder="1" applyAlignment="1">
      <alignment horizontal="right" vertical="center"/>
    </xf>
    <xf numFmtId="10" fontId="7" fillId="0" borderId="22" xfId="0" applyNumberFormat="1" applyFont="1" applyBorder="1" applyAlignment="1">
      <alignment horizontal="center" vertical="center"/>
    </xf>
    <xf numFmtId="10" fontId="17" fillId="0" borderId="22" xfId="0" applyNumberFormat="1" applyFont="1" applyBorder="1" applyAlignment="1">
      <alignment horizontal="center" vertical="center"/>
    </xf>
    <xf numFmtId="10" fontId="14" fillId="0" borderId="23" xfId="0" applyNumberFormat="1" applyFont="1" applyBorder="1" applyAlignment="1">
      <alignment horizontal="center" vertical="center"/>
    </xf>
    <xf numFmtId="0" fontId="12" fillId="2" borderId="15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2" borderId="26" xfId="0" applyFont="1" applyFill="1" applyBorder="1" applyAlignment="1">
      <alignment vertical="center"/>
    </xf>
    <xf numFmtId="0" fontId="13" fillId="4" borderId="27" xfId="0" applyFont="1" applyFill="1" applyBorder="1" applyAlignment="1">
      <alignment horizontal="right" vertical="center"/>
    </xf>
    <xf numFmtId="4" fontId="13" fillId="0" borderId="27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2" borderId="30" xfId="0" applyFont="1" applyFill="1" applyBorder="1" applyAlignment="1">
      <alignment horizontal="right" vertical="center"/>
    </xf>
    <xf numFmtId="0" fontId="12" fillId="2" borderId="31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right" vertical="center"/>
    </xf>
    <xf numFmtId="4" fontId="18" fillId="2" borderId="33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2" fontId="12" fillId="2" borderId="1" xfId="0" applyNumberFormat="1" applyFont="1" applyFill="1" applyBorder="1" applyAlignment="1">
      <alignment horizontal="center" vertical="center" wrapText="1"/>
    </xf>
    <xf numFmtId="4" fontId="12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0" fontId="12" fillId="9" borderId="0" xfId="0" applyNumberFormat="1" applyFont="1" applyFill="1" applyAlignment="1">
      <alignment horizontal="center" vertical="center" wrapText="1"/>
    </xf>
    <xf numFmtId="10" fontId="12" fillId="0" borderId="0" xfId="0" applyNumberFormat="1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0" fontId="1" fillId="9" borderId="0" xfId="0" applyNumberFormat="1" applyFont="1" applyFill="1" applyAlignment="1">
      <alignment horizontal="center" vertical="center" wrapText="1"/>
    </xf>
    <xf numFmtId="10" fontId="1" fillId="0" borderId="0" xfId="0" applyNumberFormat="1" applyFont="1" applyAlignment="1">
      <alignment vertical="center" wrapText="1"/>
    </xf>
    <xf numFmtId="164" fontId="5" fillId="2" borderId="1" xfId="0" applyNumberFormat="1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0" fontId="5" fillId="9" borderId="0" xfId="0" applyNumberFormat="1" applyFont="1" applyFill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164" fontId="18" fillId="7" borderId="6" xfId="0" applyNumberFormat="1" applyFont="1" applyFill="1" applyBorder="1" applyAlignment="1">
      <alignment horizontal="center" vertical="center" wrapText="1"/>
    </xf>
    <xf numFmtId="164" fontId="5" fillId="7" borderId="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0" fontId="13" fillId="7" borderId="36" xfId="0" applyNumberFormat="1" applyFont="1" applyFill="1" applyBorder="1" applyAlignment="1">
      <alignment horizontal="center" vertical="center"/>
    </xf>
    <xf numFmtId="0" fontId="5" fillId="10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11" borderId="0" xfId="0" applyFont="1" applyFill="1" applyAlignment="1">
      <alignment vertical="center" wrapText="1"/>
    </xf>
    <xf numFmtId="10" fontId="5" fillId="13" borderId="0" xfId="0" applyNumberFormat="1" applyFont="1" applyFill="1" applyAlignment="1">
      <alignment vertical="center" wrapText="1"/>
    </xf>
    <xf numFmtId="0" fontId="5" fillId="14" borderId="10" xfId="0" applyFont="1" applyFill="1" applyBorder="1" applyAlignment="1">
      <alignment horizontal="center" vertical="center" wrapText="1"/>
    </xf>
    <xf numFmtId="0" fontId="20" fillId="14" borderId="10" xfId="0" applyFont="1" applyFill="1" applyBorder="1" applyAlignment="1">
      <alignment vertical="center" wrapText="1"/>
    </xf>
    <xf numFmtId="0" fontId="21" fillId="14" borderId="10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2" fontId="13" fillId="3" borderId="19" xfId="0" applyNumberFormat="1" applyFont="1" applyFill="1" applyBorder="1" applyAlignment="1">
      <alignment horizontal="center" vertical="center"/>
    </xf>
    <xf numFmtId="2" fontId="13" fillId="3" borderId="10" xfId="0" applyNumberFormat="1" applyFont="1" applyFill="1" applyBorder="1" applyAlignment="1">
      <alignment horizontal="center" vertical="center"/>
    </xf>
    <xf numFmtId="4" fontId="13" fillId="3" borderId="10" xfId="0" applyNumberFormat="1" applyFont="1" applyFill="1" applyBorder="1" applyAlignment="1">
      <alignment horizontal="center" vertical="center"/>
    </xf>
    <xf numFmtId="10" fontId="13" fillId="3" borderId="20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4" fontId="12" fillId="0" borderId="10" xfId="0" applyNumberFormat="1" applyFont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2" fontId="1" fillId="0" borderId="19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4" fontId="1" fillId="0" borderId="10" xfId="0" applyNumberFormat="1" applyFont="1" applyBorder="1" applyAlignment="1">
      <alignment horizontal="center" vertical="center" wrapText="1"/>
    </xf>
    <xf numFmtId="10" fontId="1" fillId="0" borderId="20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6" borderId="10" xfId="0" applyFont="1" applyFill="1" applyBorder="1" applyAlignment="1">
      <alignment vertical="center" wrapText="1"/>
    </xf>
    <xf numFmtId="164" fontId="5" fillId="6" borderId="10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 wrapText="1"/>
    </xf>
    <xf numFmtId="2" fontId="5" fillId="6" borderId="19" xfId="0" applyNumberFormat="1" applyFont="1" applyFill="1" applyBorder="1" applyAlignment="1">
      <alignment horizontal="center" vertical="center" wrapText="1"/>
    </xf>
    <xf numFmtId="2" fontId="5" fillId="6" borderId="10" xfId="0" applyNumberFormat="1" applyFont="1" applyFill="1" applyBorder="1" applyAlignment="1">
      <alignment horizontal="center" vertical="center" wrapText="1"/>
    </xf>
    <xf numFmtId="4" fontId="5" fillId="6" borderId="10" xfId="0" applyNumberFormat="1" applyFont="1" applyFill="1" applyBorder="1" applyAlignment="1">
      <alignment horizontal="center" vertical="center" wrapText="1"/>
    </xf>
    <xf numFmtId="10" fontId="5" fillId="6" borderId="20" xfId="0" applyNumberFormat="1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 wrapText="1"/>
    </xf>
    <xf numFmtId="4" fontId="5" fillId="6" borderId="0" xfId="0" applyNumberFormat="1" applyFont="1" applyFill="1" applyAlignment="1">
      <alignment vertical="center" wrapText="1"/>
    </xf>
    <xf numFmtId="10" fontId="5" fillId="6" borderId="0" xfId="0" applyNumberFormat="1" applyFont="1" applyFill="1" applyAlignment="1">
      <alignment vertical="center" wrapText="1"/>
    </xf>
    <xf numFmtId="0" fontId="5" fillId="4" borderId="10" xfId="0" applyFont="1" applyFill="1" applyBorder="1" applyAlignment="1">
      <alignment horizontal="center" vertical="center" wrapText="1"/>
    </xf>
    <xf numFmtId="164" fontId="1" fillId="4" borderId="10" xfId="0" applyNumberFormat="1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horizontal="left" vertical="center" wrapText="1"/>
    </xf>
    <xf numFmtId="164" fontId="1" fillId="5" borderId="1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vertical="center" wrapText="1"/>
    </xf>
    <xf numFmtId="2" fontId="1" fillId="5" borderId="19" xfId="0" applyNumberFormat="1" applyFont="1" applyFill="1" applyBorder="1" applyAlignment="1">
      <alignment horizontal="center" vertical="center" wrapText="1"/>
    </xf>
    <xf numFmtId="2" fontId="1" fillId="5" borderId="10" xfId="0" applyNumberFormat="1" applyFont="1" applyFill="1" applyBorder="1" applyAlignment="1">
      <alignment horizontal="center" vertical="center" wrapText="1"/>
    </xf>
    <xf numFmtId="4" fontId="1" fillId="5" borderId="10" xfId="0" applyNumberFormat="1" applyFont="1" applyFill="1" applyBorder="1" applyAlignment="1">
      <alignment horizontal="center" vertical="center" wrapText="1"/>
    </xf>
    <xf numFmtId="10" fontId="1" fillId="5" borderId="20" xfId="0" applyNumberFormat="1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0" xfId="0" applyFont="1" applyFill="1" applyAlignment="1">
      <alignment vertical="center" wrapText="1"/>
    </xf>
    <xf numFmtId="4" fontId="1" fillId="5" borderId="0" xfId="0" applyNumberFormat="1" applyFont="1" applyFill="1" applyAlignment="1">
      <alignment vertical="center" wrapText="1"/>
    </xf>
    <xf numFmtId="0" fontId="13" fillId="5" borderId="10" xfId="0" applyFont="1" applyFill="1" applyBorder="1" applyAlignment="1">
      <alignment horizontal="left" vertical="center" wrapText="1"/>
    </xf>
    <xf numFmtId="0" fontId="1" fillId="0" borderId="10" xfId="0" applyFont="1" applyBorder="1" applyAlignment="1">
      <alignment vertical="center" wrapText="1"/>
    </xf>
    <xf numFmtId="0" fontId="5" fillId="0" borderId="10" xfId="0" applyFont="1" applyBorder="1" applyAlignment="1">
      <alignment horizontal="left" vertical="center" wrapText="1"/>
    </xf>
    <xf numFmtId="164" fontId="1" fillId="15" borderId="10" xfId="0" applyNumberFormat="1" applyFont="1" applyFill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2" fontId="1" fillId="15" borderId="1" xfId="0" applyNumberFormat="1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vertical="center" wrapText="1"/>
    </xf>
    <xf numFmtId="0" fontId="13" fillId="6" borderId="10" xfId="0" applyFont="1" applyFill="1" applyBorder="1" applyAlignment="1">
      <alignment horizontal="left" vertical="center" wrapText="1"/>
    </xf>
    <xf numFmtId="164" fontId="1" fillId="6" borderId="10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vertical="center" wrapText="1"/>
    </xf>
    <xf numFmtId="2" fontId="1" fillId="6" borderId="19" xfId="0" applyNumberFormat="1" applyFont="1" applyFill="1" applyBorder="1" applyAlignment="1">
      <alignment horizontal="center" vertical="center" wrapText="1"/>
    </xf>
    <xf numFmtId="2" fontId="1" fillId="6" borderId="10" xfId="0" applyNumberFormat="1" applyFont="1" applyFill="1" applyBorder="1" applyAlignment="1">
      <alignment horizontal="center" vertical="center" wrapText="1"/>
    </xf>
    <xf numFmtId="4" fontId="1" fillId="6" borderId="10" xfId="0" applyNumberFormat="1" applyFont="1" applyFill="1" applyBorder="1" applyAlignment="1">
      <alignment horizontal="center" vertical="center" wrapText="1"/>
    </xf>
    <xf numFmtId="10" fontId="1" fillId="6" borderId="20" xfId="0" applyNumberFormat="1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vertical="center" wrapText="1"/>
    </xf>
    <xf numFmtId="4" fontId="1" fillId="6" borderId="0" xfId="0" applyNumberFormat="1" applyFont="1" applyFill="1" applyAlignment="1">
      <alignment vertical="center" wrapText="1"/>
    </xf>
    <xf numFmtId="10" fontId="1" fillId="6" borderId="0" xfId="0" applyNumberFormat="1" applyFont="1" applyFill="1" applyAlignment="1">
      <alignment vertical="center" wrapText="1"/>
    </xf>
    <xf numFmtId="164" fontId="1" fillId="15" borderId="1" xfId="0" applyNumberFormat="1" applyFont="1" applyFill="1" applyBorder="1" applyAlignment="1">
      <alignment horizontal="center" vertical="center" wrapText="1"/>
    </xf>
    <xf numFmtId="164" fontId="12" fillId="15" borderId="10" xfId="0" applyNumberFormat="1" applyFont="1" applyFill="1" applyBorder="1" applyAlignment="1">
      <alignment horizontal="center" vertical="center" wrapText="1"/>
    </xf>
    <xf numFmtId="2" fontId="1" fillId="0" borderId="19" xfId="0" applyNumberFormat="1" applyFont="1" applyBorder="1" applyAlignment="1">
      <alignment horizontal="center" wrapText="1"/>
    </xf>
    <xf numFmtId="2" fontId="1" fillId="0" borderId="10" xfId="0" applyNumberFormat="1" applyFont="1" applyBorder="1" applyAlignment="1">
      <alignment horizontal="center" wrapText="1"/>
    </xf>
    <xf numFmtId="4" fontId="1" fillId="0" borderId="10" xfId="0" applyNumberFormat="1" applyFont="1" applyBorder="1" applyAlignment="1">
      <alignment horizontal="center" wrapText="1"/>
    </xf>
    <xf numFmtId="0" fontId="5" fillId="6" borderId="10" xfId="0" applyFont="1" applyFill="1" applyBorder="1" applyAlignment="1">
      <alignment horizontal="left" vertical="center" wrapText="1"/>
    </xf>
    <xf numFmtId="10" fontId="5" fillId="6" borderId="10" xfId="0" applyNumberFormat="1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vertical="center" wrapText="1"/>
    </xf>
    <xf numFmtId="164" fontId="5" fillId="4" borderId="10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2" fontId="5" fillId="4" borderId="19" xfId="0" applyNumberFormat="1" applyFont="1" applyFill="1" applyBorder="1" applyAlignment="1">
      <alignment horizontal="center" vertical="center" wrapText="1"/>
    </xf>
    <xf numFmtId="2" fontId="5" fillId="4" borderId="10" xfId="0" applyNumberFormat="1" applyFont="1" applyFill="1" applyBorder="1" applyAlignment="1">
      <alignment horizontal="center" vertical="center" wrapText="1"/>
    </xf>
    <xf numFmtId="4" fontId="5" fillId="4" borderId="10" xfId="0" applyNumberFormat="1" applyFont="1" applyFill="1" applyBorder="1" applyAlignment="1">
      <alignment horizontal="center" vertical="center" wrapText="1"/>
    </xf>
    <xf numFmtId="10" fontId="5" fillId="4" borderId="10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4" fontId="1" fillId="4" borderId="0" xfId="0" applyNumberFormat="1" applyFont="1" applyFill="1" applyAlignment="1">
      <alignment vertical="center" wrapText="1"/>
    </xf>
    <xf numFmtId="10" fontId="1" fillId="4" borderId="0" xfId="0" applyNumberFormat="1" applyFont="1" applyFill="1" applyAlignment="1">
      <alignment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vertical="center" wrapText="1"/>
    </xf>
    <xf numFmtId="0" fontId="1" fillId="4" borderId="11" xfId="0" applyFont="1" applyFill="1" applyBorder="1" applyAlignment="1">
      <alignment vertical="center" wrapText="1"/>
    </xf>
    <xf numFmtId="164" fontId="5" fillId="4" borderId="11" xfId="0" applyNumberFormat="1" applyFont="1" applyFill="1" applyBorder="1" applyAlignment="1">
      <alignment horizontal="center" vertical="center" wrapText="1"/>
    </xf>
    <xf numFmtId="2" fontId="5" fillId="4" borderId="21" xfId="0" applyNumberFormat="1" applyFont="1" applyFill="1" applyBorder="1" applyAlignment="1">
      <alignment horizontal="center" vertical="center" wrapText="1"/>
    </xf>
    <xf numFmtId="2" fontId="5" fillId="4" borderId="22" xfId="0" applyNumberFormat="1" applyFont="1" applyFill="1" applyBorder="1" applyAlignment="1">
      <alignment horizontal="center" vertical="center" wrapText="1"/>
    </xf>
    <xf numFmtId="4" fontId="5" fillId="4" borderId="22" xfId="0" applyNumberFormat="1" applyFont="1" applyFill="1" applyBorder="1" applyAlignment="1">
      <alignment horizontal="center" vertical="center" wrapText="1"/>
    </xf>
    <xf numFmtId="10" fontId="5" fillId="4" borderId="22" xfId="0" applyNumberFormat="1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12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 wrapText="1"/>
    </xf>
    <xf numFmtId="4" fontId="12" fillId="2" borderId="1" xfId="0" applyNumberFormat="1" applyFont="1" applyFill="1" applyBorder="1" applyAlignment="1">
      <alignment horizontal="center" wrapText="1"/>
    </xf>
    <xf numFmtId="10" fontId="7" fillId="0" borderId="0" xfId="0" applyNumberFormat="1" applyFont="1"/>
    <xf numFmtId="164" fontId="2" fillId="2" borderId="1" xfId="0" applyNumberFormat="1" applyFont="1" applyFill="1" applyBorder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10" fontId="23" fillId="18" borderId="0" xfId="0" applyNumberFormat="1" applyFont="1" applyFill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2" fontId="24" fillId="7" borderId="6" xfId="0" applyNumberFormat="1" applyFont="1" applyFill="1" applyBorder="1" applyAlignment="1">
      <alignment horizontal="center" vertical="center" wrapText="1"/>
    </xf>
    <xf numFmtId="2" fontId="2" fillId="7" borderId="6" xfId="0" applyNumberFormat="1" applyFont="1" applyFill="1" applyBorder="1" applyAlignment="1">
      <alignment horizontal="center" vertical="center" wrapText="1"/>
    </xf>
    <xf numFmtId="164" fontId="2" fillId="7" borderId="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10" fontId="9" fillId="7" borderId="36" xfId="0" applyNumberFormat="1" applyFont="1" applyFill="1" applyBorder="1" applyAlignment="1">
      <alignment horizontal="center" vertical="center"/>
    </xf>
    <xf numFmtId="0" fontId="2" fillId="10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11" borderId="0" xfId="0" applyFont="1" applyFill="1" applyAlignment="1">
      <alignment vertical="center" wrapText="1"/>
    </xf>
    <xf numFmtId="10" fontId="2" fillId="18" borderId="0" xfId="0" applyNumberFormat="1" applyFont="1" applyFill="1" applyAlignment="1">
      <alignment vertical="center" wrapText="1"/>
    </xf>
    <xf numFmtId="10" fontId="2" fillId="13" borderId="0" xfId="0" applyNumberFormat="1" applyFont="1" applyFill="1" applyAlignment="1">
      <alignment vertical="center" wrapText="1"/>
    </xf>
    <xf numFmtId="0" fontId="1" fillId="6" borderId="10" xfId="0" applyFont="1" applyFill="1" applyBorder="1"/>
    <xf numFmtId="0" fontId="5" fillId="6" borderId="10" xfId="0" applyFont="1" applyFill="1" applyBorder="1"/>
    <xf numFmtId="0" fontId="1" fillId="6" borderId="10" xfId="0" applyFont="1" applyFill="1" applyBorder="1" applyAlignment="1">
      <alignment horizontal="center"/>
    </xf>
    <xf numFmtId="164" fontId="1" fillId="6" borderId="10" xfId="0" applyNumberFormat="1" applyFont="1" applyFill="1" applyBorder="1" applyAlignment="1">
      <alignment horizontal="center"/>
    </xf>
    <xf numFmtId="0" fontId="1" fillId="0" borderId="0" xfId="0" applyFont="1"/>
    <xf numFmtId="0" fontId="15" fillId="3" borderId="1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4" fontId="15" fillId="3" borderId="10" xfId="0" applyNumberFormat="1" applyFont="1" applyFill="1" applyBorder="1" applyAlignment="1">
      <alignment horizontal="center" vertical="center"/>
    </xf>
    <xf numFmtId="10" fontId="9" fillId="3" borderId="20" xfId="0" applyNumberFormat="1" applyFont="1" applyFill="1" applyBorder="1" applyAlignment="1">
      <alignment horizontal="center" vertical="center"/>
    </xf>
    <xf numFmtId="10" fontId="1" fillId="0" borderId="0" xfId="0" applyNumberFormat="1" applyFont="1"/>
    <xf numFmtId="0" fontId="1" fillId="16" borderId="1" xfId="0" applyFont="1" applyFill="1" applyBorder="1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0" xfId="0" applyFont="1" applyBorder="1"/>
    <xf numFmtId="0" fontId="5" fillId="0" borderId="10" xfId="0" applyFont="1" applyBorder="1"/>
    <xf numFmtId="0" fontId="1" fillId="0" borderId="10" xfId="0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4" fontId="3" fillId="0" borderId="10" xfId="0" applyNumberFormat="1" applyFont="1" applyBorder="1" applyAlignment="1">
      <alignment horizontal="center" vertical="center" wrapText="1"/>
    </xf>
    <xf numFmtId="10" fontId="3" fillId="0" borderId="2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wrapText="1"/>
    </xf>
    <xf numFmtId="0" fontId="1" fillId="0" borderId="10" xfId="0" applyFont="1" applyBorder="1" applyAlignment="1">
      <alignment horizontal="center" wrapText="1"/>
    </xf>
    <xf numFmtId="10" fontId="1" fillId="0" borderId="0" xfId="0" applyNumberFormat="1" applyFont="1" applyAlignment="1">
      <alignment wrapText="1"/>
    </xf>
    <xf numFmtId="0" fontId="1" fillId="4" borderId="10" xfId="0" applyFont="1" applyFill="1" applyBorder="1"/>
    <xf numFmtId="164" fontId="5" fillId="4" borderId="10" xfId="0" applyNumberFormat="1" applyFont="1" applyFill="1" applyBorder="1" applyAlignment="1">
      <alignment horizontal="center"/>
    </xf>
    <xf numFmtId="0" fontId="1" fillId="4" borderId="0" xfId="0" applyFont="1" applyFill="1"/>
    <xf numFmtId="0" fontId="5" fillId="4" borderId="1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4" fontId="5" fillId="4" borderId="10" xfId="0" applyNumberFormat="1" applyFont="1" applyFill="1" applyBorder="1" applyAlignment="1">
      <alignment horizontal="center" vertical="center"/>
    </xf>
    <xf numFmtId="10" fontId="5" fillId="4" borderId="20" xfId="0" applyNumberFormat="1" applyFont="1" applyFill="1" applyBorder="1" applyAlignment="1">
      <alignment horizontal="center" vertical="center"/>
    </xf>
    <xf numFmtId="10" fontId="1" fillId="4" borderId="0" xfId="0" applyNumberFormat="1" applyFont="1" applyFill="1"/>
    <xf numFmtId="167" fontId="1" fillId="0" borderId="10" xfId="0" applyNumberFormat="1" applyFont="1" applyBorder="1"/>
    <xf numFmtId="164" fontId="1" fillId="0" borderId="10" xfId="0" applyNumberFormat="1" applyFont="1" applyBorder="1" applyAlignment="1">
      <alignment horizontal="center" wrapText="1"/>
    </xf>
    <xf numFmtId="0" fontId="1" fillId="4" borderId="10" xfId="0" applyFont="1" applyFill="1" applyBorder="1" applyAlignment="1">
      <alignment wrapText="1"/>
    </xf>
    <xf numFmtId="164" fontId="5" fillId="4" borderId="10" xfId="0" applyNumberFormat="1" applyFont="1" applyFill="1" applyBorder="1" applyAlignment="1">
      <alignment horizontal="center" wrapText="1"/>
    </xf>
    <xf numFmtId="0" fontId="1" fillId="4" borderId="0" xfId="0" applyFont="1" applyFill="1" applyAlignment="1">
      <alignment wrapText="1"/>
    </xf>
    <xf numFmtId="0" fontId="5" fillId="4" borderId="19" xfId="0" applyFont="1" applyFill="1" applyBorder="1" applyAlignment="1">
      <alignment horizontal="center" vertical="center" wrapText="1"/>
    </xf>
    <xf numFmtId="10" fontId="5" fillId="4" borderId="20" xfId="0" applyNumberFormat="1" applyFont="1" applyFill="1" applyBorder="1" applyAlignment="1">
      <alignment horizontal="center" vertical="center" wrapText="1"/>
    </xf>
    <xf numFmtId="10" fontId="1" fillId="4" borderId="0" xfId="0" applyNumberFormat="1" applyFont="1" applyFill="1" applyAlignment="1">
      <alignment wrapText="1"/>
    </xf>
    <xf numFmtId="0" fontId="1" fillId="0" borderId="1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4" fontId="5" fillId="3" borderId="10" xfId="0" applyNumberFormat="1" applyFont="1" applyFill="1" applyBorder="1" applyAlignment="1">
      <alignment horizontal="center" vertical="center"/>
    </xf>
    <xf numFmtId="10" fontId="5" fillId="3" borderId="20" xfId="0" applyNumberFormat="1" applyFont="1" applyFill="1" applyBorder="1" applyAlignment="1">
      <alignment horizontal="center" vertical="center"/>
    </xf>
    <xf numFmtId="0" fontId="2" fillId="4" borderId="11" xfId="0" applyFont="1" applyFill="1" applyBorder="1"/>
    <xf numFmtId="164" fontId="2" fillId="4" borderId="11" xfId="0" applyNumberFormat="1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 vertical="center"/>
    </xf>
    <xf numFmtId="4" fontId="5" fillId="3" borderId="21" xfId="0" applyNumberFormat="1" applyFont="1" applyFill="1" applyBorder="1" applyAlignment="1">
      <alignment horizontal="center" vertical="center"/>
    </xf>
    <xf numFmtId="10" fontId="5" fillId="3" borderId="21" xfId="0" applyNumberFormat="1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4" fontId="1" fillId="0" borderId="0" xfId="0" applyNumberFormat="1" applyFont="1" applyAlignment="1">
      <alignment horizontal="center" vertical="center"/>
    </xf>
    <xf numFmtId="10" fontId="12" fillId="2" borderId="1" xfId="0" applyNumberFormat="1" applyFont="1" applyFill="1" applyBorder="1" applyAlignment="1">
      <alignment horizontal="center" wrapText="1"/>
    </xf>
    <xf numFmtId="0" fontId="12" fillId="0" borderId="0" xfId="0" applyFont="1" applyAlignment="1">
      <alignment wrapText="1"/>
    </xf>
    <xf numFmtId="10" fontId="1" fillId="2" borderId="1" xfId="0" applyNumberFormat="1" applyFont="1" applyFill="1" applyBorder="1" applyAlignment="1">
      <alignment horizontal="center" vertical="center" wrapText="1"/>
    </xf>
    <xf numFmtId="10" fontId="12" fillId="2" borderId="1" xfId="0" applyNumberFormat="1" applyFont="1" applyFill="1" applyBorder="1" applyAlignment="1">
      <alignment wrapText="1"/>
    </xf>
    <xf numFmtId="0" fontId="25" fillId="0" borderId="0" xfId="0" applyFont="1"/>
    <xf numFmtId="0" fontId="5" fillId="18" borderId="0" xfId="0" applyFont="1" applyFill="1" applyAlignment="1">
      <alignment horizontal="center" vertical="center" wrapText="1"/>
    </xf>
    <xf numFmtId="2" fontId="18" fillId="7" borderId="6" xfId="0" applyNumberFormat="1" applyFont="1" applyFill="1" applyBorder="1" applyAlignment="1">
      <alignment horizontal="center" vertical="center" wrapText="1"/>
    </xf>
    <xf numFmtId="0" fontId="5" fillId="18" borderId="0" xfId="0" applyFont="1" applyFill="1" applyAlignment="1">
      <alignment vertical="center" wrapText="1"/>
    </xf>
    <xf numFmtId="0" fontId="5" fillId="13" borderId="0" xfId="0" applyFont="1" applyFill="1" applyAlignment="1">
      <alignment vertical="center" wrapText="1"/>
    </xf>
    <xf numFmtId="0" fontId="13" fillId="3" borderId="1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1" fillId="15" borderId="10" xfId="0" applyFont="1" applyFill="1" applyBorder="1" applyAlignment="1">
      <alignment horizontal="center" vertical="center" wrapText="1"/>
    </xf>
    <xf numFmtId="164" fontId="13" fillId="4" borderId="10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 wrapText="1"/>
    </xf>
    <xf numFmtId="0" fontId="5" fillId="15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right" vertical="center" wrapText="1"/>
    </xf>
    <xf numFmtId="3" fontId="1" fillId="0" borderId="0" xfId="0" applyNumberFormat="1" applyFont="1" applyAlignment="1">
      <alignment vertical="center" wrapText="1"/>
    </xf>
    <xf numFmtId="168" fontId="1" fillId="0" borderId="0" xfId="0" applyNumberFormat="1" applyFont="1" applyAlignment="1">
      <alignment vertical="center" wrapText="1"/>
    </xf>
    <xf numFmtId="0" fontId="1" fillId="16" borderId="1" xfId="0" applyFont="1" applyFill="1" applyBorder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1" fillId="3" borderId="27" xfId="0" applyFont="1" applyFill="1" applyBorder="1" applyAlignment="1">
      <alignment vertical="center" wrapText="1"/>
    </xf>
    <xf numFmtId="164" fontId="5" fillId="3" borderId="27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4" fontId="5" fillId="3" borderId="22" xfId="0" applyNumberFormat="1" applyFont="1" applyFill="1" applyBorder="1" applyAlignment="1">
      <alignment horizontal="center" vertical="center" wrapText="1"/>
    </xf>
    <xf numFmtId="10" fontId="5" fillId="3" borderId="23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7" fillId="0" borderId="0" xfId="0" applyNumberFormat="1" applyFont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/>
    <xf numFmtId="0" fontId="12" fillId="2" borderId="5" xfId="0" applyFont="1" applyFill="1" applyBorder="1" applyAlignment="1">
      <alignment horizontal="center" vertical="center" wrapText="1"/>
    </xf>
    <xf numFmtId="10" fontId="12" fillId="2" borderId="5" xfId="0" applyNumberFormat="1" applyFont="1" applyFill="1" applyBorder="1" applyAlignment="1">
      <alignment horizontal="center" vertical="center" wrapText="1"/>
    </xf>
    <xf numFmtId="10" fontId="2" fillId="18" borderId="0" xfId="0" applyNumberFormat="1" applyFont="1" applyFill="1" applyAlignment="1">
      <alignment horizontal="center" vertical="center" wrapText="1"/>
    </xf>
    <xf numFmtId="0" fontId="2" fillId="12" borderId="0" xfId="0" applyFont="1" applyFill="1" applyAlignment="1">
      <alignment vertical="center" wrapText="1"/>
    </xf>
    <xf numFmtId="0" fontId="5" fillId="6" borderId="1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vertical="center"/>
    </xf>
    <xf numFmtId="164" fontId="5" fillId="6" borderId="10" xfId="0" applyNumberFormat="1" applyFont="1" applyFill="1" applyBorder="1" applyAlignment="1">
      <alignment horizontal="center" vertical="center"/>
    </xf>
    <xf numFmtId="10" fontId="1" fillId="0" borderId="0" xfId="0" applyNumberFormat="1" applyFont="1" applyAlignment="1">
      <alignment horizontal="center"/>
    </xf>
    <xf numFmtId="0" fontId="5" fillId="6" borderId="19" xfId="0" applyFont="1" applyFill="1" applyBorder="1" applyAlignment="1">
      <alignment horizontal="center" vertical="center"/>
    </xf>
    <xf numFmtId="4" fontId="5" fillId="6" borderId="10" xfId="0" applyNumberFormat="1" applyFont="1" applyFill="1" applyBorder="1" applyAlignment="1">
      <alignment horizontal="center" vertical="center"/>
    </xf>
    <xf numFmtId="10" fontId="5" fillId="6" borderId="20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4" borderId="10" xfId="0" applyFont="1" applyFill="1" applyBorder="1" applyAlignment="1">
      <alignment horizontal="center" vertical="center"/>
    </xf>
    <xf numFmtId="164" fontId="5" fillId="4" borderId="10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vertical="center"/>
    </xf>
    <xf numFmtId="0" fontId="3" fillId="6" borderId="10" xfId="0" applyFont="1" applyFill="1" applyBorder="1" applyAlignment="1">
      <alignment horizontal="center" vertical="center"/>
    </xf>
    <xf numFmtId="164" fontId="3" fillId="6" borderId="10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6" fillId="0" borderId="0" xfId="0" applyFont="1"/>
    <xf numFmtId="10" fontId="26" fillId="0" borderId="0" xfId="0" applyNumberFormat="1" applyFont="1" applyAlignment="1">
      <alignment horizontal="center"/>
    </xf>
    <xf numFmtId="0" fontId="1" fillId="6" borderId="11" xfId="0" applyFont="1" applyFill="1" applyBorder="1" applyAlignment="1">
      <alignment horizontal="center" vertical="center"/>
    </xf>
    <xf numFmtId="164" fontId="5" fillId="6" borderId="11" xfId="0" applyNumberFormat="1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4" fontId="5" fillId="4" borderId="22" xfId="0" applyNumberFormat="1" applyFont="1" applyFill="1" applyBorder="1" applyAlignment="1">
      <alignment horizontal="center" vertical="center"/>
    </xf>
    <xf numFmtId="10" fontId="5" fillId="4" borderId="2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4" fontId="12" fillId="2" borderId="5" xfId="0" applyNumberFormat="1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vertical="center" wrapText="1"/>
    </xf>
    <xf numFmtId="0" fontId="5" fillId="0" borderId="0" xfId="0" applyFont="1" applyAlignment="1">
      <alignment wrapText="1"/>
    </xf>
    <xf numFmtId="10" fontId="5" fillId="0" borderId="0" xfId="0" applyNumberFormat="1" applyFont="1" applyAlignment="1">
      <alignment wrapText="1"/>
    </xf>
    <xf numFmtId="4" fontId="1" fillId="0" borderId="0" xfId="0" applyNumberFormat="1" applyFont="1" applyAlignment="1">
      <alignment wrapText="1"/>
    </xf>
    <xf numFmtId="0" fontId="1" fillId="15" borderId="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vertical="center" wrapText="1"/>
    </xf>
    <xf numFmtId="164" fontId="5" fillId="3" borderId="11" xfId="0" applyNumberFormat="1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10" fontId="5" fillId="4" borderId="23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19" borderId="1" xfId="0" applyFont="1" applyFill="1" applyBorder="1"/>
    <xf numFmtId="0" fontId="1" fillId="9" borderId="1" xfId="0" applyFont="1" applyFill="1" applyBorder="1"/>
    <xf numFmtId="0" fontId="2" fillId="11" borderId="1" xfId="0" applyFont="1" applyFill="1" applyBorder="1" applyAlignment="1">
      <alignment horizontal="right"/>
    </xf>
    <xf numFmtId="0" fontId="2" fillId="11" borderId="1" xfId="0" applyFont="1" applyFill="1" applyBorder="1"/>
    <xf numFmtId="0" fontId="3" fillId="0" borderId="0" xfId="0" applyFont="1"/>
    <xf numFmtId="164" fontId="1" fillId="19" borderId="1" xfId="0" applyNumberFormat="1" applyFont="1" applyFill="1" applyBorder="1"/>
    <xf numFmtId="0" fontId="5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" fillId="19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26" fillId="0" borderId="0" xfId="0" applyFont="1" applyAlignment="1">
      <alignment wrapText="1"/>
    </xf>
    <xf numFmtId="0" fontId="6" fillId="0" borderId="0" xfId="0" applyFont="1"/>
    <xf numFmtId="0" fontId="5" fillId="0" borderId="0" xfId="0" applyFont="1" applyAlignment="1">
      <alignment horizontal="left" vertical="center"/>
    </xf>
    <xf numFmtId="0" fontId="1" fillId="19" borderId="1" xfId="0" applyFont="1" applyFill="1" applyBorder="1" applyAlignment="1">
      <alignment horizontal="center"/>
    </xf>
    <xf numFmtId="0" fontId="2" fillId="15" borderId="6" xfId="0" applyFont="1" applyFill="1" applyBorder="1" applyAlignment="1">
      <alignment horizontal="center" vertical="center" wrapText="1"/>
    </xf>
    <xf numFmtId="164" fontId="2" fillId="19" borderId="6" xfId="0" applyNumberFormat="1" applyFont="1" applyFill="1" applyBorder="1" applyAlignment="1">
      <alignment horizontal="center" vertical="center" wrapText="1"/>
    </xf>
    <xf numFmtId="164" fontId="2" fillId="15" borderId="6" xfId="0" applyNumberFormat="1" applyFont="1" applyFill="1" applyBorder="1" applyAlignment="1">
      <alignment horizontal="center" vertical="center" wrapText="1"/>
    </xf>
    <xf numFmtId="164" fontId="2" fillId="9" borderId="6" xfId="0" applyNumberFormat="1" applyFont="1" applyFill="1" applyBorder="1" applyAlignment="1">
      <alignment horizontal="center" vertical="center" wrapText="1"/>
    </xf>
    <xf numFmtId="2" fontId="2" fillId="19" borderId="6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wrapText="1"/>
    </xf>
    <xf numFmtId="0" fontId="1" fillId="6" borderId="1" xfId="0" applyFont="1" applyFill="1" applyBorder="1"/>
    <xf numFmtId="0" fontId="5" fillId="6" borderId="1" xfId="0" applyFont="1" applyFill="1" applyBorder="1"/>
    <xf numFmtId="0" fontId="5" fillId="0" borderId="0" xfId="0" applyFont="1"/>
    <xf numFmtId="0" fontId="1" fillId="19" borderId="1" xfId="0" applyFont="1" applyFill="1" applyBorder="1" applyAlignment="1">
      <alignment horizontal="center" wrapText="1"/>
    </xf>
    <xf numFmtId="0" fontId="1" fillId="20" borderId="1" xfId="0" applyFont="1" applyFill="1" applyBorder="1"/>
    <xf numFmtId="0" fontId="1" fillId="20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1" borderId="1" xfId="0" applyFont="1" applyFill="1" applyBorder="1"/>
    <xf numFmtId="0" fontId="1" fillId="21" borderId="1" xfId="0" applyFont="1" applyFill="1" applyBorder="1" applyAlignment="1">
      <alignment horizontal="center"/>
    </xf>
    <xf numFmtId="0" fontId="5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0" borderId="0" xfId="0" applyFont="1" applyAlignment="1">
      <alignment horizontal="center"/>
    </xf>
    <xf numFmtId="164" fontId="2" fillId="22" borderId="6" xfId="0" applyNumberFormat="1" applyFont="1" applyFill="1" applyBorder="1" applyAlignment="1">
      <alignment horizontal="center" vertical="center" wrapText="1"/>
    </xf>
    <xf numFmtId="2" fontId="2" fillId="23" borderId="6" xfId="0" applyNumberFormat="1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wrapText="1"/>
    </xf>
    <xf numFmtId="0" fontId="5" fillId="22" borderId="1" xfId="0" applyFont="1" applyFill="1" applyBorder="1"/>
    <xf numFmtId="0" fontId="5" fillId="23" borderId="1" xfId="0" applyFont="1" applyFill="1" applyBorder="1"/>
    <xf numFmtId="0" fontId="1" fillId="17" borderId="1" xfId="0" applyFont="1" applyFill="1" applyBorder="1"/>
    <xf numFmtId="0" fontId="1" fillId="22" borderId="1" xfId="0" applyFont="1" applyFill="1" applyBorder="1"/>
    <xf numFmtId="0" fontId="1" fillId="23" borderId="1" xfId="0" applyFont="1" applyFill="1" applyBorder="1"/>
    <xf numFmtId="0" fontId="1" fillId="17" borderId="1" xfId="0" applyFont="1" applyFill="1" applyBorder="1" applyAlignment="1">
      <alignment wrapText="1"/>
    </xf>
    <xf numFmtId="0" fontId="1" fillId="22" borderId="1" xfId="0" applyFont="1" applyFill="1" applyBorder="1" applyAlignment="1">
      <alignment wrapText="1"/>
    </xf>
    <xf numFmtId="0" fontId="5" fillId="10" borderId="1" xfId="0" applyFont="1" applyFill="1" applyBorder="1"/>
    <xf numFmtId="0" fontId="2" fillId="4" borderId="10" xfId="0" applyFont="1" applyFill="1" applyBorder="1"/>
    <xf numFmtId="0" fontId="2" fillId="0" borderId="10" xfId="0" applyFont="1" applyBorder="1"/>
    <xf numFmtId="0" fontId="3" fillId="19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9" borderId="1" xfId="0" applyFont="1" applyFill="1" applyBorder="1" applyAlignment="1">
      <alignment horizontal="center"/>
    </xf>
    <xf numFmtId="164" fontId="1" fillId="0" borderId="10" xfId="0" applyNumberFormat="1" applyFont="1" applyBorder="1"/>
    <xf numFmtId="164" fontId="3" fillId="0" borderId="0" xfId="0" applyNumberFormat="1" applyFont="1" applyAlignment="1">
      <alignment horizontal="center"/>
    </xf>
    <xf numFmtId="0" fontId="19" fillId="2" borderId="26" xfId="0" applyFont="1" applyFill="1" applyBorder="1" applyAlignment="1">
      <alignment vertical="center"/>
    </xf>
    <xf numFmtId="0" fontId="1" fillId="2" borderId="26" xfId="0" applyFont="1" applyFill="1" applyBorder="1" applyAlignment="1">
      <alignment horizontal="center" vertical="center"/>
    </xf>
    <xf numFmtId="10" fontId="1" fillId="2" borderId="26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vertical="center"/>
    </xf>
    <xf numFmtId="0" fontId="7" fillId="0" borderId="0" xfId="0" applyFont="1"/>
    <xf numFmtId="0" fontId="28" fillId="0" borderId="0" xfId="0" applyFont="1" applyAlignment="1">
      <alignment horizontal="center" vertical="center" readingOrder="1"/>
    </xf>
    <xf numFmtId="0" fontId="0" fillId="24" borderId="0" xfId="0" applyFill="1"/>
    <xf numFmtId="169" fontId="5" fillId="9" borderId="0" xfId="0" applyNumberFormat="1" applyFont="1" applyFill="1" applyAlignment="1">
      <alignment horizontal="center" vertical="center" wrapText="1"/>
    </xf>
    <xf numFmtId="10" fontId="30" fillId="0" borderId="20" xfId="0" applyNumberFormat="1" applyFont="1" applyBorder="1" applyAlignment="1">
      <alignment horizontal="center" vertical="center" wrapText="1"/>
    </xf>
    <xf numFmtId="9" fontId="0" fillId="0" borderId="0" xfId="1" applyFont="1" applyAlignment="1"/>
    <xf numFmtId="9" fontId="12" fillId="0" borderId="0" xfId="1" applyFont="1" applyAlignment="1">
      <alignment horizontal="center" vertical="center" wrapText="1"/>
    </xf>
    <xf numFmtId="9" fontId="7" fillId="0" borderId="0" xfId="1" applyFont="1" applyAlignment="1">
      <alignment horizontal="center" vertical="center"/>
    </xf>
    <xf numFmtId="9" fontId="5" fillId="18" borderId="0" xfId="1" applyFont="1" applyFill="1" applyAlignment="1">
      <alignment horizontal="center" vertical="center" wrapText="1"/>
    </xf>
    <xf numFmtId="9" fontId="1" fillId="0" borderId="0" xfId="1" applyFont="1" applyAlignment="1">
      <alignment horizontal="center" vertical="center" wrapText="1"/>
    </xf>
    <xf numFmtId="10" fontId="5" fillId="0" borderId="10" xfId="1" applyNumberFormat="1" applyFont="1" applyBorder="1" applyAlignment="1">
      <alignment horizontal="center" vertical="center"/>
    </xf>
    <xf numFmtId="10" fontId="1" fillId="5" borderId="10" xfId="1" applyNumberFormat="1" applyFont="1" applyFill="1" applyBorder="1" applyAlignment="1">
      <alignment horizontal="center" vertical="center"/>
    </xf>
    <xf numFmtId="10" fontId="1" fillId="0" borderId="10" xfId="1" applyNumberFormat="1" applyFont="1" applyBorder="1" applyAlignment="1">
      <alignment horizontal="center" vertical="center"/>
    </xf>
    <xf numFmtId="10" fontId="2" fillId="0" borderId="10" xfId="1" applyNumberFormat="1" applyFont="1" applyBorder="1" applyAlignment="1">
      <alignment horizontal="center" vertical="center"/>
    </xf>
    <xf numFmtId="10" fontId="2" fillId="4" borderId="10" xfId="1" applyNumberFormat="1" applyFont="1" applyFill="1" applyBorder="1" applyAlignment="1">
      <alignment horizontal="center" vertical="center"/>
    </xf>
    <xf numFmtId="10" fontId="1" fillId="6" borderId="10" xfId="1" applyNumberFormat="1" applyFont="1" applyFill="1" applyBorder="1" applyAlignment="1">
      <alignment horizontal="center" vertical="center"/>
    </xf>
    <xf numFmtId="10" fontId="9" fillId="4" borderId="10" xfId="1" applyNumberFormat="1" applyFont="1" applyFill="1" applyBorder="1" applyAlignment="1">
      <alignment horizontal="center" vertical="center"/>
    </xf>
    <xf numFmtId="10" fontId="9" fillId="4" borderId="11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166" fontId="3" fillId="2" borderId="2" xfId="0" applyNumberFormat="1" applyFont="1" applyFill="1" applyBorder="1" applyAlignment="1">
      <alignment horizontal="left" vertical="center" wrapText="1"/>
    </xf>
    <xf numFmtId="10" fontId="6" fillId="4" borderId="7" xfId="0" applyNumberFormat="1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9" xfId="0" applyFont="1" applyBorder="1"/>
    <xf numFmtId="0" fontId="9" fillId="4" borderId="12" xfId="0" applyFont="1" applyFill="1" applyBorder="1" applyAlignment="1">
      <alignment horizontal="center" vertical="center"/>
    </xf>
    <xf numFmtId="0" fontId="4" fillId="0" borderId="13" xfId="0" applyFont="1" applyBorder="1"/>
    <xf numFmtId="0" fontId="4" fillId="0" borderId="17" xfId="0" applyFont="1" applyBorder="1"/>
    <xf numFmtId="0" fontId="13" fillId="4" borderId="28" xfId="0" applyFont="1" applyFill="1" applyBorder="1" applyAlignment="1">
      <alignment vertical="center"/>
    </xf>
    <xf numFmtId="0" fontId="4" fillId="0" borderId="29" xfId="0" applyFont="1" applyBorder="1"/>
    <xf numFmtId="0" fontId="13" fillId="4" borderId="24" xfId="0" applyFont="1" applyFill="1" applyBorder="1" applyAlignment="1">
      <alignment horizontal="center" vertical="center"/>
    </xf>
    <xf numFmtId="0" fontId="4" fillId="0" borderId="25" xfId="0" applyFont="1" applyBorder="1"/>
    <xf numFmtId="166" fontId="1" fillId="2" borderId="2" xfId="0" applyNumberFormat="1" applyFont="1" applyFill="1" applyBorder="1" applyAlignment="1">
      <alignment horizontal="left" vertical="center" wrapText="1"/>
    </xf>
    <xf numFmtId="0" fontId="5" fillId="12" borderId="0" xfId="0" applyFont="1" applyFill="1" applyAlignment="1">
      <alignment horizontal="center" vertical="center" wrapText="1"/>
    </xf>
    <xf numFmtId="0" fontId="0" fillId="0" borderId="0" xfId="0"/>
    <xf numFmtId="0" fontId="5" fillId="6" borderId="37" xfId="0" applyFont="1" applyFill="1" applyBorder="1" applyAlignment="1">
      <alignment horizontal="right" vertical="center" wrapText="1"/>
    </xf>
    <xf numFmtId="0" fontId="4" fillId="0" borderId="38" xfId="0" applyFont="1" applyBorder="1"/>
    <xf numFmtId="0" fontId="4" fillId="0" borderId="39" xfId="0" applyFont="1" applyBorder="1"/>
    <xf numFmtId="10" fontId="12" fillId="0" borderId="0" xfId="0" applyNumberFormat="1" applyFont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5" fillId="10" borderId="0" xfId="0" applyFont="1" applyFill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5" fillId="4" borderId="12" xfId="0" applyFont="1" applyFill="1" applyBorder="1" applyAlignment="1">
      <alignment horizontal="right" vertical="center" wrapText="1"/>
    </xf>
    <xf numFmtId="0" fontId="4" fillId="0" borderId="40" xfId="0" applyFont="1" applyBorder="1"/>
    <xf numFmtId="0" fontId="5" fillId="4" borderId="37" xfId="0" applyFont="1" applyFill="1" applyBorder="1" applyAlignment="1">
      <alignment horizontal="left" vertical="center" wrapText="1"/>
    </xf>
    <xf numFmtId="0" fontId="5" fillId="4" borderId="37" xfId="0" applyFont="1" applyFill="1" applyBorder="1" applyAlignment="1">
      <alignment horizontal="right" vertical="center" wrapText="1"/>
    </xf>
    <xf numFmtId="2" fontId="13" fillId="7" borderId="16" xfId="0" applyNumberFormat="1" applyFont="1" applyFill="1" applyBorder="1" applyAlignment="1">
      <alignment horizontal="center" vertical="center"/>
    </xf>
    <xf numFmtId="0" fontId="4" fillId="0" borderId="34" xfId="0" applyFont="1" applyBorder="1"/>
    <xf numFmtId="4" fontId="13" fillId="7" borderId="35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23" fillId="10" borderId="0" xfId="0" applyFont="1" applyFill="1" applyAlignment="1">
      <alignment horizontal="center" vertical="center" wrapText="1"/>
    </xf>
    <xf numFmtId="0" fontId="23" fillId="11" borderId="0" xfId="0" applyFont="1" applyFill="1" applyAlignment="1">
      <alignment horizontal="center" vertical="center" wrapText="1"/>
    </xf>
    <xf numFmtId="10" fontId="23" fillId="18" borderId="0" xfId="0" applyNumberFormat="1" applyFont="1" applyFill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/>
    </xf>
    <xf numFmtId="4" fontId="9" fillId="7" borderId="35" xfId="0" applyNumberFormat="1" applyFont="1" applyFill="1" applyBorder="1" applyAlignment="1">
      <alignment horizontal="center" vertical="center"/>
    </xf>
    <xf numFmtId="0" fontId="23" fillId="13" borderId="0" xfId="0" applyFont="1" applyFill="1" applyAlignment="1">
      <alignment horizontal="center" vertical="center" wrapText="1"/>
    </xf>
    <xf numFmtId="0" fontId="5" fillId="4" borderId="37" xfId="0" applyFont="1" applyFill="1" applyBorder="1" applyAlignment="1">
      <alignment horizontal="right"/>
    </xf>
    <xf numFmtId="0" fontId="2" fillId="4" borderId="12" xfId="0" applyFont="1" applyFill="1" applyBorder="1" applyAlignment="1">
      <alignment horizontal="right"/>
    </xf>
    <xf numFmtId="0" fontId="5" fillId="4" borderId="37" xfId="0" applyFont="1" applyFill="1" applyBorder="1" applyAlignment="1">
      <alignment horizontal="right" wrapText="1"/>
    </xf>
    <xf numFmtId="0" fontId="13" fillId="7" borderId="16" xfId="0" applyFont="1" applyFill="1" applyBorder="1" applyAlignment="1">
      <alignment horizontal="center" vertical="center"/>
    </xf>
    <xf numFmtId="0" fontId="5" fillId="13" borderId="0" xfId="0" applyFont="1" applyFill="1" applyAlignment="1">
      <alignment horizontal="center" vertical="center" wrapText="1"/>
    </xf>
    <xf numFmtId="0" fontId="5" fillId="5" borderId="37" xfId="0" applyFont="1" applyFill="1" applyBorder="1" applyAlignment="1">
      <alignment horizontal="left" vertical="center" wrapText="1"/>
    </xf>
    <xf numFmtId="0" fontId="5" fillId="5" borderId="37" xfId="0" applyFont="1" applyFill="1" applyBorder="1" applyAlignment="1">
      <alignment vertical="center" wrapText="1"/>
    </xf>
    <xf numFmtId="0" fontId="5" fillId="3" borderId="24" xfId="0" applyFont="1" applyFill="1" applyBorder="1" applyAlignment="1">
      <alignment horizontal="right" vertical="center" wrapText="1"/>
    </xf>
    <xf numFmtId="0" fontId="4" fillId="0" borderId="41" xfId="0" applyFont="1" applyBorder="1"/>
    <xf numFmtId="0" fontId="23" fillId="12" borderId="0" xfId="0" applyFont="1" applyFill="1" applyAlignment="1">
      <alignment horizontal="center" vertical="center" wrapText="1"/>
    </xf>
    <xf numFmtId="0" fontId="5" fillId="6" borderId="12" xfId="0" applyFont="1" applyFill="1" applyBorder="1" applyAlignment="1">
      <alignment horizontal="right" vertical="center"/>
    </xf>
    <xf numFmtId="0" fontId="5" fillId="6" borderId="37" xfId="0" applyFont="1" applyFill="1" applyBorder="1" applyAlignment="1">
      <alignment horizontal="right" vertical="center"/>
    </xf>
    <xf numFmtId="0" fontId="5" fillId="4" borderId="37" xfId="0" applyFont="1" applyFill="1" applyBorder="1" applyAlignment="1">
      <alignment horizontal="right" vertical="center"/>
    </xf>
    <xf numFmtId="0" fontId="5" fillId="3" borderId="12" xfId="0" applyFont="1" applyFill="1" applyBorder="1" applyAlignment="1">
      <alignment horizontal="right" vertical="center" wrapText="1"/>
    </xf>
    <xf numFmtId="0" fontId="5" fillId="4" borderId="37" xfId="0" applyFont="1" applyFill="1" applyBorder="1" applyAlignment="1">
      <alignment vertical="center" wrapText="1"/>
    </xf>
    <xf numFmtId="0" fontId="12" fillId="0" borderId="0" xfId="0" applyFont="1"/>
    <xf numFmtId="0" fontId="6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43" fontId="0" fillId="0" borderId="0" xfId="2" applyFont="1"/>
    <xf numFmtId="4" fontId="0" fillId="0" borderId="0" xfId="0" applyNumberFormat="1"/>
    <xf numFmtId="170" fontId="0" fillId="0" borderId="0" xfId="0" applyNumberFormat="1"/>
    <xf numFmtId="0" fontId="31" fillId="7" borderId="16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352425</xdr:colOff>
      <xdr:row>8</xdr:row>
      <xdr:rowOff>85725</xdr:rowOff>
    </xdr:from>
    <xdr:ext cx="4838700" cy="609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927010" y="3475494"/>
          <a:ext cx="4837981" cy="60901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Unit 6&amp;7 E.M Razon Commercial Building, San Pedro Camuning,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Mexico, Pampanga, Philippines 2021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09951119535 | clients@saikobuilders.com</a:t>
          </a:r>
          <a:endParaRPr sz="1400"/>
        </a:p>
      </xdr:txBody>
    </xdr:sp>
    <xdr:clientData fLocksWithSheet="0"/>
  </xdr:oneCellAnchor>
  <xdr:oneCellAnchor>
    <xdr:from>
      <xdr:col>0</xdr:col>
      <xdr:colOff>2028825</xdr:colOff>
      <xdr:row>68</xdr:row>
      <xdr:rowOff>123825</xdr:rowOff>
    </xdr:from>
    <xdr:ext cx="1885950" cy="56197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72</xdr:row>
      <xdr:rowOff>28575</xdr:rowOff>
    </xdr:from>
    <xdr:ext cx="1152525" cy="7334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523875</xdr:colOff>
      <xdr:row>74</xdr:row>
      <xdr:rowOff>104775</xdr:rowOff>
    </xdr:from>
    <xdr:ext cx="333375" cy="1114425"/>
    <xdr:pic>
      <xdr:nvPicPr>
        <xdr:cNvPr id="5" name="image5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1682115</xdr:colOff>
      <xdr:row>66</xdr:row>
      <xdr:rowOff>45720</xdr:rowOff>
    </xdr:from>
    <xdr:ext cx="1937385" cy="632460"/>
    <xdr:pic>
      <xdr:nvPicPr>
        <xdr:cNvPr id="6" name="image4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" cstate="print"/>
        <a:srcRect t="41972" r="29170" b="21170"/>
        <a:stretch/>
      </xdr:blipFill>
      <xdr:spPr>
        <a:xfrm>
          <a:off x="1682115" y="10767060"/>
          <a:ext cx="1937385" cy="63246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561975</xdr:colOff>
      <xdr:row>0</xdr:row>
      <xdr:rowOff>0</xdr:rowOff>
    </xdr:from>
    <xdr:ext cx="3810000" cy="1600200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778375" y="0"/>
          <a:ext cx="3810000" cy="16002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82991</xdr:colOff>
      <xdr:row>63</xdr:row>
      <xdr:rowOff>61617</xdr:rowOff>
    </xdr:from>
    <xdr:to>
      <xdr:col>1</xdr:col>
      <xdr:colOff>1650121</xdr:colOff>
      <xdr:row>65</xdr:row>
      <xdr:rowOff>140375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149" b="28596"/>
        <a:stretch/>
      </xdr:blipFill>
      <xdr:spPr>
        <a:xfrm>
          <a:off x="1931407" y="10201498"/>
          <a:ext cx="1567130" cy="4759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4308475</xdr:colOff>
      <xdr:row>9</xdr:row>
      <xdr:rowOff>47625</xdr:rowOff>
    </xdr:from>
    <xdr:ext cx="4838700" cy="6096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603875" y="1533525"/>
          <a:ext cx="4838700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Unit 6&amp;7 E.M Razon Commercial Building, San Pedro Camuning,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Mexico, Pampanga, Philippines 2021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09951119535 | clients@saikobuilders.com</a:t>
          </a:r>
          <a:endParaRPr sz="1400"/>
        </a:p>
      </xdr:txBody>
    </xdr:sp>
    <xdr:clientData fLocksWithSheet="0"/>
  </xdr:oneCellAnchor>
  <xdr:oneCellAnchor>
    <xdr:from>
      <xdr:col>3</xdr:col>
      <xdr:colOff>607671</xdr:colOff>
      <xdr:row>0</xdr:row>
      <xdr:rowOff>86810</xdr:rowOff>
    </xdr:from>
    <xdr:ext cx="3694254" cy="1514354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17431" t="18841" r="6670" b="14010"/>
        <a:stretch/>
      </xdr:blipFill>
      <xdr:spPr>
        <a:xfrm>
          <a:off x="6240684" y="86810"/>
          <a:ext cx="3694254" cy="1514354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653143</xdr:colOff>
      <xdr:row>0</xdr:row>
      <xdr:rowOff>96762</xdr:rowOff>
    </xdr:from>
    <xdr:ext cx="3193144" cy="156028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20666" t="20239" r="13601" b="7142"/>
        <a:stretch/>
      </xdr:blipFill>
      <xdr:spPr>
        <a:xfrm>
          <a:off x="6362095" y="96762"/>
          <a:ext cx="3193144" cy="1560286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2551339</xdr:colOff>
      <xdr:row>7</xdr:row>
      <xdr:rowOff>92528</xdr:rowOff>
    </xdr:from>
    <xdr:ext cx="4838700" cy="6096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3792310" y="1464128"/>
          <a:ext cx="4838700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Unit 6&amp;7 E.M Razon Commercial Building, San Pedro Camuning,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Mexico, Pampanga, Philippines 2021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09951119535 | clients@saikobuilders.com</a:t>
          </a:r>
          <a:endParaRPr sz="1400"/>
        </a:p>
      </xdr:txBody>
    </xdr:sp>
    <xdr:clientData fLocksWithSheet="0"/>
  </xdr:oneCellAnchor>
  <xdr:oneCellAnchor>
    <xdr:from>
      <xdr:col>3</xdr:col>
      <xdr:colOff>827314</xdr:colOff>
      <xdr:row>0</xdr:row>
      <xdr:rowOff>130629</xdr:rowOff>
    </xdr:from>
    <xdr:ext cx="3037114" cy="1447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22857" t="20669" r="14622" b="12763"/>
        <a:stretch/>
      </xdr:blipFill>
      <xdr:spPr>
        <a:xfrm>
          <a:off x="4778828" y="130629"/>
          <a:ext cx="3037114" cy="14478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63500</xdr:colOff>
      <xdr:row>8</xdr:row>
      <xdr:rowOff>9525</xdr:rowOff>
    </xdr:from>
    <xdr:ext cx="4838700" cy="6096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7137400" y="1330325"/>
          <a:ext cx="4838700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Unit 6&amp;7 E.M Razon Commercial Building, San Pedro Camuning,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Mexico, Pampanga, Philippines 2021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09951119535 | clients@saikobuilders.com</a:t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0</xdr:row>
      <xdr:rowOff>0</xdr:rowOff>
    </xdr:from>
    <xdr:ext cx="2743199" cy="1447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21456" t="13726" r="18161" b="11765"/>
        <a:stretch/>
      </xdr:blipFill>
      <xdr:spPr>
        <a:xfrm>
          <a:off x="8343900" y="0"/>
          <a:ext cx="2743199" cy="14478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228600</xdr:colOff>
      <xdr:row>8</xdr:row>
      <xdr:rowOff>41275</xdr:rowOff>
    </xdr:from>
    <xdr:ext cx="4838700" cy="6096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5283200" y="1362075"/>
          <a:ext cx="4838700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Unit 6&amp;7 E.M Razon Commercial Building, San Pedro Camuning,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Mexico, Pampanga, Philippines 2021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09951119535 | clients@saikobuilders.com</a:t>
          </a:r>
          <a:endParaRPr sz="1400"/>
        </a:p>
      </xdr:txBody>
    </xdr:sp>
    <xdr:clientData fLocksWithSheet="0"/>
  </xdr:oneCellAnchor>
  <xdr:oneCellAnchor>
    <xdr:from>
      <xdr:col>20</xdr:col>
      <xdr:colOff>177800</xdr:colOff>
      <xdr:row>0</xdr:row>
      <xdr:rowOff>50800</xdr:rowOff>
    </xdr:from>
    <xdr:ext cx="2641600" cy="13589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23734" t="22140" r="20800" b="15308"/>
        <a:stretch/>
      </xdr:blipFill>
      <xdr:spPr>
        <a:xfrm>
          <a:off x="6489700" y="50800"/>
          <a:ext cx="2641600" cy="13589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  <outlinePr summaryBelow="0" summaryRight="0"/>
    <pageSetUpPr fitToPage="1"/>
  </sheetPr>
  <dimension ref="A1:AB1019"/>
  <sheetViews>
    <sheetView tabSelected="1" view="pageBreakPreview" topLeftCell="A16" zoomScale="78" zoomScaleNormal="101" zoomScaleSheetLayoutView="78" workbookViewId="0">
      <selection activeCell="AD20" sqref="AD20"/>
    </sheetView>
  </sheetViews>
  <sheetFormatPr defaultColWidth="12.6640625" defaultRowHeight="13.2" x14ac:dyDescent="0.25"/>
  <cols>
    <col min="1" max="1" width="27" customWidth="1"/>
    <col min="2" max="2" width="34.44140625" customWidth="1"/>
    <col min="3" max="3" width="17.44140625" customWidth="1"/>
    <col min="4" max="4" width="15.109375" bestFit="1" customWidth="1"/>
    <col min="5" max="5" width="16.88671875" bestFit="1" customWidth="1"/>
    <col min="6" max="6" width="16.44140625" bestFit="1" customWidth="1"/>
    <col min="7" max="7" width="13.109375" hidden="1" customWidth="1"/>
    <col min="8" max="8" width="12.6640625" hidden="1" customWidth="1"/>
    <col min="9" max="10" width="14.6640625" hidden="1" customWidth="1"/>
    <col min="11" max="11" width="5.6640625" hidden="1" customWidth="1"/>
    <col min="12" max="14" width="20.77734375" customWidth="1"/>
    <col min="15" max="15" width="17.44140625" customWidth="1"/>
    <col min="16" max="27" width="17.44140625" hidden="1" customWidth="1"/>
    <col min="28" max="28" width="18.88671875" bestFit="1" customWidth="1"/>
  </cols>
  <sheetData>
    <row r="1" spans="1:27" x14ac:dyDescent="0.25">
      <c r="A1" s="1"/>
      <c r="B1" s="1"/>
      <c r="C1" s="2"/>
      <c r="D1" s="2"/>
      <c r="E1" s="2"/>
      <c r="F1" s="1"/>
      <c r="G1" s="1"/>
      <c r="H1" s="1"/>
      <c r="I1" s="1"/>
      <c r="J1" s="1"/>
      <c r="K1" s="1"/>
      <c r="L1" s="3"/>
      <c r="M1" s="3"/>
      <c r="N1" s="3"/>
      <c r="O1" s="1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25">
      <c r="A2" s="1"/>
      <c r="B2" s="1"/>
      <c r="C2" s="2"/>
      <c r="D2" s="2"/>
      <c r="E2" s="2"/>
      <c r="F2" s="1"/>
      <c r="G2" s="1"/>
      <c r="H2" s="1"/>
      <c r="I2" s="1"/>
      <c r="J2" s="1"/>
      <c r="K2" s="1"/>
      <c r="L2" s="3"/>
      <c r="M2" s="3"/>
      <c r="N2" s="3"/>
      <c r="O2" s="1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x14ac:dyDescent="0.25">
      <c r="A3" s="1"/>
      <c r="B3" s="1"/>
      <c r="C3" s="2"/>
      <c r="D3" s="2"/>
      <c r="E3" s="2"/>
      <c r="F3" s="1"/>
      <c r="G3" s="1"/>
      <c r="H3" s="1"/>
      <c r="I3" s="1"/>
      <c r="J3" s="1"/>
      <c r="K3" s="1"/>
      <c r="L3" s="3"/>
      <c r="M3" s="3"/>
      <c r="N3" s="3"/>
      <c r="O3" s="1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x14ac:dyDescent="0.25">
      <c r="A4" s="1"/>
      <c r="B4" s="1"/>
      <c r="C4" s="2"/>
      <c r="D4" s="2"/>
      <c r="E4" s="2"/>
      <c r="F4" s="1"/>
      <c r="G4" s="1"/>
      <c r="H4" s="1"/>
      <c r="I4" s="1"/>
      <c r="J4" s="1"/>
      <c r="K4" s="1"/>
      <c r="L4" s="3"/>
      <c r="M4" s="3"/>
      <c r="N4" s="3"/>
      <c r="O4" s="1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25">
      <c r="A5" s="1"/>
      <c r="B5" s="1"/>
      <c r="C5" s="2"/>
      <c r="D5" s="2"/>
      <c r="E5" s="2"/>
      <c r="F5" s="1"/>
      <c r="G5" s="1"/>
      <c r="H5" s="1"/>
      <c r="I5" s="1"/>
      <c r="J5" s="1"/>
      <c r="K5" s="1"/>
      <c r="L5" s="3"/>
      <c r="M5" s="3"/>
      <c r="N5" s="3"/>
      <c r="O5" s="1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3.8" x14ac:dyDescent="0.25">
      <c r="A6" s="5"/>
      <c r="B6" s="5"/>
      <c r="C6" s="6"/>
      <c r="D6" s="6"/>
      <c r="E6" s="6"/>
      <c r="F6" s="5"/>
      <c r="G6" s="5"/>
      <c r="H6" s="5"/>
      <c r="I6" s="5"/>
      <c r="J6" s="5"/>
      <c r="K6" s="5"/>
      <c r="L6" s="7"/>
      <c r="M6" s="7"/>
      <c r="N6" s="7"/>
      <c r="O6" s="5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5">
      <c r="A7" s="1"/>
      <c r="B7" s="1"/>
      <c r="C7" s="2"/>
      <c r="D7" s="2"/>
      <c r="E7" s="2"/>
      <c r="F7" s="1"/>
      <c r="G7" s="1"/>
      <c r="H7" s="1"/>
      <c r="I7" s="1"/>
      <c r="J7" s="1"/>
      <c r="K7" s="1"/>
      <c r="L7" s="3"/>
      <c r="M7" s="3"/>
      <c r="N7" s="3"/>
      <c r="O7" s="1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x14ac:dyDescent="0.25">
      <c r="A8" s="1"/>
      <c r="B8" s="1"/>
      <c r="C8" s="2"/>
      <c r="D8" s="2"/>
      <c r="E8" s="2"/>
      <c r="F8" s="1"/>
      <c r="G8" s="8"/>
      <c r="H8" s="1"/>
      <c r="I8" s="9"/>
      <c r="J8" s="9"/>
      <c r="K8" s="9"/>
      <c r="L8" s="3"/>
      <c r="M8" s="3"/>
      <c r="N8" s="3"/>
      <c r="O8" s="1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25">
      <c r="A9" s="1"/>
      <c r="B9" s="1"/>
      <c r="C9" s="2"/>
      <c r="D9" s="2"/>
      <c r="E9" s="2"/>
      <c r="F9" s="1"/>
      <c r="G9" s="8"/>
      <c r="H9" s="1"/>
      <c r="I9" s="9"/>
      <c r="J9" s="9"/>
      <c r="K9" s="9"/>
      <c r="L9" s="3"/>
      <c r="M9" s="3"/>
      <c r="N9" s="3"/>
      <c r="O9" s="1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1"/>
      <c r="B10" s="1"/>
      <c r="C10" s="2"/>
      <c r="D10" s="2"/>
      <c r="E10" s="2"/>
      <c r="F10" s="1"/>
      <c r="G10" s="8"/>
      <c r="H10" s="1"/>
      <c r="I10" s="9"/>
      <c r="J10" s="9"/>
      <c r="K10" s="9"/>
      <c r="L10" s="3"/>
      <c r="M10" s="3"/>
      <c r="N10" s="3"/>
      <c r="O10" s="1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1"/>
      <c r="B11" s="1"/>
      <c r="C11" s="2"/>
      <c r="D11" s="2"/>
      <c r="E11" s="2"/>
      <c r="F11" s="1"/>
      <c r="G11" s="8"/>
      <c r="H11" s="1"/>
      <c r="I11" s="9"/>
      <c r="J11" s="9"/>
      <c r="K11" s="9"/>
      <c r="L11" s="3"/>
      <c r="M11" s="3"/>
      <c r="N11" s="3"/>
      <c r="O11" s="1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1"/>
      <c r="B12" s="1"/>
      <c r="C12" s="2"/>
      <c r="D12" s="2"/>
      <c r="E12" s="2"/>
      <c r="F12" s="1"/>
      <c r="G12" s="8"/>
      <c r="H12" s="1"/>
      <c r="I12" s="9"/>
      <c r="J12" s="9"/>
      <c r="K12" s="9"/>
      <c r="L12" s="3"/>
      <c r="M12" s="3"/>
      <c r="N12" s="3"/>
      <c r="O12" s="1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3.8" x14ac:dyDescent="0.25">
      <c r="A13" s="1"/>
      <c r="B13" s="1"/>
      <c r="C13" s="2"/>
      <c r="D13" s="2"/>
      <c r="E13" s="2"/>
      <c r="F13" s="1"/>
      <c r="G13" s="8"/>
      <c r="H13" s="1"/>
      <c r="I13" s="9"/>
      <c r="J13" s="9"/>
      <c r="K13" s="9"/>
      <c r="L13" s="7"/>
      <c r="M13" s="7"/>
      <c r="N13" s="7"/>
      <c r="O13" s="5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3.8" x14ac:dyDescent="0.25">
      <c r="A14" s="10" t="s">
        <v>0</v>
      </c>
      <c r="B14" s="483" t="s">
        <v>1</v>
      </c>
      <c r="C14" s="484"/>
      <c r="D14" s="484"/>
      <c r="E14" s="484"/>
      <c r="F14" s="484"/>
      <c r="G14" s="484"/>
      <c r="H14" s="485"/>
      <c r="I14" s="9"/>
      <c r="J14" s="9"/>
      <c r="K14" s="9"/>
      <c r="L14" s="3"/>
      <c r="M14" s="3"/>
      <c r="N14" s="3"/>
      <c r="O14" s="1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3.8" x14ac:dyDescent="0.25">
      <c r="A15" s="10" t="s">
        <v>2</v>
      </c>
      <c r="B15" s="483" t="s">
        <v>3</v>
      </c>
      <c r="C15" s="484"/>
      <c r="D15" s="484"/>
      <c r="E15" s="484"/>
      <c r="F15" s="484"/>
      <c r="G15" s="484"/>
      <c r="H15" s="485"/>
      <c r="I15" s="9"/>
      <c r="J15" s="9"/>
      <c r="K15" s="9"/>
      <c r="L15" s="3"/>
      <c r="M15" s="3"/>
      <c r="N15" s="3"/>
      <c r="O15" s="1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3.8" x14ac:dyDescent="0.25">
      <c r="A16" s="10" t="s">
        <v>4</v>
      </c>
      <c r="B16" s="486">
        <f ca="1">TODAY()</f>
        <v>46251</v>
      </c>
      <c r="C16" s="484"/>
      <c r="D16" s="484"/>
      <c r="E16" s="484"/>
      <c r="F16" s="484"/>
      <c r="G16" s="484"/>
      <c r="H16" s="485"/>
      <c r="I16" s="9"/>
      <c r="J16" s="9"/>
      <c r="K16" s="9"/>
      <c r="L16" s="3"/>
      <c r="M16" s="3"/>
      <c r="N16" s="3"/>
      <c r="O16" s="1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x14ac:dyDescent="0.25">
      <c r="A17" s="1"/>
      <c r="B17" s="1"/>
      <c r="C17" s="2"/>
      <c r="D17" s="2"/>
      <c r="E17" s="2"/>
      <c r="F17" s="1"/>
      <c r="G17" s="8"/>
      <c r="H17" s="1"/>
      <c r="I17" s="9"/>
      <c r="J17" s="9"/>
      <c r="K17" s="9"/>
      <c r="L17" s="3"/>
      <c r="M17" s="3"/>
      <c r="N17" s="3"/>
      <c r="O17" s="1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25">
      <c r="A18" s="11"/>
      <c r="B18" s="11"/>
      <c r="C18" s="12" t="s">
        <v>5</v>
      </c>
      <c r="D18" s="13">
        <v>387.9</v>
      </c>
      <c r="E18" s="14" t="s">
        <v>6</v>
      </c>
      <c r="F18" s="11"/>
      <c r="G18" s="15"/>
      <c r="H18" s="11"/>
      <c r="I18" s="9"/>
      <c r="J18" s="9"/>
      <c r="K18" s="9"/>
      <c r="L18" s="3"/>
      <c r="M18" s="3"/>
      <c r="N18" s="3"/>
      <c r="O18" s="1"/>
      <c r="P18" s="4"/>
      <c r="Q18" s="4">
        <v>3500</v>
      </c>
      <c r="R18" s="4" t="s">
        <v>7</v>
      </c>
      <c r="S18" s="4"/>
      <c r="T18" s="4"/>
      <c r="U18" s="4"/>
      <c r="V18" s="4"/>
      <c r="W18" s="4"/>
      <c r="X18" s="4"/>
      <c r="Y18" s="4"/>
      <c r="Z18" s="4"/>
      <c r="AA18" s="4"/>
    </row>
    <row r="19" spans="1:27" ht="27.6" x14ac:dyDescent="0.25">
      <c r="A19" s="16" t="s">
        <v>8</v>
      </c>
      <c r="B19" s="16" t="s">
        <v>9</v>
      </c>
      <c r="C19" s="16" t="s">
        <v>10</v>
      </c>
      <c r="D19" s="16" t="s">
        <v>11</v>
      </c>
      <c r="E19" s="16" t="s">
        <v>12</v>
      </c>
      <c r="F19" s="17" t="s">
        <v>13</v>
      </c>
      <c r="G19" s="17"/>
      <c r="H19" s="17"/>
      <c r="I19" s="17"/>
      <c r="J19" s="17"/>
      <c r="K19" s="17"/>
      <c r="L19" s="487" t="s">
        <v>14</v>
      </c>
      <c r="M19" s="488"/>
      <c r="N19" s="489"/>
      <c r="O19" s="18" t="s">
        <v>15</v>
      </c>
      <c r="P19" s="19"/>
      <c r="Q19" s="19">
        <v>2000</v>
      </c>
      <c r="R19" s="19" t="s">
        <v>16</v>
      </c>
      <c r="S19" s="19"/>
      <c r="T19" s="19"/>
      <c r="U19" s="19"/>
      <c r="V19" s="19"/>
      <c r="W19" s="19"/>
      <c r="X19" s="19"/>
      <c r="Y19" s="19"/>
      <c r="Z19" s="19"/>
      <c r="AA19" s="19"/>
    </row>
    <row r="20" spans="1:27" x14ac:dyDescent="0.25">
      <c r="A20" s="20" t="s">
        <v>17</v>
      </c>
      <c r="B20" s="21" t="s">
        <v>18</v>
      </c>
      <c r="C20" s="22"/>
      <c r="D20" s="22"/>
      <c r="E20" s="22"/>
      <c r="F20" s="20" t="s">
        <v>19</v>
      </c>
      <c r="G20" s="23">
        <v>1900000</v>
      </c>
      <c r="H20" s="20"/>
      <c r="I20" s="20"/>
      <c r="J20" s="20"/>
      <c r="K20" s="20"/>
      <c r="L20" s="24" t="s">
        <v>20</v>
      </c>
      <c r="M20" s="24" t="s">
        <v>19</v>
      </c>
      <c r="N20" s="24" t="s">
        <v>21</v>
      </c>
      <c r="O20" s="25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x14ac:dyDescent="0.25">
      <c r="A21" s="27"/>
      <c r="B21" s="28" t="s">
        <v>22</v>
      </c>
      <c r="C21" s="29">
        <f>BOQ!I31</f>
        <v>599000</v>
      </c>
      <c r="D21" s="29">
        <f>C21/$D$18</f>
        <v>1544.2124258829597</v>
      </c>
      <c r="E21" s="475">
        <f>C21/$C$39</f>
        <v>6.5068215008954558E-2</v>
      </c>
      <c r="F21" s="30">
        <f>BOQ!V31</f>
        <v>157250</v>
      </c>
      <c r="G21" s="31"/>
      <c r="H21" s="32"/>
      <c r="I21" s="32"/>
      <c r="J21" s="32"/>
      <c r="K21" s="32"/>
      <c r="L21" s="33">
        <f>SUM(BOQ!AU31:BB31)</f>
        <v>0.5</v>
      </c>
      <c r="M21" s="33">
        <f>F21/C21</f>
        <v>0.26252086811352254</v>
      </c>
      <c r="N21" s="33">
        <f>L21+M21</f>
        <v>0.76252086811352249</v>
      </c>
      <c r="O21" s="34">
        <f>C21-(N21*C21)</f>
        <v>142250.00000000006</v>
      </c>
      <c r="P21" s="35"/>
      <c r="Q21" s="35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5">
      <c r="A22" s="20" t="s">
        <v>23</v>
      </c>
      <c r="B22" s="21" t="s">
        <v>24</v>
      </c>
      <c r="C22" s="22"/>
      <c r="D22" s="22"/>
      <c r="E22" s="476"/>
      <c r="F22" s="25"/>
      <c r="G22" s="36"/>
      <c r="H22" s="25"/>
      <c r="I22" s="25"/>
      <c r="J22" s="25"/>
      <c r="K22" s="25"/>
      <c r="L22" s="37"/>
      <c r="M22" s="37"/>
      <c r="N22" s="37"/>
      <c r="O22" s="25"/>
      <c r="P22" s="35"/>
      <c r="Q22" s="35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x14ac:dyDescent="0.25">
      <c r="A23" s="32"/>
      <c r="B23" s="38" t="s">
        <v>25</v>
      </c>
      <c r="C23" s="34">
        <f>BOQ!$I$167</f>
        <v>942300.43814511341</v>
      </c>
      <c r="D23" s="34">
        <f t="shared" ref="D23:D27" si="0">C23/$D$18</f>
        <v>2429.2354682781993</v>
      </c>
      <c r="E23" s="477">
        <f t="shared" ref="E23:E27" si="1">C23/$C$39</f>
        <v>0.10236027965318585</v>
      </c>
      <c r="F23" s="30">
        <f>BOQ!V167</f>
        <v>134756.62733235105</v>
      </c>
      <c r="G23" s="39">
        <f>G20/C26</f>
        <v>0.78448387638043904</v>
      </c>
      <c r="H23" s="39">
        <f>1-G23</f>
        <v>0.21551612361956096</v>
      </c>
      <c r="I23" s="32"/>
      <c r="J23" s="30">
        <f>SUM(C23:C27)*0.15</f>
        <v>1100379.819780767</v>
      </c>
      <c r="K23" s="32"/>
      <c r="L23" s="33">
        <f>SUM(BOQ!AU167:BB167)</f>
        <v>0.86075455469544149</v>
      </c>
      <c r="M23" s="33">
        <f>BOQ!Y167</f>
        <v>0.1392000938306357</v>
      </c>
      <c r="N23" s="33">
        <f t="shared" ref="N23:N27" si="2">M23+L23</f>
        <v>0.99995464852607718</v>
      </c>
      <c r="O23" s="34">
        <f t="shared" ref="O23:O27" si="3">C23-(N23*C23)</f>
        <v>42.734713747981004</v>
      </c>
      <c r="P23" s="35"/>
      <c r="Q23" s="35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5">
      <c r="A24" s="32"/>
      <c r="B24" s="38" t="s">
        <v>26</v>
      </c>
      <c r="C24" s="34">
        <f>BOQ!I232</f>
        <v>368899.08</v>
      </c>
      <c r="D24" s="34">
        <f t="shared" si="0"/>
        <v>951.01593194122211</v>
      </c>
      <c r="E24" s="477">
        <f t="shared" si="1"/>
        <v>4.0072795749658649E-2</v>
      </c>
      <c r="F24" s="30">
        <f>BOQ!V232</f>
        <v>77840.030400000003</v>
      </c>
      <c r="G24" s="31"/>
      <c r="H24" s="32"/>
      <c r="I24" s="32"/>
      <c r="J24" s="32"/>
      <c r="K24" s="32"/>
      <c r="L24" s="33">
        <f>SUM(BOQ!AU232:BB232)</f>
        <v>0.84250000000000003</v>
      </c>
      <c r="M24" s="33">
        <v>0.09</v>
      </c>
      <c r="N24" s="33">
        <f t="shared" si="2"/>
        <v>0.9325</v>
      </c>
      <c r="O24" s="34">
        <f t="shared" si="3"/>
        <v>24900.687900000019</v>
      </c>
      <c r="P24" s="35"/>
      <c r="Q24" s="35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5">
      <c r="A25" s="32"/>
      <c r="B25" s="38" t="s">
        <v>27</v>
      </c>
      <c r="C25" s="34">
        <f>wall!I127</f>
        <v>2040984.1760000002</v>
      </c>
      <c r="D25" s="34">
        <f t="shared" si="0"/>
        <v>5261.6245836555818</v>
      </c>
      <c r="E25" s="477">
        <f t="shared" si="1"/>
        <v>0.22170817561576289</v>
      </c>
      <c r="F25" s="30">
        <f>wall!V127</f>
        <v>655611.89760000003</v>
      </c>
      <c r="G25" s="31">
        <f>C26*H23</f>
        <v>521974.5710600001</v>
      </c>
      <c r="H25" s="32"/>
      <c r="I25" s="32"/>
      <c r="J25" s="32"/>
      <c r="K25" s="32"/>
      <c r="L25" s="33">
        <f>SUM(wall!BB127:BI127)</f>
        <v>0.32323129251700677</v>
      </c>
      <c r="M25" s="33">
        <f>wall!Y127</f>
        <v>0.34305442176870754</v>
      </c>
      <c r="N25" s="33">
        <f t="shared" si="2"/>
        <v>0.66628571428571437</v>
      </c>
      <c r="O25" s="34">
        <f t="shared" si="3"/>
        <v>681105.5764479998</v>
      </c>
      <c r="P25" s="35"/>
      <c r="Q25" s="35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5">
      <c r="A26" s="32"/>
      <c r="B26" s="38" t="s">
        <v>28</v>
      </c>
      <c r="C26" s="34">
        <f>SUM(CABINETS!I68,CABINETS!I155,CABINETS!I238)</f>
        <v>2421974.57106</v>
      </c>
      <c r="D26" s="34">
        <f t="shared" si="0"/>
        <v>6243.8117325599387</v>
      </c>
      <c r="E26" s="477">
        <f t="shared" si="1"/>
        <v>0.26309442760593083</v>
      </c>
      <c r="F26" s="30">
        <f>CABINETS!AD239</f>
        <v>996590.49745199992</v>
      </c>
      <c r="G26" s="31"/>
      <c r="H26" s="32"/>
      <c r="I26" s="32"/>
      <c r="J26" s="32"/>
      <c r="K26" s="32"/>
      <c r="L26" s="33">
        <f>SUM(CABINETS!BC239:BJ239)</f>
        <v>0.12028571428571427</v>
      </c>
      <c r="M26" s="33">
        <f>CABINETS!AG239</f>
        <v>0.36208465608465606</v>
      </c>
      <c r="N26" s="33">
        <f t="shared" si="2"/>
        <v>0.48237037037037034</v>
      </c>
      <c r="O26" s="34">
        <f t="shared" si="3"/>
        <v>1253685.8001901689</v>
      </c>
      <c r="P26" s="35"/>
      <c r="Q26" s="35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5">
      <c r="A27" s="32"/>
      <c r="B27" s="38" t="s">
        <v>29</v>
      </c>
      <c r="C27" s="34">
        <f>'DOORS &amp; WINDOW, PLUMBING, WOODE'!H56</f>
        <v>1561707.2000000002</v>
      </c>
      <c r="D27" s="34">
        <f t="shared" si="0"/>
        <v>4026.0562000515606</v>
      </c>
      <c r="E27" s="477">
        <f t="shared" si="1"/>
        <v>0.16964524185414426</v>
      </c>
      <c r="F27" s="30">
        <f>'DOORS &amp; WINDOW, PLUMBING, WOODE'!O56</f>
        <v>241863.6</v>
      </c>
      <c r="G27" s="31"/>
      <c r="H27" s="32"/>
      <c r="I27" s="32"/>
      <c r="J27" s="32"/>
      <c r="K27" s="32"/>
      <c r="L27" s="33">
        <f>SUM('DOORS &amp; WINDOW, PLUMBING, WOODE'!AN56:AU56)</f>
        <v>0.54761904761904756</v>
      </c>
      <c r="M27" s="33">
        <f>'DOORS &amp; WINDOW, PLUMBING, WOODE'!R56</f>
        <v>4.7619047619047616E-2</v>
      </c>
      <c r="N27" s="33">
        <f t="shared" si="2"/>
        <v>0.59523809523809512</v>
      </c>
      <c r="O27" s="34">
        <f t="shared" si="3"/>
        <v>632119.58095238125</v>
      </c>
      <c r="P27" s="35"/>
      <c r="Q27" s="35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3.8" x14ac:dyDescent="0.25">
      <c r="A28" s="40"/>
      <c r="B28" s="41" t="s">
        <v>30</v>
      </c>
      <c r="C28" s="42">
        <f t="shared" ref="C28:K28" si="4">SUM(C23:C27)</f>
        <v>7335865.4652051134</v>
      </c>
      <c r="D28" s="42">
        <f t="shared" si="4"/>
        <v>18911.743916486503</v>
      </c>
      <c r="E28" s="478">
        <f t="shared" si="4"/>
        <v>0.79688092047868242</v>
      </c>
      <c r="F28" s="42">
        <f t="shared" si="4"/>
        <v>2106662.6527843508</v>
      </c>
      <c r="G28" s="42">
        <f t="shared" si="4"/>
        <v>521975.35554387647</v>
      </c>
      <c r="H28" s="42">
        <f t="shared" si="4"/>
        <v>0.21551612361956096</v>
      </c>
      <c r="I28" s="42">
        <f t="shared" si="4"/>
        <v>0</v>
      </c>
      <c r="J28" s="42">
        <f t="shared" si="4"/>
        <v>1100379.819780767</v>
      </c>
      <c r="K28" s="42">
        <f t="shared" si="4"/>
        <v>0</v>
      </c>
      <c r="L28" s="43">
        <f t="shared" ref="L28:N28" si="5">SUM(L23:L27)/COUNT(L23:L27)</f>
        <v>0.53887812182344197</v>
      </c>
      <c r="M28" s="43">
        <f t="shared" si="5"/>
        <v>0.19639164386060939</v>
      </c>
      <c r="N28" s="43">
        <f t="shared" si="5"/>
        <v>0.73526976568405134</v>
      </c>
      <c r="O28" s="42">
        <f>SUM(O23:O27)</f>
        <v>2591854.3802042981</v>
      </c>
      <c r="P28" s="35"/>
      <c r="Q28" s="35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 spans="1:27" x14ac:dyDescent="0.25">
      <c r="A29" s="20" t="s">
        <v>31</v>
      </c>
      <c r="B29" s="21" t="s">
        <v>32</v>
      </c>
      <c r="C29" s="22"/>
      <c r="D29" s="22"/>
      <c r="E29" s="476"/>
      <c r="F29" s="25"/>
      <c r="G29" s="36"/>
      <c r="H29" s="25"/>
      <c r="I29" s="25"/>
      <c r="J29" s="25"/>
      <c r="K29" s="25"/>
      <c r="L29" s="37"/>
      <c r="M29" s="37"/>
      <c r="N29" s="37"/>
      <c r="O29" s="25"/>
      <c r="P29" s="35"/>
      <c r="Q29" s="35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 x14ac:dyDescent="0.25">
      <c r="A30" s="32"/>
      <c r="B30" s="38" t="s">
        <v>33</v>
      </c>
      <c r="C30" s="34">
        <f>'DOORS &amp; WINDOW, PLUMBING, WOODE'!H66</f>
        <v>56500</v>
      </c>
      <c r="D30" s="34">
        <f>C30/$D$18</f>
        <v>145.65609693219903</v>
      </c>
      <c r="E30" s="477">
        <f>C30/$C$39</f>
        <v>6.137486056771173E-3</v>
      </c>
      <c r="F30" s="30">
        <f>'DOORS &amp; WINDOW, PLUMBING, WOODE'!O66</f>
        <v>0</v>
      </c>
      <c r="G30" s="31"/>
      <c r="H30" s="32"/>
      <c r="I30" s="32"/>
      <c r="J30" s="32"/>
      <c r="K30" s="32"/>
      <c r="L30" s="33">
        <f>SUM('DOORS &amp; WINDOW, PLUMBING, WOODE'!AN66:AU66)</f>
        <v>0</v>
      </c>
      <c r="M30" s="33">
        <f>'DOORS &amp; WINDOW, PLUMBING, WOODE'!R66/C30</f>
        <v>0</v>
      </c>
      <c r="N30" s="33">
        <f>M30+L30</f>
        <v>0</v>
      </c>
      <c r="O30" s="34">
        <f>C30-(N30*C30)</f>
        <v>56500</v>
      </c>
      <c r="P30" s="35"/>
      <c r="Q30" s="35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3.8" x14ac:dyDescent="0.25">
      <c r="A31" s="40"/>
      <c r="B31" s="41" t="s">
        <v>34</v>
      </c>
      <c r="C31" s="42">
        <f t="shared" ref="C31:O31" si="6">SUM(C30)</f>
        <v>56500</v>
      </c>
      <c r="D31" s="42">
        <f t="shared" si="6"/>
        <v>145.65609693219903</v>
      </c>
      <c r="E31" s="478">
        <f t="shared" si="6"/>
        <v>6.137486056771173E-3</v>
      </c>
      <c r="F31" s="42">
        <f t="shared" si="6"/>
        <v>0</v>
      </c>
      <c r="G31" s="42">
        <f t="shared" si="6"/>
        <v>0</v>
      </c>
      <c r="H31" s="42">
        <f t="shared" si="6"/>
        <v>0</v>
      </c>
      <c r="I31" s="42">
        <f t="shared" si="6"/>
        <v>0</v>
      </c>
      <c r="J31" s="42">
        <f t="shared" si="6"/>
        <v>0</v>
      </c>
      <c r="K31" s="42">
        <f t="shared" si="6"/>
        <v>0</v>
      </c>
      <c r="L31" s="43">
        <f t="shared" si="6"/>
        <v>0</v>
      </c>
      <c r="M31" s="43">
        <f t="shared" si="6"/>
        <v>0</v>
      </c>
      <c r="N31" s="43">
        <f t="shared" si="6"/>
        <v>0</v>
      </c>
      <c r="O31" s="42">
        <f t="shared" si="6"/>
        <v>56500</v>
      </c>
      <c r="P31" s="35"/>
      <c r="Q31" s="3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27" x14ac:dyDescent="0.25">
      <c r="A32" s="20" t="s">
        <v>35</v>
      </c>
      <c r="B32" s="21" t="s">
        <v>36</v>
      </c>
      <c r="C32" s="22"/>
      <c r="D32" s="22"/>
      <c r="E32" s="476"/>
      <c r="F32" s="25"/>
      <c r="G32" s="36"/>
      <c r="H32" s="25"/>
      <c r="I32" s="25"/>
      <c r="J32" s="25"/>
      <c r="K32" s="25"/>
      <c r="L32" s="37"/>
      <c r="M32" s="37"/>
      <c r="N32" s="37"/>
      <c r="O32" s="25"/>
      <c r="P32" s="35"/>
      <c r="Q32" s="35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8" x14ac:dyDescent="0.25">
      <c r="A33" s="32"/>
      <c r="B33" s="38" t="s">
        <v>37</v>
      </c>
      <c r="C33" s="34">
        <f>ELECTRICAL!I41</f>
        <v>607624</v>
      </c>
      <c r="D33" s="34">
        <f t="shared" ref="D33:D38" si="7">C33/$D$18</f>
        <v>1566.4449600412479</v>
      </c>
      <c r="E33" s="477">
        <f t="shared" ref="E33:E37" si="8">C33/$C$39</f>
        <v>6.6005023500168625E-2</v>
      </c>
      <c r="F33" s="30">
        <f>ELECTRICAL!Z41</f>
        <v>121524.8</v>
      </c>
      <c r="G33" s="31"/>
      <c r="H33" s="32"/>
      <c r="I33" s="32"/>
      <c r="J33" s="32"/>
      <c r="K33" s="32"/>
      <c r="L33" s="33">
        <f>SUM(ELECTRICAL!AY41:BF41)</f>
        <v>0</v>
      </c>
      <c r="M33" s="33">
        <f>ELECTRICAL!AC41</f>
        <v>0.19999999999999998</v>
      </c>
      <c r="N33" s="33">
        <f t="shared" ref="N33:N37" si="9">M33+L33</f>
        <v>0.19999999999999998</v>
      </c>
      <c r="O33" s="34">
        <f t="shared" ref="O33:O37" si="10">C33-(N33*C33)</f>
        <v>486099.20000000001</v>
      </c>
      <c r="P33" s="35"/>
      <c r="Q33" s="35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8" x14ac:dyDescent="0.25">
      <c r="A34" s="32"/>
      <c r="B34" s="38" t="s">
        <v>38</v>
      </c>
      <c r="C34" s="34">
        <f>ELECTRICAL!I29</f>
        <v>38841</v>
      </c>
      <c r="D34" s="34">
        <f t="shared" si="7"/>
        <v>100.13147718484146</v>
      </c>
      <c r="E34" s="477">
        <f t="shared" si="8"/>
        <v>4.2192229368327285E-3</v>
      </c>
      <c r="F34" s="30">
        <f>ELECTRICAL!Z29</f>
        <v>14368.75</v>
      </c>
      <c r="G34" s="31"/>
      <c r="H34" s="32"/>
      <c r="I34" s="32"/>
      <c r="J34" s="32"/>
      <c r="K34" s="32"/>
      <c r="L34" s="33">
        <f>SUM(ELECTRICAL!AY29:BF29)</f>
        <v>0</v>
      </c>
      <c r="M34" s="33">
        <f>ELECTRICAL!AC29</f>
        <v>0.3666666666666667</v>
      </c>
      <c r="N34" s="33">
        <f t="shared" si="9"/>
        <v>0.3666666666666667</v>
      </c>
      <c r="O34" s="34">
        <f t="shared" si="10"/>
        <v>24599.3</v>
      </c>
      <c r="P34" s="35"/>
      <c r="Q34" s="35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8" x14ac:dyDescent="0.25">
      <c r="A35" s="32"/>
      <c r="B35" s="38" t="s">
        <v>39</v>
      </c>
      <c r="C35" s="34">
        <f>ELECTRICAL!I24</f>
        <v>66825</v>
      </c>
      <c r="D35" s="34">
        <f t="shared" si="7"/>
        <v>172.2737819025522</v>
      </c>
      <c r="E35" s="477">
        <f t="shared" si="8"/>
        <v>7.25907089811918E-3</v>
      </c>
      <c r="F35" s="30">
        <f>ELECTRICAL!Z24</f>
        <v>26730</v>
      </c>
      <c r="G35" s="31">
        <f>C26+C23+C24+C25+C27</f>
        <v>7335865.4652051134</v>
      </c>
      <c r="H35" s="32"/>
      <c r="I35" s="32"/>
      <c r="J35" s="32"/>
      <c r="K35" s="32"/>
      <c r="L35" s="33">
        <f>SUM(ELECTRICAL!AY24:BF24)</f>
        <v>0</v>
      </c>
      <c r="M35" s="33">
        <f>ELECTRICAL!AC24</f>
        <v>0.4</v>
      </c>
      <c r="N35" s="33">
        <f t="shared" si="9"/>
        <v>0.4</v>
      </c>
      <c r="O35" s="34">
        <f t="shared" si="10"/>
        <v>40095</v>
      </c>
      <c r="P35" s="35"/>
      <c r="Q35" s="35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8" x14ac:dyDescent="0.25">
      <c r="A36" s="32"/>
      <c r="B36" s="38" t="s">
        <v>40</v>
      </c>
      <c r="C36" s="34">
        <f>ELECTRICAL!I49</f>
        <v>375412.6761000001</v>
      </c>
      <c r="D36" s="34">
        <f t="shared" si="7"/>
        <v>967.80787857695316</v>
      </c>
      <c r="E36" s="477">
        <f t="shared" si="8"/>
        <v>4.0780355134493865E-2</v>
      </c>
      <c r="F36" s="30">
        <f>ELECTRICAL!Z49</f>
        <v>96533.402515000023</v>
      </c>
      <c r="G36" s="31"/>
      <c r="H36" s="32"/>
      <c r="I36" s="32"/>
      <c r="J36" s="32"/>
      <c r="K36" s="32"/>
      <c r="L36" s="33">
        <f>SUM(ELECTRICAL!AY49:BF49)</f>
        <v>0.69750000000000001</v>
      </c>
      <c r="M36" s="33">
        <f>ELECTRICAL!AC49</f>
        <v>0.21249999999999999</v>
      </c>
      <c r="N36" s="33">
        <f t="shared" si="9"/>
        <v>0.91</v>
      </c>
      <c r="O36" s="34">
        <f t="shared" si="10"/>
        <v>33787.140849000018</v>
      </c>
      <c r="P36" s="35"/>
      <c r="Q36" s="35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8" x14ac:dyDescent="0.25">
      <c r="A37" s="32"/>
      <c r="B37" s="38" t="s">
        <v>41</v>
      </c>
      <c r="C37" s="34">
        <f>ELECTRICAL!I77</f>
        <v>125655.41999999998</v>
      </c>
      <c r="D37" s="34">
        <f t="shared" si="7"/>
        <v>323.93766434648103</v>
      </c>
      <c r="E37" s="477">
        <f t="shared" si="8"/>
        <v>1.3649705985977442E-2</v>
      </c>
      <c r="F37" s="30">
        <f>ELECTRICAL!Z77</f>
        <v>13471.7</v>
      </c>
      <c r="G37" s="31"/>
      <c r="H37" s="32"/>
      <c r="I37" s="32"/>
      <c r="J37" s="32"/>
      <c r="K37" s="32"/>
      <c r="L37" s="33">
        <f>SUM(ELECTRICAL!AY77:BF77)</f>
        <v>0</v>
      </c>
      <c r="M37" s="33">
        <f>ELECTRICAL!AC77</f>
        <v>8.3333333333333329E-2</v>
      </c>
      <c r="N37" s="33">
        <f t="shared" si="9"/>
        <v>8.3333333333333329E-2</v>
      </c>
      <c r="O37" s="34">
        <f t="shared" si="10"/>
        <v>115184.13499999998</v>
      </c>
      <c r="P37" s="35"/>
      <c r="Q37" s="35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8" ht="13.8" x14ac:dyDescent="0.25">
      <c r="A38" s="40"/>
      <c r="B38" s="41" t="s">
        <v>42</v>
      </c>
      <c r="C38" s="42">
        <f>SUM(C33:C37)</f>
        <v>1214358.0961</v>
      </c>
      <c r="D38" s="29">
        <f t="shared" si="7"/>
        <v>3130.5957620520753</v>
      </c>
      <c r="E38" s="478">
        <f>SUM(E33:E37)</f>
        <v>0.13191337845559184</v>
      </c>
      <c r="F38" s="46">
        <f>ELECTRICAL!Z78</f>
        <v>272628.65251500002</v>
      </c>
      <c r="G38" s="46">
        <f>ELECTRICAL!AA78</f>
        <v>272628.65251500002</v>
      </c>
      <c r="H38" s="46">
        <f>ELECTRICAL!AB78</f>
        <v>941729.443585</v>
      </c>
      <c r="I38" s="43">
        <f>ELECTRICAL!AC78</f>
        <v>0.25250000000000006</v>
      </c>
      <c r="J38" s="40">
        <f>ELECTRICAL!AD78</f>
        <v>0</v>
      </c>
      <c r="K38" s="40">
        <f>ELECTRICAL!AE78</f>
        <v>0</v>
      </c>
      <c r="L38" s="43">
        <f t="shared" ref="L38:N38" si="11">SUM(L33:L37)/COUNT(L33:L37)</f>
        <v>0.13950000000000001</v>
      </c>
      <c r="M38" s="43">
        <f t="shared" si="11"/>
        <v>0.2525</v>
      </c>
      <c r="N38" s="43">
        <f t="shared" si="11"/>
        <v>0.39200000000000002</v>
      </c>
      <c r="O38" s="29">
        <f>SUM(O33:O37)</f>
        <v>699764.77584900009</v>
      </c>
      <c r="P38" s="35"/>
      <c r="Q38" s="35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 spans="1:28" ht="13.8" x14ac:dyDescent="0.25">
      <c r="A39" s="47"/>
      <c r="B39" s="48" t="s">
        <v>43</v>
      </c>
      <c r="C39" s="49">
        <f t="shared" ref="C39:K39" si="12">SUM(C31,C38,C28,C21)</f>
        <v>9205723.5613051131</v>
      </c>
      <c r="D39" s="49">
        <f t="shared" si="12"/>
        <v>23732.208201353737</v>
      </c>
      <c r="E39" s="479">
        <f t="shared" si="12"/>
        <v>1</v>
      </c>
      <c r="F39" s="49">
        <f t="shared" si="12"/>
        <v>2536541.305299351</v>
      </c>
      <c r="G39" s="49">
        <f t="shared" si="12"/>
        <v>794604.0080588765</v>
      </c>
      <c r="H39" s="49">
        <f t="shared" si="12"/>
        <v>941729.65910112357</v>
      </c>
      <c r="I39" s="49">
        <f t="shared" si="12"/>
        <v>0.25250000000000006</v>
      </c>
      <c r="J39" s="49">
        <f t="shared" si="12"/>
        <v>1100379.819780767</v>
      </c>
      <c r="K39" s="49">
        <f t="shared" si="12"/>
        <v>0</v>
      </c>
      <c r="L39" s="50">
        <f t="shared" ref="L39:N39" si="13">SUM(L31,L38,L28,L21)/4</f>
        <v>0.29459453045586048</v>
      </c>
      <c r="M39" s="50">
        <f t="shared" si="13"/>
        <v>0.17785312799353298</v>
      </c>
      <c r="N39" s="50">
        <f t="shared" si="13"/>
        <v>0.47244765844939346</v>
      </c>
      <c r="O39" s="49">
        <f>SUM(O31,O38,O28,O21)</f>
        <v>3490369.1560532982</v>
      </c>
      <c r="P39" s="35"/>
      <c r="Q39" s="35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 spans="1:28" x14ac:dyDescent="0.25">
      <c r="A40" s="52"/>
      <c r="B40" s="53" t="s">
        <v>44</v>
      </c>
      <c r="C40" s="54">
        <f>C39*0.07</f>
        <v>644400.64929135796</v>
      </c>
      <c r="D40" s="54"/>
      <c r="E40" s="480"/>
      <c r="F40" s="55">
        <f t="shared" ref="F40:F43" si="14">M40*C40</f>
        <v>114608.67115753164</v>
      </c>
      <c r="G40" s="56"/>
      <c r="H40" s="52"/>
      <c r="I40" s="52"/>
      <c r="J40" s="52"/>
      <c r="K40" s="52"/>
      <c r="L40" s="57">
        <f t="shared" ref="L40:L41" si="15">$L$39</f>
        <v>0.29459453045586048</v>
      </c>
      <c r="M40" s="57">
        <f t="shared" ref="M40:M41" si="16">$M$39</f>
        <v>0.17785312799353298</v>
      </c>
      <c r="N40" s="57">
        <f t="shared" ref="N40:N41" si="17">$N$39</f>
        <v>0.47244765844939346</v>
      </c>
      <c r="O40" s="54">
        <f t="shared" ref="O40:O41" si="18">C40-(N40*C40)</f>
        <v>339955.07143038709</v>
      </c>
      <c r="P40" s="58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</row>
    <row r="41" spans="1:28" x14ac:dyDescent="0.25">
      <c r="A41" s="52"/>
      <c r="B41" s="53" t="s">
        <v>45</v>
      </c>
      <c r="C41" s="54">
        <f>C39*0.08</f>
        <v>736457.88490440906</v>
      </c>
      <c r="D41" s="54"/>
      <c r="E41" s="480"/>
      <c r="F41" s="55">
        <f t="shared" si="14"/>
        <v>130981.33846575044</v>
      </c>
      <c r="G41" s="56"/>
      <c r="H41" s="52"/>
      <c r="I41" s="52"/>
      <c r="J41" s="56">
        <f>(C40+C41)*0.92</f>
        <v>1270389.8514601057</v>
      </c>
      <c r="K41" s="52"/>
      <c r="L41" s="57">
        <f t="shared" si="15"/>
        <v>0.29459453045586048</v>
      </c>
      <c r="M41" s="57">
        <f t="shared" si="16"/>
        <v>0.17785312799353298</v>
      </c>
      <c r="N41" s="57">
        <f t="shared" si="17"/>
        <v>0.47244765844939346</v>
      </c>
      <c r="O41" s="54">
        <f t="shared" si="18"/>
        <v>388520.08163472806</v>
      </c>
      <c r="P41" s="58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</row>
    <row r="42" spans="1:28" ht="15.6" x14ac:dyDescent="0.25">
      <c r="A42" s="60"/>
      <c r="B42" s="61" t="s">
        <v>46</v>
      </c>
      <c r="C42" s="62">
        <f>SUM(C39:C41)</f>
        <v>10586582.095500881</v>
      </c>
      <c r="D42" s="62">
        <f t="shared" ref="D42:D43" si="19">C42/$D$18</f>
        <v>27292.039431556797</v>
      </c>
      <c r="E42" s="481">
        <f t="shared" ref="E42:E43" si="20">SUM($E$38,$E$31,$E$28,$E$21)</f>
        <v>1</v>
      </c>
      <c r="F42" s="63">
        <f>M42*C42</f>
        <v>1882856.7404451626</v>
      </c>
      <c r="G42" s="64">
        <f t="shared" ref="G42:K42" si="21">SUM(G39:G41)</f>
        <v>794604.0080588765</v>
      </c>
      <c r="H42" s="64">
        <f t="shared" si="21"/>
        <v>941729.65910112357</v>
      </c>
      <c r="I42" s="64">
        <f t="shared" si="21"/>
        <v>0.25250000000000006</v>
      </c>
      <c r="J42" s="64">
        <f t="shared" si="21"/>
        <v>2370769.6712408727</v>
      </c>
      <c r="K42" s="64">
        <f t="shared" si="21"/>
        <v>0</v>
      </c>
      <c r="L42" s="65">
        <f t="shared" ref="L42:N42" si="22">L39</f>
        <v>0.29459453045586048</v>
      </c>
      <c r="M42" s="65">
        <f t="shared" si="22"/>
        <v>0.17785312799353298</v>
      </c>
      <c r="N42" s="65">
        <f t="shared" si="22"/>
        <v>0.47244765844939346</v>
      </c>
      <c r="O42" s="62">
        <f>SUM(O39:O41)</f>
        <v>4218844.3091184134</v>
      </c>
      <c r="P42" s="66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</row>
    <row r="43" spans="1:28" ht="15.6" x14ac:dyDescent="0.25">
      <c r="A43" s="68"/>
      <c r="B43" s="69" t="s">
        <v>47</v>
      </c>
      <c r="C43" s="70">
        <v>10300000</v>
      </c>
      <c r="D43" s="70">
        <f t="shared" si="19"/>
        <v>26553.235369940707</v>
      </c>
      <c r="E43" s="482">
        <f t="shared" si="20"/>
        <v>1</v>
      </c>
      <c r="F43" s="63">
        <f>M43*C43</f>
        <v>1831887.2183333896</v>
      </c>
      <c r="G43" s="490" t="s">
        <v>48</v>
      </c>
      <c r="H43" s="491"/>
      <c r="I43" s="63">
        <f>I40+J42</f>
        <v>2370769.6712408727</v>
      </c>
      <c r="J43" s="71"/>
      <c r="K43" s="71"/>
      <c r="L43" s="72">
        <f t="shared" ref="L43:N43" si="23">L39</f>
        <v>0.29459453045586048</v>
      </c>
      <c r="M43" s="72">
        <f t="shared" si="23"/>
        <v>0.17785312799353298</v>
      </c>
      <c r="N43" s="72">
        <f t="shared" si="23"/>
        <v>0.47244765844939346</v>
      </c>
      <c r="O43" s="63">
        <f>C43-(N43*C43)</f>
        <v>5433789.1179712471</v>
      </c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</row>
    <row r="44" spans="1:28" ht="13.8" thickBot="1" x14ac:dyDescent="0.3">
      <c r="A44" s="74"/>
      <c r="B44" s="75"/>
      <c r="C44" s="74"/>
      <c r="D44" s="74"/>
      <c r="E44" s="74"/>
      <c r="F44" s="76"/>
      <c r="G44" s="77"/>
      <c r="H44" s="9"/>
      <c r="I44" s="9"/>
      <c r="J44" s="9"/>
      <c r="K44" s="9"/>
      <c r="L44" s="78"/>
      <c r="M44" s="78"/>
      <c r="N44" s="78"/>
      <c r="O44" s="79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8" ht="13.8" x14ac:dyDescent="0.25">
      <c r="A45" s="542" t="s">
        <v>49</v>
      </c>
      <c r="B45" s="537"/>
      <c r="C45" s="537"/>
      <c r="D45" s="538"/>
      <c r="E45" s="74"/>
      <c r="F45" s="76"/>
      <c r="G45" s="77"/>
      <c r="H45" s="9"/>
      <c r="I45" s="9"/>
      <c r="J45" s="9"/>
      <c r="K45" s="9"/>
      <c r="L45" s="80"/>
      <c r="M45" s="80"/>
      <c r="N45" s="80"/>
      <c r="O45" s="81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8" x14ac:dyDescent="0.25">
      <c r="A46" s="82"/>
      <c r="B46" s="83" t="s">
        <v>20</v>
      </c>
      <c r="C46" s="84" t="s">
        <v>19</v>
      </c>
      <c r="D46" s="85" t="s">
        <v>21</v>
      </c>
      <c r="E46" s="74"/>
      <c r="F46" s="76"/>
      <c r="G46" s="77"/>
      <c r="H46" s="9"/>
      <c r="I46" s="9"/>
      <c r="J46" s="9"/>
      <c r="K46" s="9"/>
      <c r="L46" s="80"/>
      <c r="M46" s="80"/>
      <c r="N46" s="80"/>
      <c r="O46" s="81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39">
        <f>C43*0.3</f>
        <v>3090000</v>
      </c>
    </row>
    <row r="47" spans="1:28" x14ac:dyDescent="0.25">
      <c r="A47" s="86" t="s">
        <v>51</v>
      </c>
      <c r="B47" s="87">
        <f>C43*L43</f>
        <v>3034323.6636953629</v>
      </c>
      <c r="C47" s="88">
        <f>F43</f>
        <v>1831887.2183333896</v>
      </c>
      <c r="D47" s="89">
        <f>SUM(B47:C47)</f>
        <v>4866210.8820287529</v>
      </c>
      <c r="E47" s="74"/>
      <c r="F47" s="76"/>
      <c r="G47" s="77"/>
      <c r="H47" s="9"/>
      <c r="I47" s="9"/>
      <c r="J47" s="9"/>
      <c r="K47" s="9"/>
      <c r="L47" s="78"/>
      <c r="M47" s="78"/>
      <c r="N47" s="78"/>
      <c r="O47" s="79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8" x14ac:dyDescent="0.25">
      <c r="A48" s="90" t="s">
        <v>52</v>
      </c>
      <c r="B48" s="87"/>
      <c r="C48" s="88"/>
      <c r="D48" s="91"/>
      <c r="E48" s="74"/>
      <c r="F48" s="76"/>
      <c r="G48" s="77"/>
      <c r="H48" s="9"/>
      <c r="I48" s="9"/>
      <c r="J48" s="9"/>
      <c r="K48" s="9"/>
      <c r="L48" s="80"/>
      <c r="M48" s="80"/>
      <c r="N48" s="80"/>
      <c r="O48" s="81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40">
        <f>D47+E47</f>
        <v>4866210.8820287529</v>
      </c>
    </row>
    <row r="49" spans="1:28" x14ac:dyDescent="0.25">
      <c r="A49" s="86" t="s">
        <v>53</v>
      </c>
      <c r="B49" s="88">
        <f>-$B$47*0.05</f>
        <v>-151716.18318476816</v>
      </c>
      <c r="C49" s="88">
        <f>-C47*0.05</f>
        <v>-91594.360916669481</v>
      </c>
      <c r="D49" s="89">
        <f>SUM(B49:C49)</f>
        <v>-243310.54410143764</v>
      </c>
      <c r="E49" s="74"/>
      <c r="F49" s="76"/>
      <c r="G49" s="77"/>
      <c r="H49" s="9"/>
      <c r="I49" s="9"/>
      <c r="J49" s="9"/>
      <c r="K49" s="9"/>
      <c r="L49" s="80"/>
      <c r="M49" s="80"/>
      <c r="N49" s="80"/>
      <c r="O49" s="81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41">
        <f>C43-AB48</f>
        <v>5433789.1179712471</v>
      </c>
    </row>
    <row r="50" spans="1:28" x14ac:dyDescent="0.25">
      <c r="A50" s="92" t="s">
        <v>54</v>
      </c>
      <c r="B50" s="88">
        <f>-$B$47*0.3</f>
        <v>-910297.09910860879</v>
      </c>
      <c r="C50" s="88">
        <f>-C47*0.3</f>
        <v>-549566.16550001688</v>
      </c>
      <c r="D50" s="89">
        <f>SUM(B50:C50)</f>
        <v>-1459863.2646086258</v>
      </c>
      <c r="E50" s="74"/>
      <c r="F50" s="76"/>
      <c r="G50" s="77"/>
      <c r="H50" s="9"/>
      <c r="I50" s="9"/>
      <c r="J50" s="9"/>
      <c r="K50" s="9"/>
      <c r="L50" s="78"/>
      <c r="M50" s="78"/>
      <c r="N50" s="78"/>
      <c r="O50" s="79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8" ht="15.6" x14ac:dyDescent="0.25">
      <c r="A51" s="93" t="s">
        <v>55</v>
      </c>
      <c r="B51" s="88">
        <f t="shared" ref="B51:C51" si="24">SUM(B47:B50)</f>
        <v>1972310.3814019859</v>
      </c>
      <c r="C51" s="94">
        <f>SUM(C47:C50)</f>
        <v>1190726.6919167032</v>
      </c>
      <c r="D51" s="89">
        <f>SUM(B51:C51)</f>
        <v>3163037.0733186891</v>
      </c>
      <c r="E51" s="74"/>
      <c r="F51" s="76"/>
      <c r="G51" s="77"/>
      <c r="H51" s="9"/>
      <c r="I51" s="9"/>
      <c r="J51" s="9"/>
      <c r="K51" s="9"/>
      <c r="L51" s="80"/>
      <c r="M51" s="80"/>
      <c r="N51" s="80"/>
      <c r="O51" s="81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8" ht="16.2" thickBot="1" x14ac:dyDescent="0.3">
      <c r="A52" s="95" t="s">
        <v>56</v>
      </c>
      <c r="B52" s="96">
        <f t="shared" ref="B52:C52" si="25">B47/$C$43</f>
        <v>0.29459453045586048</v>
      </c>
      <c r="C52" s="97">
        <f>C47/$C$43</f>
        <v>0.17785312799353298</v>
      </c>
      <c r="D52" s="98">
        <f>SUM(B52:C52)</f>
        <v>0.47244765844939346</v>
      </c>
      <c r="E52" s="74"/>
      <c r="G52" s="77"/>
      <c r="H52" s="9"/>
      <c r="I52" s="9"/>
      <c r="J52" s="9"/>
      <c r="K52" s="9"/>
      <c r="L52" s="80"/>
      <c r="M52" s="80"/>
      <c r="N52" s="80"/>
      <c r="O52" s="81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8" x14ac:dyDescent="0.25">
      <c r="A53" s="74"/>
      <c r="B53" s="74"/>
      <c r="C53" s="99"/>
      <c r="D53" s="99"/>
      <c r="E53" s="74"/>
      <c r="F53" s="79"/>
      <c r="G53" s="100"/>
      <c r="H53" s="100"/>
      <c r="I53" s="100"/>
      <c r="J53" s="100"/>
      <c r="K53" s="100"/>
      <c r="L53" s="78"/>
      <c r="M53" s="78"/>
      <c r="N53" s="78"/>
      <c r="O53" s="79"/>
      <c r="P53" s="100"/>
      <c r="Q53" s="100"/>
      <c r="R53" s="100"/>
      <c r="S53" s="4"/>
      <c r="T53" s="4"/>
      <c r="U53" s="4"/>
      <c r="V53" s="4"/>
      <c r="W53" s="4"/>
      <c r="X53" s="4"/>
      <c r="Y53" s="4"/>
      <c r="Z53" s="4"/>
      <c r="AA53" s="4"/>
    </row>
    <row r="54" spans="1:28" x14ac:dyDescent="0.25">
      <c r="A54" s="495" t="s">
        <v>57</v>
      </c>
      <c r="B54" s="496"/>
      <c r="C54" s="101"/>
      <c r="D54" s="99"/>
      <c r="E54" s="99"/>
      <c r="F54" s="79"/>
      <c r="G54" s="100"/>
      <c r="H54" s="100"/>
      <c r="I54" s="100"/>
      <c r="J54" s="100"/>
      <c r="K54" s="100"/>
      <c r="L54" s="78"/>
      <c r="M54" s="78"/>
      <c r="N54" s="78"/>
      <c r="O54" s="79"/>
      <c r="P54" s="100"/>
      <c r="Q54" s="100"/>
      <c r="R54" s="100"/>
      <c r="S54" s="4"/>
      <c r="T54" s="4"/>
      <c r="U54" s="4"/>
      <c r="V54" s="4"/>
      <c r="W54" s="4"/>
      <c r="X54" s="4"/>
      <c r="Y54" s="4"/>
      <c r="Z54" s="4"/>
      <c r="AA54" s="4"/>
    </row>
    <row r="55" spans="1:28" x14ac:dyDescent="0.25">
      <c r="A55" s="102" t="s">
        <v>555</v>
      </c>
      <c r="B55" s="103">
        <v>21759.23</v>
      </c>
      <c r="C55" s="101"/>
      <c r="D55" s="99"/>
      <c r="E55" s="99"/>
      <c r="F55" s="79"/>
      <c r="G55" s="100"/>
      <c r="H55" s="100"/>
      <c r="I55" s="100"/>
      <c r="J55" s="100"/>
      <c r="K55" s="100"/>
      <c r="L55" s="78"/>
      <c r="M55" s="78"/>
      <c r="N55" s="78"/>
      <c r="O55" s="79"/>
      <c r="P55" s="100"/>
      <c r="Q55" s="100"/>
      <c r="R55" s="100"/>
      <c r="S55" s="4"/>
      <c r="T55" s="4"/>
      <c r="U55" s="4"/>
      <c r="V55" s="4"/>
      <c r="W55" s="4"/>
      <c r="X55" s="4"/>
      <c r="Y55" s="4"/>
      <c r="Z55" s="4"/>
      <c r="AA55" s="4"/>
    </row>
    <row r="56" spans="1:28" x14ac:dyDescent="0.25">
      <c r="A56" s="102" t="s">
        <v>58</v>
      </c>
      <c r="B56" s="103">
        <f>SUM(B55:B55)</f>
        <v>21759.23</v>
      </c>
      <c r="C56" s="101"/>
      <c r="D56" s="99"/>
      <c r="E56" s="99"/>
      <c r="F56" s="79"/>
      <c r="G56" s="100"/>
      <c r="H56" s="100"/>
      <c r="I56" s="100"/>
      <c r="J56" s="100"/>
      <c r="K56" s="100"/>
      <c r="L56" s="78"/>
      <c r="M56" s="78"/>
      <c r="N56" s="78"/>
      <c r="O56" s="79"/>
      <c r="P56" s="100"/>
      <c r="Q56" s="100"/>
      <c r="R56" s="100"/>
      <c r="S56" s="4"/>
      <c r="T56" s="4"/>
      <c r="U56" s="4"/>
      <c r="V56" s="4"/>
      <c r="W56" s="4"/>
      <c r="X56" s="4"/>
      <c r="Y56" s="4"/>
      <c r="Z56" s="4"/>
      <c r="AA56" s="4"/>
    </row>
    <row r="57" spans="1:28" x14ac:dyDescent="0.25">
      <c r="A57" s="104"/>
      <c r="B57" s="104"/>
      <c r="C57" s="101"/>
      <c r="D57" s="99"/>
      <c r="E57" s="99"/>
      <c r="F57" s="79"/>
      <c r="G57" s="100"/>
      <c r="H57" s="100"/>
      <c r="I57" s="100"/>
      <c r="J57" s="100"/>
      <c r="K57" s="100"/>
      <c r="L57" s="78"/>
      <c r="M57" s="78"/>
      <c r="N57" s="78"/>
      <c r="O57" s="79"/>
      <c r="P57" s="100"/>
      <c r="Q57" s="100"/>
      <c r="R57" s="100"/>
      <c r="S57" s="4"/>
      <c r="T57" s="4"/>
      <c r="U57" s="4"/>
      <c r="V57" s="4"/>
      <c r="W57" s="4"/>
      <c r="X57" s="4"/>
      <c r="Y57" s="4"/>
      <c r="Z57" s="4"/>
      <c r="AA57" s="4"/>
    </row>
    <row r="58" spans="1:28" x14ac:dyDescent="0.25">
      <c r="A58" s="104"/>
      <c r="B58" s="104"/>
      <c r="C58" s="101"/>
      <c r="D58" s="99"/>
      <c r="E58" s="99"/>
      <c r="F58" s="79"/>
      <c r="G58" s="100"/>
      <c r="H58" s="100"/>
      <c r="I58" s="100"/>
      <c r="J58" s="100"/>
      <c r="K58" s="100"/>
      <c r="L58" s="78"/>
      <c r="M58" s="78"/>
      <c r="N58" s="78"/>
      <c r="O58" s="79"/>
      <c r="P58" s="100"/>
      <c r="Q58" s="100"/>
      <c r="R58" s="100"/>
      <c r="S58" s="4"/>
      <c r="T58" s="4"/>
      <c r="U58" s="4"/>
      <c r="V58" s="4"/>
      <c r="W58" s="4"/>
      <c r="X58" s="4"/>
      <c r="Y58" s="4"/>
      <c r="Z58" s="4"/>
      <c r="AA58" s="4"/>
    </row>
    <row r="59" spans="1:28" x14ac:dyDescent="0.25">
      <c r="A59" s="493" t="s">
        <v>59</v>
      </c>
      <c r="B59" s="494"/>
      <c r="C59" s="101"/>
      <c r="D59" s="99"/>
      <c r="E59" s="99"/>
      <c r="F59" s="79"/>
      <c r="G59" s="100"/>
      <c r="H59" s="100"/>
      <c r="I59" s="100"/>
      <c r="J59" s="100"/>
      <c r="K59" s="100"/>
      <c r="L59" s="78"/>
      <c r="M59" s="78"/>
      <c r="N59" s="78"/>
      <c r="O59" s="79"/>
      <c r="P59" s="100"/>
      <c r="Q59" s="100"/>
      <c r="R59" s="100"/>
      <c r="S59" s="4"/>
      <c r="T59" s="4"/>
      <c r="U59" s="4"/>
      <c r="V59" s="4"/>
      <c r="W59" s="4"/>
      <c r="X59" s="4"/>
      <c r="Y59" s="4"/>
      <c r="Z59" s="4"/>
      <c r="AA59" s="4"/>
    </row>
    <row r="60" spans="1:28" x14ac:dyDescent="0.25">
      <c r="A60" s="105" t="s">
        <v>60</v>
      </c>
      <c r="B60" s="106" t="s">
        <v>61</v>
      </c>
      <c r="C60" s="101"/>
      <c r="D60" s="99"/>
      <c r="E60" s="99"/>
      <c r="F60" s="79"/>
      <c r="G60" s="100"/>
      <c r="H60" s="100"/>
      <c r="I60" s="100"/>
      <c r="J60" s="100"/>
      <c r="K60" s="100"/>
      <c r="L60" s="78"/>
      <c r="M60" s="78"/>
      <c r="N60" s="78"/>
      <c r="O60" s="79"/>
      <c r="P60" s="100"/>
      <c r="Q60" s="100"/>
      <c r="R60" s="100"/>
      <c r="S60" s="4"/>
      <c r="T60" s="4"/>
      <c r="U60" s="4"/>
      <c r="V60" s="4"/>
      <c r="W60" s="4"/>
      <c r="X60" s="4"/>
      <c r="Y60" s="4"/>
      <c r="Z60" s="4"/>
      <c r="AA60" s="4"/>
    </row>
    <row r="61" spans="1:28" x14ac:dyDescent="0.25">
      <c r="A61" s="105" t="s">
        <v>62</v>
      </c>
      <c r="B61" s="106" t="s">
        <v>63</v>
      </c>
      <c r="C61" s="101"/>
      <c r="D61" s="99"/>
      <c r="E61" s="99"/>
      <c r="F61" s="79"/>
      <c r="G61" s="100"/>
      <c r="H61" s="100"/>
      <c r="I61" s="100"/>
      <c r="J61" s="100"/>
      <c r="K61" s="100"/>
      <c r="L61" s="78"/>
      <c r="M61" s="78"/>
      <c r="N61" s="78"/>
      <c r="O61" s="79"/>
      <c r="P61" s="100"/>
      <c r="Q61" s="100"/>
      <c r="R61" s="100"/>
      <c r="S61" s="4"/>
      <c r="T61" s="4"/>
      <c r="U61" s="4"/>
      <c r="V61" s="4"/>
      <c r="W61" s="4"/>
      <c r="X61" s="4"/>
      <c r="Y61" s="4"/>
      <c r="Z61" s="4"/>
      <c r="AA61" s="4"/>
    </row>
    <row r="62" spans="1:28" x14ac:dyDescent="0.25">
      <c r="A62" s="107" t="s">
        <v>64</v>
      </c>
      <c r="B62" s="108">
        <f>C51+B56</f>
        <v>1212485.9219167032</v>
      </c>
      <c r="C62" s="101"/>
      <c r="D62" s="99"/>
      <c r="E62" s="99"/>
      <c r="F62" s="79"/>
      <c r="G62" s="100"/>
      <c r="H62" s="100"/>
      <c r="I62" s="100"/>
      <c r="J62" s="100"/>
      <c r="K62" s="100"/>
      <c r="L62" s="78"/>
      <c r="M62" s="78"/>
      <c r="N62" s="78"/>
      <c r="O62" s="79"/>
      <c r="P62" s="100"/>
      <c r="Q62" s="100"/>
      <c r="R62" s="100"/>
      <c r="S62" s="4"/>
      <c r="T62" s="4"/>
      <c r="U62" s="4"/>
      <c r="V62" s="4"/>
      <c r="W62" s="4"/>
      <c r="X62" s="4"/>
      <c r="Y62" s="4"/>
      <c r="Z62" s="4"/>
      <c r="AA62" s="4"/>
    </row>
    <row r="63" spans="1:28" x14ac:dyDescent="0.25">
      <c r="A63" s="99"/>
      <c r="B63" s="99"/>
      <c r="C63" s="99"/>
      <c r="D63" s="99"/>
      <c r="E63" s="99"/>
      <c r="F63" s="79"/>
      <c r="G63" s="79"/>
      <c r="H63" s="79"/>
      <c r="I63" s="79"/>
      <c r="J63" s="79"/>
      <c r="K63" s="79"/>
      <c r="L63" s="78"/>
      <c r="M63" s="78"/>
      <c r="N63" s="78"/>
      <c r="O63" s="79"/>
      <c r="P63" s="79"/>
      <c r="Q63" s="79"/>
      <c r="R63" s="79"/>
      <c r="S63" s="4"/>
      <c r="T63" s="4"/>
      <c r="U63" s="4"/>
      <c r="V63" s="4"/>
      <c r="W63" s="4"/>
      <c r="X63" s="4"/>
      <c r="Y63" s="4"/>
      <c r="Z63" s="4"/>
      <c r="AA63" s="4"/>
    </row>
    <row r="64" spans="1:28" ht="15.6" x14ac:dyDescent="0.25">
      <c r="A64" s="109" t="s">
        <v>65</v>
      </c>
      <c r="B64" s="35"/>
      <c r="D64" s="35"/>
      <c r="E64" s="110"/>
      <c r="F64" s="109" t="s">
        <v>66</v>
      </c>
      <c r="G64" s="1"/>
      <c r="H64" s="1"/>
      <c r="I64" s="1"/>
      <c r="J64" s="1"/>
      <c r="K64" s="1"/>
      <c r="L64" s="3"/>
      <c r="M64" s="3"/>
      <c r="N64" s="3"/>
      <c r="O64" s="1"/>
      <c r="P64" s="1"/>
      <c r="Q64" s="1"/>
      <c r="R64" s="1"/>
      <c r="S64" s="4"/>
      <c r="T64" s="4"/>
      <c r="U64" s="4"/>
      <c r="V64" s="4"/>
      <c r="W64" s="4"/>
      <c r="X64" s="4"/>
      <c r="Y64" s="4"/>
      <c r="Z64" s="4"/>
      <c r="AA64" s="4"/>
    </row>
    <row r="65" spans="1:27" ht="15.6" x14ac:dyDescent="0.25">
      <c r="A65" s="461"/>
      <c r="B65" s="35"/>
      <c r="D65" s="35"/>
      <c r="E65" s="101"/>
      <c r="F65" s="461"/>
      <c r="G65" s="462"/>
      <c r="H65" s="462"/>
      <c r="I65" s="462"/>
      <c r="J65" s="462"/>
      <c r="K65" s="462"/>
      <c r="L65" s="463"/>
      <c r="M65" s="463"/>
      <c r="N65" s="463"/>
      <c r="O65" s="462"/>
      <c r="P65" s="462"/>
      <c r="Q65" s="462"/>
      <c r="R65" s="462"/>
      <c r="S65" s="4"/>
      <c r="T65" s="4"/>
      <c r="U65" s="4"/>
      <c r="V65" s="4"/>
      <c r="W65" s="4"/>
      <c r="X65" s="4"/>
      <c r="Y65" s="4"/>
      <c r="Z65" s="4"/>
      <c r="AA65" s="4"/>
    </row>
    <row r="66" spans="1:27" ht="15.6" x14ac:dyDescent="0.25">
      <c r="A66" s="461"/>
      <c r="B66" s="464" t="s">
        <v>551</v>
      </c>
      <c r="D66" s="35"/>
      <c r="E66" s="101"/>
      <c r="F66" s="461"/>
      <c r="G66" s="462"/>
      <c r="H66" s="462"/>
      <c r="I66" s="462"/>
      <c r="J66" s="462"/>
      <c r="K66" s="462"/>
      <c r="L66" s="463"/>
      <c r="M66" s="463"/>
      <c r="N66" s="463"/>
      <c r="O66" s="462"/>
      <c r="P66" s="462"/>
      <c r="Q66" s="462"/>
      <c r="R66" s="462"/>
      <c r="S66" s="4"/>
      <c r="T66" s="4"/>
      <c r="U66" s="4"/>
      <c r="V66" s="4"/>
      <c r="W66" s="4"/>
      <c r="X66" s="4"/>
      <c r="Y66" s="4"/>
      <c r="Z66" s="4"/>
      <c r="AA66" s="4"/>
    </row>
    <row r="67" spans="1:27" ht="15.6" x14ac:dyDescent="0.25">
      <c r="A67" s="461"/>
      <c r="B67" s="112" t="s">
        <v>68</v>
      </c>
      <c r="D67" s="35"/>
      <c r="E67" s="101"/>
      <c r="F67" s="461"/>
      <c r="G67" s="462"/>
      <c r="H67" s="462"/>
      <c r="I67" s="462"/>
      <c r="J67" s="462"/>
      <c r="K67" s="462"/>
      <c r="L67" s="463"/>
      <c r="M67" s="463"/>
      <c r="N67" s="463"/>
      <c r="O67" s="462"/>
      <c r="P67" s="462"/>
      <c r="Q67" s="462"/>
      <c r="R67" s="462"/>
      <c r="S67" s="4"/>
      <c r="T67" s="4"/>
      <c r="U67" s="4"/>
      <c r="V67" s="4"/>
      <c r="W67" s="4"/>
      <c r="X67" s="4"/>
      <c r="Y67" s="4"/>
      <c r="Z67" s="4"/>
      <c r="AA67" s="4"/>
    </row>
    <row r="68" spans="1:27" ht="15.6" x14ac:dyDescent="0.25">
      <c r="A68" s="461"/>
      <c r="D68" s="35"/>
      <c r="E68" s="101"/>
      <c r="F68" s="461"/>
      <c r="G68" s="462"/>
      <c r="H68" s="462"/>
      <c r="I68" s="462"/>
      <c r="J68" s="462"/>
      <c r="K68" s="462"/>
      <c r="L68" s="463"/>
      <c r="M68" s="463"/>
      <c r="N68" s="463"/>
      <c r="O68" s="462"/>
      <c r="P68" s="462"/>
      <c r="Q68" s="462"/>
      <c r="R68" s="462"/>
      <c r="S68" s="4"/>
      <c r="T68" s="4"/>
      <c r="U68" s="4"/>
      <c r="V68" s="4"/>
      <c r="W68" s="4"/>
      <c r="X68" s="4"/>
      <c r="Y68" s="4"/>
      <c r="Z68" s="4"/>
      <c r="AA68" s="4"/>
    </row>
    <row r="69" spans="1:27" ht="13.8" x14ac:dyDescent="0.25">
      <c r="A69" s="110"/>
      <c r="B69" s="111" t="s">
        <v>67</v>
      </c>
      <c r="C69" s="111"/>
      <c r="D69" s="111"/>
      <c r="E69" s="111"/>
      <c r="F69" s="5"/>
      <c r="G69" s="5"/>
      <c r="H69" s="5"/>
      <c r="I69" s="5"/>
      <c r="J69" s="5"/>
      <c r="K69" s="5"/>
      <c r="L69" s="7"/>
      <c r="M69" s="7"/>
      <c r="N69" s="7"/>
      <c r="O69" s="5"/>
      <c r="P69" s="5"/>
      <c r="Q69" s="5"/>
      <c r="R69" s="5"/>
      <c r="S69" s="4"/>
      <c r="T69" s="4"/>
      <c r="U69" s="4"/>
      <c r="V69" s="4"/>
      <c r="W69" s="4"/>
      <c r="X69" s="4"/>
      <c r="Y69" s="4"/>
      <c r="Z69" s="4"/>
      <c r="AA69" s="4"/>
    </row>
    <row r="70" spans="1:27" ht="13.8" x14ac:dyDescent="0.25">
      <c r="A70" s="110"/>
      <c r="B70" s="112" t="s">
        <v>68</v>
      </c>
      <c r="C70" s="112"/>
      <c r="D70" s="112"/>
      <c r="E70" s="112"/>
      <c r="F70" s="113"/>
      <c r="G70" s="113"/>
      <c r="H70" s="113"/>
      <c r="I70" s="113"/>
      <c r="J70" s="113"/>
      <c r="K70" s="113"/>
      <c r="L70" s="114"/>
      <c r="M70" s="114"/>
      <c r="N70" s="114"/>
      <c r="O70" s="113"/>
      <c r="P70" s="113"/>
      <c r="Q70" s="113"/>
      <c r="R70" s="113"/>
      <c r="S70" s="4"/>
      <c r="T70" s="4"/>
      <c r="U70" s="4"/>
      <c r="V70" s="4"/>
      <c r="W70" s="4"/>
      <c r="X70" s="4"/>
      <c r="Y70" s="4"/>
      <c r="Z70" s="4"/>
      <c r="AA70" s="4"/>
    </row>
    <row r="71" spans="1:27" ht="13.8" x14ac:dyDescent="0.25">
      <c r="A71" s="110"/>
      <c r="B71" s="115"/>
      <c r="C71" s="116"/>
      <c r="D71" s="116"/>
      <c r="E71" s="116"/>
      <c r="F71" s="5"/>
      <c r="G71" s="5"/>
      <c r="H71" s="5"/>
      <c r="I71" s="5"/>
      <c r="J71" s="5"/>
      <c r="K71" s="5"/>
      <c r="L71" s="7"/>
      <c r="M71" s="7"/>
      <c r="N71" s="7"/>
      <c r="O71" s="5"/>
      <c r="P71" s="5"/>
      <c r="Q71" s="5"/>
      <c r="R71" s="5"/>
      <c r="S71" s="4"/>
      <c r="T71" s="4"/>
      <c r="U71" s="4"/>
      <c r="V71" s="4"/>
      <c r="W71" s="4"/>
      <c r="X71" s="4"/>
      <c r="Y71" s="4"/>
      <c r="Z71" s="4"/>
      <c r="AA71" s="4"/>
    </row>
    <row r="72" spans="1:27" ht="13.8" x14ac:dyDescent="0.25">
      <c r="A72" s="110"/>
      <c r="B72" s="111" t="s">
        <v>69</v>
      </c>
      <c r="C72" s="111"/>
      <c r="D72" s="111"/>
      <c r="E72" s="111"/>
      <c r="F72" s="5"/>
      <c r="G72" s="5"/>
      <c r="H72" s="5"/>
      <c r="I72" s="5"/>
      <c r="J72" s="5"/>
      <c r="K72" s="5"/>
      <c r="L72" s="7"/>
      <c r="M72" s="7"/>
      <c r="N72" s="7"/>
      <c r="O72" s="5"/>
      <c r="P72" s="5"/>
      <c r="Q72" s="5"/>
      <c r="R72" s="5"/>
      <c r="S72" s="4"/>
      <c r="T72" s="4"/>
      <c r="U72" s="4"/>
      <c r="V72" s="4"/>
      <c r="W72" s="4"/>
      <c r="X72" s="4"/>
      <c r="Y72" s="4"/>
      <c r="Z72" s="4"/>
      <c r="AA72" s="4"/>
    </row>
    <row r="73" spans="1:27" ht="13.8" x14ac:dyDescent="0.25">
      <c r="A73" s="110"/>
      <c r="B73" s="112" t="s">
        <v>68</v>
      </c>
      <c r="C73" s="112"/>
      <c r="D73" s="112"/>
      <c r="E73" s="112"/>
      <c r="F73" s="113"/>
      <c r="G73" s="113"/>
      <c r="H73" s="113"/>
      <c r="I73" s="113"/>
      <c r="J73" s="113"/>
      <c r="K73" s="113"/>
      <c r="L73" s="114"/>
      <c r="M73" s="114"/>
      <c r="N73" s="114"/>
      <c r="O73" s="113"/>
      <c r="P73" s="113"/>
      <c r="Q73" s="113"/>
      <c r="R73" s="113"/>
      <c r="S73" s="4"/>
      <c r="T73" s="4"/>
      <c r="U73" s="4"/>
      <c r="V73" s="4"/>
      <c r="W73" s="4"/>
      <c r="X73" s="4"/>
      <c r="Y73" s="4"/>
      <c r="Z73" s="4"/>
      <c r="AA73" s="4"/>
    </row>
    <row r="74" spans="1:27" ht="13.8" x14ac:dyDescent="0.25">
      <c r="A74" s="110"/>
      <c r="B74" s="115"/>
      <c r="C74" s="116"/>
      <c r="D74" s="116"/>
      <c r="E74" s="116"/>
      <c r="F74" s="5"/>
      <c r="G74" s="5"/>
      <c r="H74" s="5"/>
      <c r="I74" s="5"/>
      <c r="J74" s="5"/>
      <c r="K74" s="5"/>
      <c r="L74" s="7"/>
      <c r="M74" s="7"/>
      <c r="N74" s="7"/>
      <c r="O74" s="5"/>
      <c r="P74" s="5"/>
      <c r="Q74" s="5"/>
      <c r="R74" s="5"/>
      <c r="S74" s="4"/>
      <c r="T74" s="4"/>
      <c r="U74" s="4"/>
      <c r="V74" s="4"/>
      <c r="W74" s="4"/>
      <c r="X74" s="4"/>
      <c r="Y74" s="4"/>
      <c r="Z74" s="4"/>
      <c r="AA74" s="4"/>
    </row>
    <row r="75" spans="1:27" ht="13.8" x14ac:dyDescent="0.25">
      <c r="A75" s="110"/>
      <c r="B75" s="111" t="s">
        <v>70</v>
      </c>
      <c r="C75" s="111"/>
      <c r="D75" s="111"/>
      <c r="E75" s="116"/>
      <c r="F75" s="5"/>
      <c r="G75" s="5"/>
      <c r="H75" s="5"/>
      <c r="I75" s="5"/>
      <c r="J75" s="5"/>
      <c r="K75" s="5"/>
      <c r="L75" s="7"/>
      <c r="M75" s="7"/>
      <c r="N75" s="7"/>
      <c r="O75" s="5"/>
      <c r="P75" s="5"/>
      <c r="Q75" s="5"/>
      <c r="R75" s="5"/>
      <c r="S75" s="4"/>
      <c r="T75" s="4"/>
      <c r="U75" s="4"/>
      <c r="V75" s="4"/>
      <c r="W75" s="4"/>
      <c r="X75" s="4"/>
      <c r="Y75" s="4"/>
      <c r="Z75" s="4"/>
      <c r="AA75" s="4"/>
    </row>
    <row r="76" spans="1:27" ht="13.8" x14ac:dyDescent="0.25">
      <c r="A76" s="110"/>
      <c r="B76" s="112" t="s">
        <v>68</v>
      </c>
      <c r="C76" s="112"/>
      <c r="D76" s="112"/>
      <c r="E76" s="112"/>
      <c r="F76" s="113"/>
      <c r="G76" s="113"/>
      <c r="H76" s="113"/>
      <c r="I76" s="113"/>
      <c r="J76" s="113"/>
      <c r="K76" s="113"/>
      <c r="L76" s="114"/>
      <c r="M76" s="114"/>
      <c r="N76" s="114"/>
      <c r="O76" s="113"/>
      <c r="P76" s="113"/>
      <c r="Q76" s="113"/>
      <c r="R76" s="113"/>
      <c r="S76" s="4"/>
      <c r="T76" s="4"/>
      <c r="U76" s="4"/>
      <c r="V76" s="4"/>
      <c r="W76" s="4"/>
      <c r="X76" s="4"/>
      <c r="Y76" s="4"/>
      <c r="Z76" s="4"/>
      <c r="AA76" s="4"/>
    </row>
    <row r="77" spans="1:27" ht="15.6" x14ac:dyDescent="0.25">
      <c r="A77" s="109" t="s">
        <v>71</v>
      </c>
      <c r="B77" s="35"/>
      <c r="C77" s="117"/>
      <c r="D77" s="118"/>
      <c r="E77" s="118"/>
      <c r="F77" s="1"/>
      <c r="G77" s="1"/>
      <c r="H77" s="1"/>
      <c r="I77" s="1"/>
      <c r="J77" s="1"/>
      <c r="K77" s="1"/>
      <c r="L77" s="3"/>
      <c r="M77" s="3"/>
      <c r="N77" s="3"/>
      <c r="O77" s="1"/>
      <c r="P77" s="1"/>
      <c r="Q77" s="1"/>
      <c r="R77" s="1"/>
      <c r="S77" s="4"/>
      <c r="T77" s="4"/>
      <c r="U77" s="4"/>
      <c r="V77" s="4"/>
      <c r="W77" s="4"/>
      <c r="X77" s="4"/>
      <c r="Y77" s="4"/>
      <c r="Z77" s="4"/>
      <c r="AA77" s="4"/>
    </row>
    <row r="78" spans="1:27" ht="13.8" x14ac:dyDescent="0.25">
      <c r="A78" s="110"/>
      <c r="B78" s="111" t="s">
        <v>72</v>
      </c>
      <c r="C78" s="111"/>
      <c r="D78" s="111"/>
      <c r="E78" s="111"/>
      <c r="F78" s="5"/>
      <c r="G78" s="5"/>
      <c r="H78" s="5"/>
      <c r="I78" s="5"/>
      <c r="J78" s="5"/>
      <c r="K78" s="5"/>
      <c r="L78" s="7"/>
      <c r="M78" s="7"/>
      <c r="N78" s="7"/>
      <c r="O78" s="5"/>
      <c r="P78" s="5"/>
      <c r="Q78" s="5"/>
      <c r="R78" s="5"/>
      <c r="S78" s="4"/>
      <c r="T78" s="4"/>
      <c r="U78" s="4"/>
      <c r="V78" s="4"/>
      <c r="W78" s="4"/>
      <c r="X78" s="4"/>
      <c r="Y78" s="4"/>
      <c r="Z78" s="4"/>
      <c r="AA78" s="4"/>
    </row>
    <row r="79" spans="1:27" ht="13.8" x14ac:dyDescent="0.25">
      <c r="A79" s="110"/>
      <c r="B79" s="112" t="s">
        <v>73</v>
      </c>
      <c r="C79" s="112"/>
      <c r="D79" s="112"/>
      <c r="E79" s="112"/>
      <c r="F79" s="113"/>
      <c r="G79" s="113"/>
      <c r="H79" s="113"/>
      <c r="I79" s="113"/>
      <c r="J79" s="113"/>
      <c r="K79" s="113"/>
      <c r="L79" s="114"/>
      <c r="M79" s="114"/>
      <c r="N79" s="114"/>
      <c r="O79" s="113"/>
      <c r="P79" s="113"/>
      <c r="Q79" s="113"/>
      <c r="R79" s="113"/>
      <c r="S79" s="4"/>
      <c r="T79" s="4"/>
      <c r="U79" s="4"/>
      <c r="V79" s="4"/>
      <c r="W79" s="4"/>
      <c r="X79" s="4"/>
      <c r="Y79" s="4"/>
      <c r="Z79" s="4"/>
      <c r="AA79" s="4"/>
    </row>
    <row r="80" spans="1:27" ht="13.8" x14ac:dyDescent="0.25">
      <c r="A80" s="110"/>
      <c r="B80" s="115"/>
      <c r="C80" s="119"/>
      <c r="D80" s="119"/>
      <c r="E80" s="119"/>
      <c r="F80" s="113"/>
      <c r="G80" s="113"/>
      <c r="H80" s="113"/>
      <c r="I80" s="113"/>
      <c r="J80" s="113"/>
      <c r="K80" s="113"/>
      <c r="L80" s="114"/>
      <c r="M80" s="114"/>
      <c r="N80" s="114"/>
      <c r="O80" s="113"/>
      <c r="P80" s="113"/>
      <c r="Q80" s="113"/>
      <c r="R80" s="113"/>
      <c r="S80" s="4"/>
      <c r="T80" s="4"/>
      <c r="U80" s="4"/>
      <c r="V80" s="4"/>
      <c r="W80" s="4"/>
      <c r="X80" s="4"/>
      <c r="Y80" s="4"/>
      <c r="Z80" s="4"/>
      <c r="AA80" s="4"/>
    </row>
    <row r="81" spans="1:27" x14ac:dyDescent="0.25">
      <c r="A81" s="110"/>
      <c r="B81" s="110"/>
      <c r="C81" s="110"/>
      <c r="D81" s="110"/>
      <c r="E81" s="110"/>
      <c r="F81" s="81"/>
      <c r="G81" s="81"/>
      <c r="H81" s="81"/>
      <c r="I81" s="81"/>
      <c r="J81" s="81"/>
      <c r="K81" s="81"/>
      <c r="L81" s="80"/>
      <c r="M81" s="80"/>
      <c r="N81" s="80"/>
      <c r="O81" s="81"/>
      <c r="P81" s="81"/>
      <c r="Q81" s="81"/>
      <c r="R81" s="81"/>
      <c r="S81" s="4"/>
      <c r="T81" s="4"/>
      <c r="U81" s="4"/>
      <c r="V81" s="4"/>
      <c r="W81" s="4"/>
      <c r="X81" s="4"/>
      <c r="Y81" s="4"/>
      <c r="Z81" s="4"/>
      <c r="AA81" s="4"/>
    </row>
    <row r="82" spans="1:27" x14ac:dyDescent="0.25">
      <c r="A82" s="9"/>
      <c r="B82" s="9"/>
      <c r="C82" s="120"/>
      <c r="D82" s="120"/>
      <c r="E82" s="120"/>
      <c r="F82" s="9"/>
      <c r="G82" s="77"/>
      <c r="H82" s="9"/>
      <c r="I82" s="9"/>
      <c r="J82" s="9"/>
      <c r="K82" s="9"/>
      <c r="L82" s="121"/>
      <c r="M82" s="121"/>
      <c r="N82" s="121"/>
      <c r="O82" s="9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x14ac:dyDescent="0.25">
      <c r="A83" s="9"/>
      <c r="B83" s="9"/>
      <c r="C83" s="120"/>
      <c r="D83" s="120"/>
      <c r="E83" s="120"/>
      <c r="F83" s="9"/>
      <c r="G83" s="77"/>
      <c r="H83" s="9"/>
      <c r="I83" s="9"/>
      <c r="J83" s="9"/>
      <c r="K83" s="9"/>
      <c r="L83" s="121"/>
      <c r="M83" s="121"/>
      <c r="N83" s="121"/>
      <c r="O83" s="9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x14ac:dyDescent="0.25">
      <c r="A84" s="9"/>
      <c r="B84" s="9"/>
      <c r="C84" s="120"/>
      <c r="D84" s="120"/>
      <c r="E84" s="120"/>
      <c r="F84" s="9"/>
      <c r="G84" s="77"/>
      <c r="H84" s="9"/>
      <c r="I84" s="9"/>
      <c r="J84" s="9"/>
      <c r="K84" s="9"/>
      <c r="L84" s="121"/>
      <c r="M84" s="121"/>
      <c r="N84" s="121"/>
      <c r="O84" s="9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x14ac:dyDescent="0.25">
      <c r="A85" s="9"/>
      <c r="B85" s="9"/>
      <c r="C85" s="120"/>
      <c r="D85" s="120"/>
      <c r="E85" s="120"/>
      <c r="F85" s="9"/>
      <c r="G85" s="77"/>
      <c r="H85" s="9"/>
      <c r="I85" s="9"/>
      <c r="J85" s="9"/>
      <c r="K85" s="9"/>
      <c r="L85" s="121"/>
      <c r="M85" s="121"/>
      <c r="N85" s="121"/>
      <c r="O85" s="9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x14ac:dyDescent="0.25">
      <c r="A86" s="9"/>
      <c r="B86" s="9"/>
      <c r="C86" s="120"/>
      <c r="D86" s="120"/>
      <c r="E86" s="120"/>
      <c r="F86" s="9"/>
      <c r="G86" s="77"/>
      <c r="H86" s="9"/>
      <c r="I86" s="9"/>
      <c r="J86" s="9"/>
      <c r="K86" s="9"/>
      <c r="L86" s="121"/>
      <c r="M86" s="121"/>
      <c r="N86" s="121"/>
      <c r="O86" s="9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x14ac:dyDescent="0.25">
      <c r="A87" s="9"/>
      <c r="B87" s="9"/>
      <c r="C87" s="120"/>
      <c r="D87" s="120"/>
      <c r="E87" s="120"/>
      <c r="F87" s="9"/>
      <c r="G87" s="77"/>
      <c r="H87" s="9"/>
      <c r="I87" s="9"/>
      <c r="J87" s="9"/>
      <c r="K87" s="9"/>
      <c r="L87" s="121"/>
      <c r="M87" s="121"/>
      <c r="N87" s="121"/>
      <c r="O87" s="9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x14ac:dyDescent="0.25">
      <c r="A88" s="9"/>
      <c r="B88" s="9"/>
      <c r="C88" s="120"/>
      <c r="D88" s="120"/>
      <c r="E88" s="120"/>
      <c r="F88" s="9"/>
      <c r="G88" s="77"/>
      <c r="H88" s="9"/>
      <c r="I88" s="9"/>
      <c r="J88" s="9"/>
      <c r="K88" s="9"/>
      <c r="L88" s="121"/>
      <c r="M88" s="121"/>
      <c r="N88" s="121"/>
      <c r="O88" s="9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x14ac:dyDescent="0.25">
      <c r="A89" s="9"/>
      <c r="B89" s="9"/>
      <c r="C89" s="120"/>
      <c r="D89" s="120"/>
      <c r="E89" s="120"/>
      <c r="F89" s="9"/>
      <c r="G89" s="77"/>
      <c r="H89" s="9"/>
      <c r="I89" s="9"/>
      <c r="J89" s="9"/>
      <c r="K89" s="9"/>
      <c r="L89" s="121"/>
      <c r="M89" s="121"/>
      <c r="N89" s="121"/>
      <c r="O89" s="9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x14ac:dyDescent="0.25">
      <c r="A90" s="9"/>
      <c r="B90" s="9"/>
      <c r="C90" s="120"/>
      <c r="D90" s="120"/>
      <c r="E90" s="120"/>
      <c r="F90" s="9"/>
      <c r="G90" s="77"/>
      <c r="H90" s="9"/>
      <c r="I90" s="9"/>
      <c r="J90" s="9"/>
      <c r="K90" s="9"/>
      <c r="L90" s="121"/>
      <c r="M90" s="121"/>
      <c r="N90" s="121"/>
      <c r="O90" s="9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x14ac:dyDescent="0.25">
      <c r="A91" s="9"/>
      <c r="B91" s="9"/>
      <c r="C91" s="120"/>
      <c r="D91" s="120"/>
      <c r="E91" s="120"/>
      <c r="F91" s="9"/>
      <c r="G91" s="77"/>
      <c r="H91" s="9"/>
      <c r="I91" s="9"/>
      <c r="J91" s="9"/>
      <c r="K91" s="9"/>
      <c r="L91" s="121"/>
      <c r="M91" s="121"/>
      <c r="N91" s="121"/>
      <c r="O91" s="9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x14ac:dyDescent="0.25">
      <c r="A92" s="9"/>
      <c r="B92" s="9"/>
      <c r="C92" s="120"/>
      <c r="D92" s="120"/>
      <c r="E92" s="120"/>
      <c r="F92" s="9"/>
      <c r="G92" s="77"/>
      <c r="H92" s="9"/>
      <c r="I92" s="9"/>
      <c r="J92" s="9"/>
      <c r="K92" s="9"/>
      <c r="L92" s="121"/>
      <c r="M92" s="121"/>
      <c r="N92" s="121"/>
      <c r="O92" s="9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x14ac:dyDescent="0.25">
      <c r="A93" s="9"/>
      <c r="B93" s="9"/>
      <c r="C93" s="120"/>
      <c r="D93" s="120"/>
      <c r="E93" s="120"/>
      <c r="F93" s="9"/>
      <c r="G93" s="77"/>
      <c r="H93" s="9"/>
      <c r="I93" s="9"/>
      <c r="J93" s="9"/>
      <c r="K93" s="9"/>
      <c r="L93" s="121"/>
      <c r="M93" s="121"/>
      <c r="N93" s="121"/>
      <c r="O93" s="9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x14ac:dyDescent="0.25">
      <c r="A94" s="9"/>
      <c r="B94" s="9"/>
      <c r="C94" s="120"/>
      <c r="D94" s="120"/>
      <c r="E94" s="120"/>
      <c r="F94" s="9"/>
      <c r="G94" s="77"/>
      <c r="H94" s="9"/>
      <c r="I94" s="9"/>
      <c r="J94" s="9"/>
      <c r="K94" s="9"/>
      <c r="L94" s="121"/>
      <c r="M94" s="121"/>
      <c r="N94" s="121"/>
      <c r="O94" s="9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x14ac:dyDescent="0.25">
      <c r="A95" s="9"/>
      <c r="B95" s="9"/>
      <c r="C95" s="120"/>
      <c r="D95" s="120"/>
      <c r="E95" s="120"/>
      <c r="F95" s="9"/>
      <c r="G95" s="77"/>
      <c r="H95" s="9"/>
      <c r="I95" s="9"/>
      <c r="J95" s="9"/>
      <c r="K95" s="9"/>
      <c r="L95" s="121"/>
      <c r="M95" s="121"/>
      <c r="N95" s="121"/>
      <c r="O95" s="9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x14ac:dyDescent="0.25">
      <c r="A96" s="9"/>
      <c r="B96" s="9"/>
      <c r="C96" s="120"/>
      <c r="D96" s="120"/>
      <c r="E96" s="120"/>
      <c r="F96" s="9"/>
      <c r="G96" s="77"/>
      <c r="H96" s="9"/>
      <c r="I96" s="9"/>
      <c r="J96" s="9"/>
      <c r="K96" s="9"/>
      <c r="L96" s="121"/>
      <c r="M96" s="121"/>
      <c r="N96" s="121"/>
      <c r="O96" s="9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x14ac:dyDescent="0.25">
      <c r="A97" s="9"/>
      <c r="B97" s="9"/>
      <c r="C97" s="120"/>
      <c r="D97" s="120"/>
      <c r="E97" s="120"/>
      <c r="F97" s="9"/>
      <c r="G97" s="77"/>
      <c r="H97" s="9"/>
      <c r="I97" s="9"/>
      <c r="J97" s="9"/>
      <c r="K97" s="9"/>
      <c r="L97" s="121"/>
      <c r="M97" s="121"/>
      <c r="N97" s="121"/>
      <c r="O97" s="9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x14ac:dyDescent="0.25">
      <c r="A98" s="9"/>
      <c r="B98" s="9"/>
      <c r="C98" s="120"/>
      <c r="D98" s="120"/>
      <c r="E98" s="120"/>
      <c r="F98" s="9"/>
      <c r="G98" s="77"/>
      <c r="H98" s="9"/>
      <c r="I98" s="9"/>
      <c r="J98" s="9"/>
      <c r="K98" s="9"/>
      <c r="L98" s="121"/>
      <c r="M98" s="121"/>
      <c r="N98" s="121"/>
      <c r="O98" s="9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x14ac:dyDescent="0.25">
      <c r="A99" s="9"/>
      <c r="B99" s="9"/>
      <c r="C99" s="120"/>
      <c r="D99" s="120"/>
      <c r="E99" s="120"/>
      <c r="F99" s="9"/>
      <c r="G99" s="77"/>
      <c r="H99" s="9"/>
      <c r="I99" s="9"/>
      <c r="J99" s="9"/>
      <c r="K99" s="9"/>
      <c r="L99" s="121"/>
      <c r="M99" s="121"/>
      <c r="N99" s="121"/>
      <c r="O99" s="9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x14ac:dyDescent="0.25">
      <c r="A100" s="9"/>
      <c r="B100" s="9"/>
      <c r="C100" s="120"/>
      <c r="D100" s="120"/>
      <c r="E100" s="120"/>
      <c r="F100" s="9"/>
      <c r="G100" s="77"/>
      <c r="H100" s="9"/>
      <c r="I100" s="9"/>
      <c r="J100" s="9"/>
      <c r="K100" s="9"/>
      <c r="L100" s="121"/>
      <c r="M100" s="121"/>
      <c r="N100" s="121"/>
      <c r="O100" s="9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x14ac:dyDescent="0.25">
      <c r="A101" s="9"/>
      <c r="B101" s="9"/>
      <c r="C101" s="120"/>
      <c r="D101" s="120"/>
      <c r="E101" s="120"/>
      <c r="F101" s="9"/>
      <c r="G101" s="77"/>
      <c r="H101" s="9"/>
      <c r="I101" s="9"/>
      <c r="J101" s="9"/>
      <c r="K101" s="9"/>
      <c r="L101" s="121"/>
      <c r="M101" s="121"/>
      <c r="N101" s="121"/>
      <c r="O101" s="9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x14ac:dyDescent="0.25">
      <c r="A102" s="9"/>
      <c r="B102" s="9"/>
      <c r="C102" s="120"/>
      <c r="D102" s="120"/>
      <c r="E102" s="120"/>
      <c r="F102" s="9"/>
      <c r="G102" s="77"/>
      <c r="H102" s="9"/>
      <c r="I102" s="9"/>
      <c r="J102" s="9"/>
      <c r="K102" s="9"/>
      <c r="L102" s="121"/>
      <c r="M102" s="121"/>
      <c r="N102" s="121"/>
      <c r="O102" s="9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x14ac:dyDescent="0.25">
      <c r="A103" s="9"/>
      <c r="B103" s="9"/>
      <c r="C103" s="120"/>
      <c r="D103" s="120"/>
      <c r="E103" s="120"/>
      <c r="F103" s="9"/>
      <c r="G103" s="77"/>
      <c r="H103" s="9"/>
      <c r="I103" s="9"/>
      <c r="J103" s="9"/>
      <c r="K103" s="9"/>
      <c r="L103" s="121"/>
      <c r="M103" s="121"/>
      <c r="N103" s="121"/>
      <c r="O103" s="9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x14ac:dyDescent="0.25">
      <c r="A104" s="9"/>
      <c r="B104" s="9"/>
      <c r="C104" s="120"/>
      <c r="D104" s="120"/>
      <c r="E104" s="120"/>
      <c r="F104" s="9"/>
      <c r="G104" s="77"/>
      <c r="H104" s="9"/>
      <c r="I104" s="9"/>
      <c r="J104" s="9"/>
      <c r="K104" s="9"/>
      <c r="L104" s="121"/>
      <c r="M104" s="121"/>
      <c r="N104" s="121"/>
      <c r="O104" s="9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x14ac:dyDescent="0.25">
      <c r="A105" s="9"/>
      <c r="B105" s="9"/>
      <c r="C105" s="120"/>
      <c r="D105" s="120"/>
      <c r="E105" s="120"/>
      <c r="F105" s="9"/>
      <c r="G105" s="77"/>
      <c r="H105" s="9"/>
      <c r="I105" s="9"/>
      <c r="J105" s="9"/>
      <c r="K105" s="9"/>
      <c r="L105" s="121"/>
      <c r="M105" s="121"/>
      <c r="N105" s="121"/>
      <c r="O105" s="9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x14ac:dyDescent="0.25">
      <c r="A106" s="9"/>
      <c r="B106" s="9"/>
      <c r="C106" s="120"/>
      <c r="D106" s="120"/>
      <c r="E106" s="120"/>
      <c r="F106" s="9"/>
      <c r="G106" s="77"/>
      <c r="H106" s="9"/>
      <c r="I106" s="9"/>
      <c r="J106" s="9"/>
      <c r="K106" s="9"/>
      <c r="L106" s="121"/>
      <c r="M106" s="121"/>
      <c r="N106" s="121"/>
      <c r="O106" s="9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x14ac:dyDescent="0.25">
      <c r="A107" s="9"/>
      <c r="B107" s="9"/>
      <c r="C107" s="120"/>
      <c r="D107" s="120"/>
      <c r="E107" s="120"/>
      <c r="F107" s="9"/>
      <c r="G107" s="77"/>
      <c r="H107" s="9"/>
      <c r="I107" s="9"/>
      <c r="J107" s="9"/>
      <c r="K107" s="9"/>
      <c r="L107" s="121"/>
      <c r="M107" s="121"/>
      <c r="N107" s="121"/>
      <c r="O107" s="9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x14ac:dyDescent="0.25">
      <c r="A108" s="9"/>
      <c r="B108" s="9"/>
      <c r="C108" s="120"/>
      <c r="D108" s="120"/>
      <c r="E108" s="120"/>
      <c r="F108" s="9"/>
      <c r="G108" s="77"/>
      <c r="H108" s="9"/>
      <c r="I108" s="9"/>
      <c r="J108" s="9"/>
      <c r="K108" s="9"/>
      <c r="L108" s="121"/>
      <c r="M108" s="121"/>
      <c r="N108" s="121"/>
      <c r="O108" s="9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x14ac:dyDescent="0.25">
      <c r="A109" s="9"/>
      <c r="B109" s="9"/>
      <c r="C109" s="120"/>
      <c r="D109" s="120"/>
      <c r="E109" s="120"/>
      <c r="F109" s="9"/>
      <c r="G109" s="77"/>
      <c r="H109" s="9"/>
      <c r="I109" s="9"/>
      <c r="J109" s="9"/>
      <c r="K109" s="9"/>
      <c r="L109" s="121"/>
      <c r="M109" s="121"/>
      <c r="N109" s="121"/>
      <c r="O109" s="9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x14ac:dyDescent="0.25">
      <c r="A110" s="9"/>
      <c r="B110" s="9"/>
      <c r="C110" s="120"/>
      <c r="D110" s="120"/>
      <c r="E110" s="120"/>
      <c r="F110" s="9"/>
      <c r="G110" s="77"/>
      <c r="H110" s="9"/>
      <c r="I110" s="9"/>
      <c r="J110" s="9"/>
      <c r="K110" s="9"/>
      <c r="L110" s="121"/>
      <c r="M110" s="121"/>
      <c r="N110" s="121"/>
      <c r="O110" s="9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x14ac:dyDescent="0.25">
      <c r="A111" s="9"/>
      <c r="B111" s="9"/>
      <c r="C111" s="120"/>
      <c r="D111" s="120"/>
      <c r="E111" s="120"/>
      <c r="F111" s="9"/>
      <c r="G111" s="77"/>
      <c r="H111" s="9"/>
      <c r="I111" s="9"/>
      <c r="J111" s="9"/>
      <c r="K111" s="9"/>
      <c r="L111" s="121"/>
      <c r="M111" s="121"/>
      <c r="N111" s="121"/>
      <c r="O111" s="9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x14ac:dyDescent="0.25">
      <c r="A112" s="9"/>
      <c r="B112" s="9"/>
      <c r="C112" s="120"/>
      <c r="D112" s="120"/>
      <c r="E112" s="120"/>
      <c r="F112" s="9"/>
      <c r="G112" s="77"/>
      <c r="H112" s="9"/>
      <c r="I112" s="9"/>
      <c r="J112" s="9"/>
      <c r="K112" s="9"/>
      <c r="L112" s="121"/>
      <c r="M112" s="121"/>
      <c r="N112" s="121"/>
      <c r="O112" s="9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x14ac:dyDescent="0.25">
      <c r="A113" s="9"/>
      <c r="B113" s="9"/>
      <c r="C113" s="120"/>
      <c r="D113" s="120"/>
      <c r="E113" s="120"/>
      <c r="F113" s="9"/>
      <c r="G113" s="77"/>
      <c r="H113" s="9"/>
      <c r="I113" s="9"/>
      <c r="J113" s="9"/>
      <c r="K113" s="9"/>
      <c r="L113" s="121"/>
      <c r="M113" s="121"/>
      <c r="N113" s="121"/>
      <c r="O113" s="9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x14ac:dyDescent="0.25">
      <c r="A114" s="9"/>
      <c r="B114" s="9"/>
      <c r="C114" s="120"/>
      <c r="D114" s="120"/>
      <c r="E114" s="120"/>
      <c r="F114" s="9"/>
      <c r="G114" s="77"/>
      <c r="H114" s="9"/>
      <c r="I114" s="9"/>
      <c r="J114" s="9"/>
      <c r="K114" s="9"/>
      <c r="L114" s="121"/>
      <c r="M114" s="121"/>
      <c r="N114" s="121"/>
      <c r="O114" s="9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x14ac:dyDescent="0.25">
      <c r="A115" s="9"/>
      <c r="B115" s="9"/>
      <c r="C115" s="120"/>
      <c r="D115" s="120"/>
      <c r="E115" s="120"/>
      <c r="F115" s="9"/>
      <c r="G115" s="77"/>
      <c r="H115" s="9"/>
      <c r="I115" s="9"/>
      <c r="J115" s="9"/>
      <c r="K115" s="9"/>
      <c r="L115" s="121"/>
      <c r="M115" s="121"/>
      <c r="N115" s="121"/>
      <c r="O115" s="9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x14ac:dyDescent="0.25">
      <c r="A116" s="9"/>
      <c r="B116" s="9"/>
      <c r="C116" s="120"/>
      <c r="D116" s="120"/>
      <c r="E116" s="120"/>
      <c r="F116" s="9"/>
      <c r="G116" s="77"/>
      <c r="H116" s="9"/>
      <c r="I116" s="9"/>
      <c r="J116" s="9"/>
      <c r="K116" s="9"/>
      <c r="L116" s="121"/>
      <c r="M116" s="121"/>
      <c r="N116" s="121"/>
      <c r="O116" s="9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x14ac:dyDescent="0.25">
      <c r="A117" s="9"/>
      <c r="B117" s="9"/>
      <c r="C117" s="120"/>
      <c r="D117" s="120"/>
      <c r="E117" s="120"/>
      <c r="F117" s="9"/>
      <c r="G117" s="77"/>
      <c r="H117" s="9"/>
      <c r="I117" s="9"/>
      <c r="J117" s="9"/>
      <c r="K117" s="9"/>
      <c r="L117" s="121"/>
      <c r="M117" s="121"/>
      <c r="N117" s="121"/>
      <c r="O117" s="9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x14ac:dyDescent="0.25">
      <c r="A118" s="9"/>
      <c r="B118" s="9"/>
      <c r="C118" s="120"/>
      <c r="D118" s="120"/>
      <c r="E118" s="120"/>
      <c r="F118" s="9"/>
      <c r="G118" s="77"/>
      <c r="H118" s="9"/>
      <c r="I118" s="9"/>
      <c r="J118" s="9"/>
      <c r="K118" s="9"/>
      <c r="L118" s="121"/>
      <c r="M118" s="121"/>
      <c r="N118" s="121"/>
      <c r="O118" s="9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x14ac:dyDescent="0.25">
      <c r="A119" s="9"/>
      <c r="B119" s="9"/>
      <c r="C119" s="120"/>
      <c r="D119" s="120"/>
      <c r="E119" s="120"/>
      <c r="F119" s="9"/>
      <c r="G119" s="77"/>
      <c r="H119" s="9"/>
      <c r="I119" s="9"/>
      <c r="J119" s="9"/>
      <c r="K119" s="9"/>
      <c r="L119" s="121"/>
      <c r="M119" s="121"/>
      <c r="N119" s="121"/>
      <c r="O119" s="9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x14ac:dyDescent="0.25">
      <c r="A120" s="9"/>
      <c r="B120" s="9"/>
      <c r="C120" s="120"/>
      <c r="D120" s="120"/>
      <c r="E120" s="120"/>
      <c r="F120" s="9"/>
      <c r="G120" s="77"/>
      <c r="H120" s="9"/>
      <c r="I120" s="9"/>
      <c r="J120" s="9"/>
      <c r="K120" s="9"/>
      <c r="L120" s="121"/>
      <c r="M120" s="121"/>
      <c r="N120" s="121"/>
      <c r="O120" s="9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x14ac:dyDescent="0.25">
      <c r="A121" s="9"/>
      <c r="B121" s="9"/>
      <c r="C121" s="120"/>
      <c r="D121" s="120"/>
      <c r="E121" s="120"/>
      <c r="F121" s="9"/>
      <c r="G121" s="77"/>
      <c r="H121" s="9"/>
      <c r="I121" s="9"/>
      <c r="J121" s="9"/>
      <c r="K121" s="9"/>
      <c r="L121" s="121"/>
      <c r="M121" s="121"/>
      <c r="N121" s="121"/>
      <c r="O121" s="9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x14ac:dyDescent="0.25">
      <c r="A122" s="9"/>
      <c r="B122" s="9"/>
      <c r="C122" s="120"/>
      <c r="D122" s="120"/>
      <c r="E122" s="120"/>
      <c r="F122" s="9"/>
      <c r="G122" s="77"/>
      <c r="H122" s="9"/>
      <c r="I122" s="9"/>
      <c r="J122" s="9"/>
      <c r="K122" s="9"/>
      <c r="L122" s="121"/>
      <c r="M122" s="121"/>
      <c r="N122" s="121"/>
      <c r="O122" s="9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x14ac:dyDescent="0.25">
      <c r="A123" s="9"/>
      <c r="B123" s="9"/>
      <c r="C123" s="120"/>
      <c r="D123" s="120"/>
      <c r="E123" s="120"/>
      <c r="F123" s="9"/>
      <c r="G123" s="77"/>
      <c r="H123" s="9"/>
      <c r="I123" s="9"/>
      <c r="J123" s="9"/>
      <c r="K123" s="9"/>
      <c r="L123" s="121"/>
      <c r="M123" s="121"/>
      <c r="N123" s="121"/>
      <c r="O123" s="9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x14ac:dyDescent="0.25">
      <c r="A124" s="9"/>
      <c r="B124" s="9"/>
      <c r="C124" s="120"/>
      <c r="D124" s="120"/>
      <c r="E124" s="120"/>
      <c r="F124" s="9"/>
      <c r="G124" s="77"/>
      <c r="H124" s="9"/>
      <c r="I124" s="9"/>
      <c r="J124" s="9"/>
      <c r="K124" s="9"/>
      <c r="L124" s="121"/>
      <c r="M124" s="121"/>
      <c r="N124" s="121"/>
      <c r="O124" s="9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x14ac:dyDescent="0.25">
      <c r="A125" s="9"/>
      <c r="B125" s="9"/>
      <c r="C125" s="120"/>
      <c r="D125" s="120"/>
      <c r="E125" s="120"/>
      <c r="F125" s="9"/>
      <c r="G125" s="77"/>
      <c r="H125" s="9"/>
      <c r="I125" s="9"/>
      <c r="J125" s="9"/>
      <c r="K125" s="9"/>
      <c r="L125" s="121"/>
      <c r="M125" s="121"/>
      <c r="N125" s="121"/>
      <c r="O125" s="9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x14ac:dyDescent="0.25">
      <c r="A126" s="9"/>
      <c r="B126" s="9"/>
      <c r="C126" s="120"/>
      <c r="D126" s="120"/>
      <c r="E126" s="120"/>
      <c r="F126" s="9"/>
      <c r="G126" s="77"/>
      <c r="H126" s="9"/>
      <c r="I126" s="9"/>
      <c r="J126" s="9"/>
      <c r="K126" s="9"/>
      <c r="L126" s="121"/>
      <c r="M126" s="121"/>
      <c r="N126" s="121"/>
      <c r="O126" s="9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x14ac:dyDescent="0.25">
      <c r="A127" s="9"/>
      <c r="B127" s="9"/>
      <c r="C127" s="120"/>
      <c r="D127" s="120"/>
      <c r="E127" s="120"/>
      <c r="F127" s="9"/>
      <c r="G127" s="77"/>
      <c r="H127" s="9"/>
      <c r="I127" s="9"/>
      <c r="J127" s="9"/>
      <c r="K127" s="9"/>
      <c r="L127" s="121"/>
      <c r="M127" s="121"/>
      <c r="N127" s="121"/>
      <c r="O127" s="9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x14ac:dyDescent="0.25">
      <c r="A128" s="9"/>
      <c r="B128" s="9"/>
      <c r="C128" s="120"/>
      <c r="D128" s="120"/>
      <c r="E128" s="120"/>
      <c r="F128" s="9"/>
      <c r="G128" s="77"/>
      <c r="H128" s="9"/>
      <c r="I128" s="9"/>
      <c r="J128" s="9"/>
      <c r="K128" s="9"/>
      <c r="L128" s="121"/>
      <c r="M128" s="121"/>
      <c r="N128" s="121"/>
      <c r="O128" s="9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x14ac:dyDescent="0.25">
      <c r="A129" s="9"/>
      <c r="B129" s="9"/>
      <c r="C129" s="120"/>
      <c r="D129" s="120"/>
      <c r="E129" s="120"/>
      <c r="F129" s="9"/>
      <c r="G129" s="77"/>
      <c r="H129" s="9"/>
      <c r="I129" s="9"/>
      <c r="J129" s="9"/>
      <c r="K129" s="9"/>
      <c r="L129" s="121"/>
      <c r="M129" s="121"/>
      <c r="N129" s="121"/>
      <c r="O129" s="9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x14ac:dyDescent="0.25">
      <c r="A130" s="9"/>
      <c r="B130" s="9"/>
      <c r="C130" s="120"/>
      <c r="D130" s="120"/>
      <c r="E130" s="120"/>
      <c r="F130" s="9"/>
      <c r="G130" s="77"/>
      <c r="H130" s="9"/>
      <c r="I130" s="9"/>
      <c r="J130" s="9"/>
      <c r="K130" s="9"/>
      <c r="L130" s="121"/>
      <c r="M130" s="121"/>
      <c r="N130" s="121"/>
      <c r="O130" s="9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x14ac:dyDescent="0.25">
      <c r="A131" s="9"/>
      <c r="B131" s="9"/>
      <c r="C131" s="120"/>
      <c r="D131" s="120"/>
      <c r="E131" s="120"/>
      <c r="F131" s="9"/>
      <c r="G131" s="77"/>
      <c r="H131" s="9"/>
      <c r="I131" s="9"/>
      <c r="J131" s="9"/>
      <c r="K131" s="9"/>
      <c r="L131" s="121"/>
      <c r="M131" s="121"/>
      <c r="N131" s="121"/>
      <c r="O131" s="9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x14ac:dyDescent="0.25">
      <c r="A132" s="9"/>
      <c r="B132" s="9"/>
      <c r="C132" s="120"/>
      <c r="D132" s="120"/>
      <c r="E132" s="120"/>
      <c r="F132" s="9"/>
      <c r="G132" s="77"/>
      <c r="H132" s="9"/>
      <c r="I132" s="9"/>
      <c r="J132" s="9"/>
      <c r="K132" s="9"/>
      <c r="L132" s="121"/>
      <c r="M132" s="121"/>
      <c r="N132" s="121"/>
      <c r="O132" s="9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x14ac:dyDescent="0.25">
      <c r="A133" s="9"/>
      <c r="B133" s="9"/>
      <c r="C133" s="120"/>
      <c r="D133" s="120"/>
      <c r="E133" s="120"/>
      <c r="F133" s="9"/>
      <c r="G133" s="77"/>
      <c r="H133" s="9"/>
      <c r="I133" s="9"/>
      <c r="J133" s="9"/>
      <c r="K133" s="9"/>
      <c r="L133" s="121"/>
      <c r="M133" s="121"/>
      <c r="N133" s="121"/>
      <c r="O133" s="9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x14ac:dyDescent="0.25">
      <c r="A134" s="9"/>
      <c r="B134" s="9"/>
      <c r="C134" s="120"/>
      <c r="D134" s="120"/>
      <c r="E134" s="120"/>
      <c r="F134" s="9"/>
      <c r="G134" s="77"/>
      <c r="H134" s="9"/>
      <c r="I134" s="9"/>
      <c r="J134" s="9"/>
      <c r="K134" s="9"/>
      <c r="L134" s="121"/>
      <c r="M134" s="121"/>
      <c r="N134" s="121"/>
      <c r="O134" s="9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x14ac:dyDescent="0.25">
      <c r="A135" s="9"/>
      <c r="B135" s="9"/>
      <c r="C135" s="120"/>
      <c r="D135" s="120"/>
      <c r="E135" s="120"/>
      <c r="F135" s="9"/>
      <c r="G135" s="77"/>
      <c r="H135" s="9"/>
      <c r="I135" s="9"/>
      <c r="J135" s="9"/>
      <c r="K135" s="9"/>
      <c r="L135" s="121"/>
      <c r="M135" s="121"/>
      <c r="N135" s="121"/>
      <c r="O135" s="9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x14ac:dyDescent="0.25">
      <c r="A136" s="9"/>
      <c r="B136" s="9"/>
      <c r="C136" s="120"/>
      <c r="D136" s="120"/>
      <c r="E136" s="120"/>
      <c r="F136" s="9"/>
      <c r="G136" s="77"/>
      <c r="H136" s="9"/>
      <c r="I136" s="9"/>
      <c r="J136" s="9"/>
      <c r="K136" s="9"/>
      <c r="L136" s="121"/>
      <c r="M136" s="121"/>
      <c r="N136" s="121"/>
      <c r="O136" s="9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x14ac:dyDescent="0.25">
      <c r="A137" s="9"/>
      <c r="B137" s="9"/>
      <c r="C137" s="120"/>
      <c r="D137" s="120"/>
      <c r="E137" s="120"/>
      <c r="F137" s="9"/>
      <c r="G137" s="77"/>
      <c r="H137" s="9"/>
      <c r="I137" s="9"/>
      <c r="J137" s="9"/>
      <c r="K137" s="9"/>
      <c r="L137" s="121"/>
      <c r="M137" s="121"/>
      <c r="N137" s="121"/>
      <c r="O137" s="9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x14ac:dyDescent="0.25">
      <c r="A138" s="9"/>
      <c r="B138" s="9"/>
      <c r="C138" s="120"/>
      <c r="D138" s="120"/>
      <c r="E138" s="120"/>
      <c r="F138" s="9"/>
      <c r="G138" s="77"/>
      <c r="H138" s="9"/>
      <c r="I138" s="9"/>
      <c r="J138" s="9"/>
      <c r="K138" s="9"/>
      <c r="L138" s="121"/>
      <c r="M138" s="121"/>
      <c r="N138" s="121"/>
      <c r="O138" s="9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x14ac:dyDescent="0.25">
      <c r="A139" s="9"/>
      <c r="B139" s="9"/>
      <c r="C139" s="120"/>
      <c r="D139" s="120"/>
      <c r="E139" s="120"/>
      <c r="F139" s="9"/>
      <c r="G139" s="77"/>
      <c r="H139" s="9"/>
      <c r="I139" s="9"/>
      <c r="J139" s="9"/>
      <c r="K139" s="9"/>
      <c r="L139" s="121"/>
      <c r="M139" s="121"/>
      <c r="N139" s="121"/>
      <c r="O139" s="9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x14ac:dyDescent="0.25">
      <c r="A140" s="9"/>
      <c r="B140" s="9"/>
      <c r="C140" s="120"/>
      <c r="D140" s="120"/>
      <c r="E140" s="120"/>
      <c r="F140" s="9"/>
      <c r="G140" s="77"/>
      <c r="H140" s="9"/>
      <c r="I140" s="9"/>
      <c r="J140" s="9"/>
      <c r="K140" s="9"/>
      <c r="L140" s="121"/>
      <c r="M140" s="121"/>
      <c r="N140" s="121"/>
      <c r="O140" s="9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x14ac:dyDescent="0.25">
      <c r="A141" s="9"/>
      <c r="B141" s="9"/>
      <c r="C141" s="120"/>
      <c r="D141" s="120"/>
      <c r="E141" s="120"/>
      <c r="F141" s="9"/>
      <c r="G141" s="77"/>
      <c r="H141" s="9"/>
      <c r="I141" s="9"/>
      <c r="J141" s="9"/>
      <c r="K141" s="9"/>
      <c r="L141" s="121"/>
      <c r="M141" s="121"/>
      <c r="N141" s="121"/>
      <c r="O141" s="9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x14ac:dyDescent="0.25">
      <c r="A142" s="9"/>
      <c r="B142" s="9"/>
      <c r="C142" s="120"/>
      <c r="D142" s="120"/>
      <c r="E142" s="120"/>
      <c r="F142" s="9"/>
      <c r="G142" s="77"/>
      <c r="H142" s="9"/>
      <c r="I142" s="9"/>
      <c r="J142" s="9"/>
      <c r="K142" s="9"/>
      <c r="L142" s="121"/>
      <c r="M142" s="121"/>
      <c r="N142" s="121"/>
      <c r="O142" s="9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x14ac:dyDescent="0.25">
      <c r="A143" s="9"/>
      <c r="B143" s="9"/>
      <c r="C143" s="120"/>
      <c r="D143" s="120"/>
      <c r="E143" s="120"/>
      <c r="F143" s="9"/>
      <c r="G143" s="77"/>
      <c r="H143" s="9"/>
      <c r="I143" s="9"/>
      <c r="J143" s="9"/>
      <c r="K143" s="9"/>
      <c r="L143" s="121"/>
      <c r="M143" s="121"/>
      <c r="N143" s="121"/>
      <c r="O143" s="9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x14ac:dyDescent="0.25">
      <c r="A144" s="9"/>
      <c r="B144" s="9"/>
      <c r="C144" s="120"/>
      <c r="D144" s="120"/>
      <c r="E144" s="120"/>
      <c r="F144" s="9"/>
      <c r="G144" s="77"/>
      <c r="H144" s="9"/>
      <c r="I144" s="9"/>
      <c r="J144" s="9"/>
      <c r="K144" s="9"/>
      <c r="L144" s="121"/>
      <c r="M144" s="121"/>
      <c r="N144" s="121"/>
      <c r="O144" s="9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x14ac:dyDescent="0.25">
      <c r="A145" s="9"/>
      <c r="B145" s="9"/>
      <c r="C145" s="120"/>
      <c r="D145" s="120"/>
      <c r="E145" s="120"/>
      <c r="F145" s="9"/>
      <c r="G145" s="77"/>
      <c r="H145" s="9"/>
      <c r="I145" s="9"/>
      <c r="J145" s="9"/>
      <c r="K145" s="9"/>
      <c r="L145" s="121"/>
      <c r="M145" s="121"/>
      <c r="N145" s="121"/>
      <c r="O145" s="9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x14ac:dyDescent="0.25">
      <c r="A146" s="9"/>
      <c r="B146" s="9"/>
      <c r="C146" s="120"/>
      <c r="D146" s="120"/>
      <c r="E146" s="120"/>
      <c r="F146" s="9"/>
      <c r="G146" s="77"/>
      <c r="H146" s="9"/>
      <c r="I146" s="9"/>
      <c r="J146" s="9"/>
      <c r="K146" s="9"/>
      <c r="L146" s="121"/>
      <c r="M146" s="121"/>
      <c r="N146" s="121"/>
      <c r="O146" s="9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x14ac:dyDescent="0.25">
      <c r="A147" s="9"/>
      <c r="B147" s="9"/>
      <c r="C147" s="120"/>
      <c r="D147" s="120"/>
      <c r="E147" s="120"/>
      <c r="F147" s="9"/>
      <c r="G147" s="77"/>
      <c r="H147" s="9"/>
      <c r="I147" s="9"/>
      <c r="J147" s="9"/>
      <c r="K147" s="9"/>
      <c r="L147" s="121"/>
      <c r="M147" s="121"/>
      <c r="N147" s="121"/>
      <c r="O147" s="9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x14ac:dyDescent="0.25">
      <c r="A148" s="9"/>
      <c r="B148" s="9"/>
      <c r="C148" s="120"/>
      <c r="D148" s="120"/>
      <c r="E148" s="120"/>
      <c r="F148" s="9"/>
      <c r="G148" s="77"/>
      <c r="H148" s="9"/>
      <c r="I148" s="9"/>
      <c r="J148" s="9"/>
      <c r="K148" s="9"/>
      <c r="L148" s="121"/>
      <c r="M148" s="121"/>
      <c r="N148" s="121"/>
      <c r="O148" s="9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x14ac:dyDescent="0.25">
      <c r="A149" s="9"/>
      <c r="B149" s="9"/>
      <c r="C149" s="120"/>
      <c r="D149" s="120"/>
      <c r="E149" s="120"/>
      <c r="F149" s="9"/>
      <c r="G149" s="77"/>
      <c r="H149" s="9"/>
      <c r="I149" s="9"/>
      <c r="J149" s="9"/>
      <c r="K149" s="9"/>
      <c r="L149" s="121"/>
      <c r="M149" s="121"/>
      <c r="N149" s="121"/>
      <c r="O149" s="9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x14ac:dyDescent="0.25">
      <c r="A150" s="9"/>
      <c r="B150" s="9"/>
      <c r="C150" s="120"/>
      <c r="D150" s="120"/>
      <c r="E150" s="120"/>
      <c r="F150" s="9"/>
      <c r="G150" s="77"/>
      <c r="H150" s="9"/>
      <c r="I150" s="9"/>
      <c r="J150" s="9"/>
      <c r="K150" s="9"/>
      <c r="L150" s="121"/>
      <c r="M150" s="121"/>
      <c r="N150" s="121"/>
      <c r="O150" s="9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x14ac:dyDescent="0.25">
      <c r="A151" s="9"/>
      <c r="B151" s="9"/>
      <c r="C151" s="120"/>
      <c r="D151" s="120"/>
      <c r="E151" s="120"/>
      <c r="F151" s="9"/>
      <c r="G151" s="77"/>
      <c r="H151" s="9"/>
      <c r="I151" s="9"/>
      <c r="J151" s="9"/>
      <c r="K151" s="9"/>
      <c r="L151" s="121"/>
      <c r="M151" s="121"/>
      <c r="N151" s="121"/>
      <c r="O151" s="9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x14ac:dyDescent="0.25">
      <c r="A152" s="9"/>
      <c r="B152" s="9"/>
      <c r="C152" s="120"/>
      <c r="D152" s="120"/>
      <c r="E152" s="120"/>
      <c r="F152" s="9"/>
      <c r="G152" s="77"/>
      <c r="H152" s="9"/>
      <c r="I152" s="9"/>
      <c r="J152" s="9"/>
      <c r="K152" s="9"/>
      <c r="L152" s="121"/>
      <c r="M152" s="121"/>
      <c r="N152" s="121"/>
      <c r="O152" s="9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x14ac:dyDescent="0.25">
      <c r="A153" s="9"/>
      <c r="B153" s="9"/>
      <c r="C153" s="120"/>
      <c r="D153" s="120"/>
      <c r="E153" s="120"/>
      <c r="F153" s="9"/>
      <c r="G153" s="77"/>
      <c r="H153" s="9"/>
      <c r="I153" s="9"/>
      <c r="J153" s="9"/>
      <c r="K153" s="9"/>
      <c r="L153" s="121"/>
      <c r="M153" s="121"/>
      <c r="N153" s="121"/>
      <c r="O153" s="9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x14ac:dyDescent="0.25">
      <c r="A154" s="9"/>
      <c r="B154" s="9"/>
      <c r="C154" s="120"/>
      <c r="D154" s="120"/>
      <c r="E154" s="120"/>
      <c r="F154" s="9"/>
      <c r="G154" s="77"/>
      <c r="H154" s="9"/>
      <c r="I154" s="9"/>
      <c r="J154" s="9"/>
      <c r="K154" s="9"/>
      <c r="L154" s="121"/>
      <c r="M154" s="121"/>
      <c r="N154" s="121"/>
      <c r="O154" s="9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x14ac:dyDescent="0.25">
      <c r="A155" s="9"/>
      <c r="B155" s="9"/>
      <c r="C155" s="120"/>
      <c r="D155" s="120"/>
      <c r="E155" s="120"/>
      <c r="F155" s="9"/>
      <c r="G155" s="77"/>
      <c r="H155" s="9"/>
      <c r="I155" s="9"/>
      <c r="J155" s="9"/>
      <c r="K155" s="9"/>
      <c r="L155" s="121"/>
      <c r="M155" s="121"/>
      <c r="N155" s="121"/>
      <c r="O155" s="9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x14ac:dyDescent="0.25">
      <c r="A156" s="9"/>
      <c r="B156" s="9"/>
      <c r="C156" s="120"/>
      <c r="D156" s="120"/>
      <c r="E156" s="120"/>
      <c r="F156" s="9"/>
      <c r="G156" s="77"/>
      <c r="H156" s="9"/>
      <c r="I156" s="9"/>
      <c r="J156" s="9"/>
      <c r="K156" s="9"/>
      <c r="L156" s="121"/>
      <c r="M156" s="121"/>
      <c r="N156" s="121"/>
      <c r="O156" s="9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x14ac:dyDescent="0.25">
      <c r="A157" s="9"/>
      <c r="B157" s="9"/>
      <c r="C157" s="120"/>
      <c r="D157" s="120"/>
      <c r="E157" s="120"/>
      <c r="F157" s="9"/>
      <c r="G157" s="77"/>
      <c r="H157" s="9"/>
      <c r="I157" s="9"/>
      <c r="J157" s="9"/>
      <c r="K157" s="9"/>
      <c r="L157" s="121"/>
      <c r="M157" s="121"/>
      <c r="N157" s="121"/>
      <c r="O157" s="9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x14ac:dyDescent="0.25">
      <c r="A158" s="9"/>
      <c r="B158" s="9"/>
      <c r="C158" s="120"/>
      <c r="D158" s="120"/>
      <c r="E158" s="120"/>
      <c r="F158" s="9"/>
      <c r="G158" s="77"/>
      <c r="H158" s="9"/>
      <c r="I158" s="9"/>
      <c r="J158" s="9"/>
      <c r="K158" s="9"/>
      <c r="L158" s="121"/>
      <c r="M158" s="121"/>
      <c r="N158" s="121"/>
      <c r="O158" s="9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x14ac:dyDescent="0.25">
      <c r="A159" s="9"/>
      <c r="B159" s="9"/>
      <c r="C159" s="120"/>
      <c r="D159" s="120"/>
      <c r="E159" s="120"/>
      <c r="F159" s="9"/>
      <c r="G159" s="77"/>
      <c r="H159" s="9"/>
      <c r="I159" s="9"/>
      <c r="J159" s="9"/>
      <c r="K159" s="9"/>
      <c r="L159" s="121"/>
      <c r="M159" s="121"/>
      <c r="N159" s="121"/>
      <c r="O159" s="9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x14ac:dyDescent="0.25">
      <c r="A160" s="9"/>
      <c r="B160" s="9"/>
      <c r="C160" s="120"/>
      <c r="D160" s="120"/>
      <c r="E160" s="120"/>
      <c r="F160" s="9"/>
      <c r="G160" s="77"/>
      <c r="H160" s="9"/>
      <c r="I160" s="9"/>
      <c r="J160" s="9"/>
      <c r="K160" s="9"/>
      <c r="L160" s="121"/>
      <c r="M160" s="121"/>
      <c r="N160" s="121"/>
      <c r="O160" s="9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x14ac:dyDescent="0.25">
      <c r="A161" s="9"/>
      <c r="B161" s="9"/>
      <c r="C161" s="120"/>
      <c r="D161" s="120"/>
      <c r="E161" s="120"/>
      <c r="F161" s="9"/>
      <c r="G161" s="77"/>
      <c r="H161" s="9"/>
      <c r="I161" s="9"/>
      <c r="J161" s="9"/>
      <c r="K161" s="9"/>
      <c r="L161" s="121"/>
      <c r="M161" s="121"/>
      <c r="N161" s="121"/>
      <c r="O161" s="9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x14ac:dyDescent="0.25">
      <c r="A162" s="9"/>
      <c r="B162" s="9"/>
      <c r="C162" s="120"/>
      <c r="D162" s="120"/>
      <c r="E162" s="120"/>
      <c r="F162" s="9"/>
      <c r="G162" s="77"/>
      <c r="H162" s="9"/>
      <c r="I162" s="9"/>
      <c r="J162" s="9"/>
      <c r="K162" s="9"/>
      <c r="L162" s="121"/>
      <c r="M162" s="121"/>
      <c r="N162" s="121"/>
      <c r="O162" s="9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x14ac:dyDescent="0.25">
      <c r="A163" s="9"/>
      <c r="B163" s="9"/>
      <c r="C163" s="120"/>
      <c r="D163" s="120"/>
      <c r="E163" s="120"/>
      <c r="F163" s="9"/>
      <c r="G163" s="77"/>
      <c r="H163" s="9"/>
      <c r="I163" s="9"/>
      <c r="J163" s="9"/>
      <c r="K163" s="9"/>
      <c r="L163" s="121"/>
      <c r="M163" s="121"/>
      <c r="N163" s="121"/>
      <c r="O163" s="9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x14ac:dyDescent="0.25">
      <c r="A164" s="9"/>
      <c r="B164" s="9"/>
      <c r="C164" s="120"/>
      <c r="D164" s="120"/>
      <c r="E164" s="120"/>
      <c r="F164" s="9"/>
      <c r="G164" s="77"/>
      <c r="H164" s="9"/>
      <c r="I164" s="9"/>
      <c r="J164" s="9"/>
      <c r="K164" s="9"/>
      <c r="L164" s="121"/>
      <c r="M164" s="121"/>
      <c r="N164" s="121"/>
      <c r="O164" s="9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x14ac:dyDescent="0.25">
      <c r="A165" s="9"/>
      <c r="B165" s="9"/>
      <c r="C165" s="120"/>
      <c r="D165" s="120"/>
      <c r="E165" s="120"/>
      <c r="F165" s="9"/>
      <c r="G165" s="77"/>
      <c r="H165" s="9"/>
      <c r="I165" s="9"/>
      <c r="J165" s="9"/>
      <c r="K165" s="9"/>
      <c r="L165" s="121"/>
      <c r="M165" s="121"/>
      <c r="N165" s="121"/>
      <c r="O165" s="9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x14ac:dyDescent="0.25">
      <c r="A166" s="9"/>
      <c r="B166" s="9"/>
      <c r="C166" s="120"/>
      <c r="D166" s="120"/>
      <c r="E166" s="120"/>
      <c r="F166" s="9"/>
      <c r="G166" s="77"/>
      <c r="H166" s="9"/>
      <c r="I166" s="9"/>
      <c r="J166" s="9"/>
      <c r="K166" s="9"/>
      <c r="L166" s="121"/>
      <c r="M166" s="121"/>
      <c r="N166" s="121"/>
      <c r="O166" s="9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x14ac:dyDescent="0.25">
      <c r="A167" s="9"/>
      <c r="B167" s="9"/>
      <c r="C167" s="120"/>
      <c r="D167" s="120"/>
      <c r="E167" s="120"/>
      <c r="F167" s="9"/>
      <c r="G167" s="77"/>
      <c r="H167" s="9"/>
      <c r="I167" s="9"/>
      <c r="J167" s="9"/>
      <c r="K167" s="9"/>
      <c r="L167" s="121"/>
      <c r="M167" s="121"/>
      <c r="N167" s="121"/>
      <c r="O167" s="9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x14ac:dyDescent="0.25">
      <c r="A168" s="9"/>
      <c r="B168" s="9"/>
      <c r="C168" s="120"/>
      <c r="D168" s="120"/>
      <c r="E168" s="120"/>
      <c r="F168" s="9"/>
      <c r="G168" s="77"/>
      <c r="H168" s="9"/>
      <c r="I168" s="9"/>
      <c r="J168" s="9"/>
      <c r="K168" s="9"/>
      <c r="L168" s="121"/>
      <c r="M168" s="121"/>
      <c r="N168" s="121"/>
      <c r="O168" s="9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x14ac:dyDescent="0.25">
      <c r="A169" s="9"/>
      <c r="B169" s="9"/>
      <c r="C169" s="120"/>
      <c r="D169" s="120"/>
      <c r="E169" s="120"/>
      <c r="F169" s="9"/>
      <c r="G169" s="77"/>
      <c r="H169" s="9"/>
      <c r="I169" s="9"/>
      <c r="J169" s="9"/>
      <c r="K169" s="9"/>
      <c r="L169" s="121"/>
      <c r="M169" s="121"/>
      <c r="N169" s="121"/>
      <c r="O169" s="9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x14ac:dyDescent="0.25">
      <c r="A170" s="9"/>
      <c r="B170" s="9"/>
      <c r="C170" s="120"/>
      <c r="D170" s="120"/>
      <c r="E170" s="120"/>
      <c r="F170" s="9"/>
      <c r="G170" s="77"/>
      <c r="H170" s="9"/>
      <c r="I170" s="9"/>
      <c r="J170" s="9"/>
      <c r="K170" s="9"/>
      <c r="L170" s="121"/>
      <c r="M170" s="121"/>
      <c r="N170" s="121"/>
      <c r="O170" s="9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x14ac:dyDescent="0.25">
      <c r="A171" s="9"/>
      <c r="B171" s="9"/>
      <c r="C171" s="120"/>
      <c r="D171" s="120"/>
      <c r="E171" s="120"/>
      <c r="F171" s="9"/>
      <c r="G171" s="77"/>
      <c r="H171" s="9"/>
      <c r="I171" s="9"/>
      <c r="J171" s="9"/>
      <c r="K171" s="9"/>
      <c r="L171" s="121"/>
      <c r="M171" s="121"/>
      <c r="N171" s="121"/>
      <c r="O171" s="9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x14ac:dyDescent="0.25">
      <c r="A172" s="9"/>
      <c r="B172" s="9"/>
      <c r="C172" s="120"/>
      <c r="D172" s="120"/>
      <c r="E172" s="120"/>
      <c r="F172" s="9"/>
      <c r="G172" s="77"/>
      <c r="H172" s="9"/>
      <c r="I172" s="9"/>
      <c r="J172" s="9"/>
      <c r="K172" s="9"/>
      <c r="L172" s="121"/>
      <c r="M172" s="121"/>
      <c r="N172" s="121"/>
      <c r="O172" s="9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x14ac:dyDescent="0.25">
      <c r="A173" s="9"/>
      <c r="B173" s="9"/>
      <c r="C173" s="120"/>
      <c r="D173" s="120"/>
      <c r="E173" s="120"/>
      <c r="F173" s="9"/>
      <c r="G173" s="77"/>
      <c r="H173" s="9"/>
      <c r="I173" s="9"/>
      <c r="J173" s="9"/>
      <c r="K173" s="9"/>
      <c r="L173" s="121"/>
      <c r="M173" s="121"/>
      <c r="N173" s="121"/>
      <c r="O173" s="9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x14ac:dyDescent="0.25">
      <c r="A174" s="9"/>
      <c r="B174" s="9"/>
      <c r="C174" s="120"/>
      <c r="D174" s="120"/>
      <c r="E174" s="120"/>
      <c r="F174" s="9"/>
      <c r="G174" s="77"/>
      <c r="H174" s="9"/>
      <c r="I174" s="9"/>
      <c r="J174" s="9"/>
      <c r="K174" s="9"/>
      <c r="L174" s="121"/>
      <c r="M174" s="121"/>
      <c r="N174" s="121"/>
      <c r="O174" s="9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x14ac:dyDescent="0.25">
      <c r="A175" s="9"/>
      <c r="B175" s="9"/>
      <c r="C175" s="120"/>
      <c r="D175" s="120"/>
      <c r="E175" s="120"/>
      <c r="F175" s="9"/>
      <c r="G175" s="77"/>
      <c r="H175" s="9"/>
      <c r="I175" s="9"/>
      <c r="J175" s="9"/>
      <c r="K175" s="9"/>
      <c r="L175" s="121"/>
      <c r="M175" s="121"/>
      <c r="N175" s="121"/>
      <c r="O175" s="9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x14ac:dyDescent="0.25">
      <c r="A176" s="9"/>
      <c r="B176" s="9"/>
      <c r="C176" s="120"/>
      <c r="D176" s="120"/>
      <c r="E176" s="120"/>
      <c r="F176" s="9"/>
      <c r="G176" s="77"/>
      <c r="H176" s="9"/>
      <c r="I176" s="9"/>
      <c r="J176" s="9"/>
      <c r="K176" s="9"/>
      <c r="L176" s="121"/>
      <c r="M176" s="121"/>
      <c r="N176" s="121"/>
      <c r="O176" s="9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x14ac:dyDescent="0.25">
      <c r="A177" s="9"/>
      <c r="B177" s="9"/>
      <c r="C177" s="120"/>
      <c r="D177" s="120"/>
      <c r="E177" s="120"/>
      <c r="F177" s="9"/>
      <c r="G177" s="77"/>
      <c r="H177" s="9"/>
      <c r="I177" s="9"/>
      <c r="J177" s="9"/>
      <c r="K177" s="9"/>
      <c r="L177" s="121"/>
      <c r="M177" s="121"/>
      <c r="N177" s="121"/>
      <c r="O177" s="9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x14ac:dyDescent="0.25">
      <c r="A178" s="9"/>
      <c r="B178" s="9"/>
      <c r="C178" s="120"/>
      <c r="D178" s="120"/>
      <c r="E178" s="120"/>
      <c r="F178" s="9"/>
      <c r="G178" s="77"/>
      <c r="H178" s="9"/>
      <c r="I178" s="9"/>
      <c r="J178" s="9"/>
      <c r="K178" s="9"/>
      <c r="L178" s="121"/>
      <c r="M178" s="121"/>
      <c r="N178" s="121"/>
      <c r="O178" s="9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x14ac:dyDescent="0.25">
      <c r="A179" s="9"/>
      <c r="B179" s="9"/>
      <c r="C179" s="120"/>
      <c r="D179" s="120"/>
      <c r="E179" s="120"/>
      <c r="F179" s="9"/>
      <c r="G179" s="77"/>
      <c r="H179" s="9"/>
      <c r="I179" s="9"/>
      <c r="J179" s="9"/>
      <c r="K179" s="9"/>
      <c r="L179" s="121"/>
      <c r="M179" s="121"/>
      <c r="N179" s="121"/>
      <c r="O179" s="9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x14ac:dyDescent="0.25">
      <c r="A180" s="9"/>
      <c r="B180" s="9"/>
      <c r="C180" s="120"/>
      <c r="D180" s="120"/>
      <c r="E180" s="120"/>
      <c r="F180" s="9"/>
      <c r="G180" s="77"/>
      <c r="H180" s="9"/>
      <c r="I180" s="9"/>
      <c r="J180" s="9"/>
      <c r="K180" s="9"/>
      <c r="L180" s="121"/>
      <c r="M180" s="121"/>
      <c r="N180" s="121"/>
      <c r="O180" s="9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x14ac:dyDescent="0.25">
      <c r="A181" s="9"/>
      <c r="B181" s="9"/>
      <c r="C181" s="120"/>
      <c r="D181" s="120"/>
      <c r="E181" s="120"/>
      <c r="F181" s="9"/>
      <c r="G181" s="77"/>
      <c r="H181" s="9"/>
      <c r="I181" s="9"/>
      <c r="J181" s="9"/>
      <c r="K181" s="9"/>
      <c r="L181" s="121"/>
      <c r="M181" s="121"/>
      <c r="N181" s="121"/>
      <c r="O181" s="9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x14ac:dyDescent="0.25">
      <c r="A182" s="9"/>
      <c r="B182" s="9"/>
      <c r="C182" s="120"/>
      <c r="D182" s="120"/>
      <c r="E182" s="120"/>
      <c r="F182" s="9"/>
      <c r="G182" s="77"/>
      <c r="H182" s="9"/>
      <c r="I182" s="9"/>
      <c r="J182" s="9"/>
      <c r="K182" s="9"/>
      <c r="L182" s="121"/>
      <c r="M182" s="121"/>
      <c r="N182" s="121"/>
      <c r="O182" s="9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x14ac:dyDescent="0.25">
      <c r="A183" s="9"/>
      <c r="B183" s="9"/>
      <c r="C183" s="120"/>
      <c r="D183" s="120"/>
      <c r="E183" s="120"/>
      <c r="F183" s="9"/>
      <c r="G183" s="77"/>
      <c r="H183" s="9"/>
      <c r="I183" s="9"/>
      <c r="J183" s="9"/>
      <c r="K183" s="9"/>
      <c r="L183" s="121"/>
      <c r="M183" s="121"/>
      <c r="N183" s="121"/>
      <c r="O183" s="9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x14ac:dyDescent="0.25">
      <c r="A184" s="9"/>
      <c r="B184" s="9"/>
      <c r="C184" s="120"/>
      <c r="D184" s="120"/>
      <c r="E184" s="120"/>
      <c r="F184" s="9"/>
      <c r="G184" s="77"/>
      <c r="H184" s="9"/>
      <c r="I184" s="9"/>
      <c r="J184" s="9"/>
      <c r="K184" s="9"/>
      <c r="L184" s="121"/>
      <c r="M184" s="121"/>
      <c r="N184" s="121"/>
      <c r="O184" s="9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x14ac:dyDescent="0.25">
      <c r="A185" s="9"/>
      <c r="B185" s="9"/>
      <c r="C185" s="120"/>
      <c r="D185" s="120"/>
      <c r="E185" s="120"/>
      <c r="F185" s="9"/>
      <c r="G185" s="77"/>
      <c r="H185" s="9"/>
      <c r="I185" s="9"/>
      <c r="J185" s="9"/>
      <c r="K185" s="9"/>
      <c r="L185" s="121"/>
      <c r="M185" s="121"/>
      <c r="N185" s="121"/>
      <c r="O185" s="9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x14ac:dyDescent="0.25">
      <c r="A186" s="9"/>
      <c r="B186" s="9"/>
      <c r="C186" s="120"/>
      <c r="D186" s="120"/>
      <c r="E186" s="120"/>
      <c r="F186" s="9"/>
      <c r="G186" s="77"/>
      <c r="H186" s="9"/>
      <c r="I186" s="9"/>
      <c r="J186" s="9"/>
      <c r="K186" s="9"/>
      <c r="L186" s="121"/>
      <c r="M186" s="121"/>
      <c r="N186" s="121"/>
      <c r="O186" s="9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x14ac:dyDescent="0.25">
      <c r="A187" s="9"/>
      <c r="B187" s="9"/>
      <c r="C187" s="120"/>
      <c r="D187" s="120"/>
      <c r="E187" s="120"/>
      <c r="F187" s="9"/>
      <c r="G187" s="77"/>
      <c r="H187" s="9"/>
      <c r="I187" s="9"/>
      <c r="J187" s="9"/>
      <c r="K187" s="9"/>
      <c r="L187" s="121"/>
      <c r="M187" s="121"/>
      <c r="N187" s="121"/>
      <c r="O187" s="9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x14ac:dyDescent="0.25">
      <c r="A188" s="9"/>
      <c r="B188" s="9"/>
      <c r="C188" s="120"/>
      <c r="D188" s="120"/>
      <c r="E188" s="120"/>
      <c r="F188" s="9"/>
      <c r="G188" s="77"/>
      <c r="H188" s="9"/>
      <c r="I188" s="9"/>
      <c r="J188" s="9"/>
      <c r="K188" s="9"/>
      <c r="L188" s="121"/>
      <c r="M188" s="121"/>
      <c r="N188" s="121"/>
      <c r="O188" s="9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x14ac:dyDescent="0.25">
      <c r="A189" s="9"/>
      <c r="B189" s="9"/>
      <c r="C189" s="120"/>
      <c r="D189" s="120"/>
      <c r="E189" s="120"/>
      <c r="F189" s="9"/>
      <c r="G189" s="77"/>
      <c r="H189" s="9"/>
      <c r="I189" s="9"/>
      <c r="J189" s="9"/>
      <c r="K189" s="9"/>
      <c r="L189" s="121"/>
      <c r="M189" s="121"/>
      <c r="N189" s="121"/>
      <c r="O189" s="9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x14ac:dyDescent="0.25">
      <c r="A190" s="9"/>
      <c r="B190" s="9"/>
      <c r="C190" s="120"/>
      <c r="D190" s="120"/>
      <c r="E190" s="120"/>
      <c r="F190" s="9"/>
      <c r="G190" s="77"/>
      <c r="H190" s="9"/>
      <c r="I190" s="9"/>
      <c r="J190" s="9"/>
      <c r="K190" s="9"/>
      <c r="L190" s="121"/>
      <c r="M190" s="121"/>
      <c r="N190" s="121"/>
      <c r="O190" s="9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x14ac:dyDescent="0.25">
      <c r="A191" s="9"/>
      <c r="B191" s="9"/>
      <c r="C191" s="120"/>
      <c r="D191" s="120"/>
      <c r="E191" s="120"/>
      <c r="F191" s="9"/>
      <c r="G191" s="77"/>
      <c r="H191" s="9"/>
      <c r="I191" s="9"/>
      <c r="J191" s="9"/>
      <c r="K191" s="9"/>
      <c r="L191" s="121"/>
      <c r="M191" s="121"/>
      <c r="N191" s="121"/>
      <c r="O191" s="9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x14ac:dyDescent="0.25">
      <c r="A192" s="9"/>
      <c r="B192" s="9"/>
      <c r="C192" s="120"/>
      <c r="D192" s="120"/>
      <c r="E192" s="120"/>
      <c r="F192" s="9"/>
      <c r="G192" s="77"/>
      <c r="H192" s="9"/>
      <c r="I192" s="9"/>
      <c r="J192" s="9"/>
      <c r="K192" s="9"/>
      <c r="L192" s="121"/>
      <c r="M192" s="121"/>
      <c r="N192" s="121"/>
      <c r="O192" s="9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x14ac:dyDescent="0.25">
      <c r="A193" s="9"/>
      <c r="B193" s="9"/>
      <c r="C193" s="120"/>
      <c r="D193" s="120"/>
      <c r="E193" s="120"/>
      <c r="F193" s="9"/>
      <c r="G193" s="77"/>
      <c r="H193" s="9"/>
      <c r="I193" s="9"/>
      <c r="J193" s="9"/>
      <c r="K193" s="9"/>
      <c r="L193" s="121"/>
      <c r="M193" s="121"/>
      <c r="N193" s="121"/>
      <c r="O193" s="9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x14ac:dyDescent="0.25">
      <c r="A194" s="9"/>
      <c r="B194" s="9"/>
      <c r="C194" s="120"/>
      <c r="D194" s="120"/>
      <c r="E194" s="120"/>
      <c r="F194" s="9"/>
      <c r="G194" s="77"/>
      <c r="H194" s="9"/>
      <c r="I194" s="9"/>
      <c r="J194" s="9"/>
      <c r="K194" s="9"/>
      <c r="L194" s="121"/>
      <c r="M194" s="121"/>
      <c r="N194" s="121"/>
      <c r="O194" s="9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x14ac:dyDescent="0.25">
      <c r="A195" s="9"/>
      <c r="B195" s="9"/>
      <c r="C195" s="120"/>
      <c r="D195" s="120"/>
      <c r="E195" s="120"/>
      <c r="F195" s="9"/>
      <c r="G195" s="77"/>
      <c r="H195" s="9"/>
      <c r="I195" s="9"/>
      <c r="J195" s="9"/>
      <c r="K195" s="9"/>
      <c r="L195" s="121"/>
      <c r="M195" s="121"/>
      <c r="N195" s="121"/>
      <c r="O195" s="9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x14ac:dyDescent="0.25">
      <c r="A196" s="9"/>
      <c r="B196" s="9"/>
      <c r="C196" s="120"/>
      <c r="D196" s="120"/>
      <c r="E196" s="120"/>
      <c r="F196" s="9"/>
      <c r="G196" s="77"/>
      <c r="H196" s="9"/>
      <c r="I196" s="9"/>
      <c r="J196" s="9"/>
      <c r="K196" s="9"/>
      <c r="L196" s="121"/>
      <c r="M196" s="121"/>
      <c r="N196" s="121"/>
      <c r="O196" s="9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x14ac:dyDescent="0.25">
      <c r="A197" s="9"/>
      <c r="B197" s="9"/>
      <c r="C197" s="120"/>
      <c r="D197" s="120"/>
      <c r="E197" s="120"/>
      <c r="F197" s="9"/>
      <c r="G197" s="77"/>
      <c r="H197" s="9"/>
      <c r="I197" s="9"/>
      <c r="J197" s="9"/>
      <c r="K197" s="9"/>
      <c r="L197" s="121"/>
      <c r="M197" s="121"/>
      <c r="N197" s="121"/>
      <c r="O197" s="9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x14ac:dyDescent="0.25">
      <c r="A198" s="9"/>
      <c r="B198" s="9"/>
      <c r="C198" s="120"/>
      <c r="D198" s="120"/>
      <c r="E198" s="120"/>
      <c r="F198" s="9"/>
      <c r="G198" s="77"/>
      <c r="H198" s="9"/>
      <c r="I198" s="9"/>
      <c r="J198" s="9"/>
      <c r="K198" s="9"/>
      <c r="L198" s="121"/>
      <c r="M198" s="121"/>
      <c r="N198" s="121"/>
      <c r="O198" s="9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x14ac:dyDescent="0.25">
      <c r="A199" s="9"/>
      <c r="B199" s="9"/>
      <c r="C199" s="120"/>
      <c r="D199" s="120"/>
      <c r="E199" s="120"/>
      <c r="F199" s="9"/>
      <c r="G199" s="77"/>
      <c r="H199" s="9"/>
      <c r="I199" s="9"/>
      <c r="J199" s="9"/>
      <c r="K199" s="9"/>
      <c r="L199" s="121"/>
      <c r="M199" s="121"/>
      <c r="N199" s="121"/>
      <c r="O199" s="9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x14ac:dyDescent="0.25">
      <c r="A200" s="9"/>
      <c r="B200" s="9"/>
      <c r="C200" s="120"/>
      <c r="D200" s="120"/>
      <c r="E200" s="120"/>
      <c r="F200" s="9"/>
      <c r="G200" s="77"/>
      <c r="H200" s="9"/>
      <c r="I200" s="9"/>
      <c r="J200" s="9"/>
      <c r="K200" s="9"/>
      <c r="L200" s="121"/>
      <c r="M200" s="121"/>
      <c r="N200" s="121"/>
      <c r="O200" s="9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x14ac:dyDescent="0.25">
      <c r="A201" s="9"/>
      <c r="B201" s="9"/>
      <c r="C201" s="120"/>
      <c r="D201" s="120"/>
      <c r="E201" s="120"/>
      <c r="F201" s="9"/>
      <c r="G201" s="77"/>
      <c r="H201" s="9"/>
      <c r="I201" s="9"/>
      <c r="J201" s="9"/>
      <c r="K201" s="9"/>
      <c r="L201" s="121"/>
      <c r="M201" s="121"/>
      <c r="N201" s="121"/>
      <c r="O201" s="9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x14ac:dyDescent="0.25">
      <c r="A202" s="9"/>
      <c r="B202" s="9"/>
      <c r="C202" s="120"/>
      <c r="D202" s="120"/>
      <c r="E202" s="120"/>
      <c r="F202" s="9"/>
      <c r="G202" s="77"/>
      <c r="H202" s="9"/>
      <c r="I202" s="9"/>
      <c r="J202" s="9"/>
      <c r="K202" s="9"/>
      <c r="L202" s="121"/>
      <c r="M202" s="121"/>
      <c r="N202" s="121"/>
      <c r="O202" s="9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x14ac:dyDescent="0.25">
      <c r="A203" s="9"/>
      <c r="B203" s="9"/>
      <c r="C203" s="120"/>
      <c r="D203" s="120"/>
      <c r="E203" s="120"/>
      <c r="F203" s="9"/>
      <c r="G203" s="77"/>
      <c r="H203" s="9"/>
      <c r="I203" s="9"/>
      <c r="J203" s="9"/>
      <c r="K203" s="9"/>
      <c r="L203" s="121"/>
      <c r="M203" s="121"/>
      <c r="N203" s="121"/>
      <c r="O203" s="9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x14ac:dyDescent="0.25">
      <c r="A204" s="9"/>
      <c r="B204" s="9"/>
      <c r="C204" s="120"/>
      <c r="D204" s="120"/>
      <c r="E204" s="120"/>
      <c r="F204" s="9"/>
      <c r="G204" s="77"/>
      <c r="H204" s="9"/>
      <c r="I204" s="9"/>
      <c r="J204" s="9"/>
      <c r="K204" s="9"/>
      <c r="L204" s="121"/>
      <c r="M204" s="121"/>
      <c r="N204" s="121"/>
      <c r="O204" s="9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x14ac:dyDescent="0.25">
      <c r="A205" s="9"/>
      <c r="B205" s="9"/>
      <c r="C205" s="120"/>
      <c r="D205" s="120"/>
      <c r="E205" s="120"/>
      <c r="F205" s="9"/>
      <c r="G205" s="77"/>
      <c r="H205" s="9"/>
      <c r="I205" s="9"/>
      <c r="J205" s="9"/>
      <c r="K205" s="9"/>
      <c r="L205" s="121"/>
      <c r="M205" s="121"/>
      <c r="N205" s="121"/>
      <c r="O205" s="9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x14ac:dyDescent="0.25">
      <c r="A206" s="9"/>
      <c r="B206" s="9"/>
      <c r="C206" s="120"/>
      <c r="D206" s="120"/>
      <c r="E206" s="120"/>
      <c r="F206" s="9"/>
      <c r="G206" s="77"/>
      <c r="H206" s="9"/>
      <c r="I206" s="9"/>
      <c r="J206" s="9"/>
      <c r="K206" s="9"/>
      <c r="L206" s="121"/>
      <c r="M206" s="121"/>
      <c r="N206" s="121"/>
      <c r="O206" s="9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x14ac:dyDescent="0.25">
      <c r="A207" s="9"/>
      <c r="B207" s="9"/>
      <c r="C207" s="120"/>
      <c r="D207" s="120"/>
      <c r="E207" s="120"/>
      <c r="F207" s="9"/>
      <c r="G207" s="77"/>
      <c r="H207" s="9"/>
      <c r="I207" s="9"/>
      <c r="J207" s="9"/>
      <c r="K207" s="9"/>
      <c r="L207" s="121"/>
      <c r="M207" s="121"/>
      <c r="N207" s="121"/>
      <c r="O207" s="9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x14ac:dyDescent="0.25">
      <c r="A208" s="9"/>
      <c r="B208" s="9"/>
      <c r="C208" s="120"/>
      <c r="D208" s="120"/>
      <c r="E208" s="120"/>
      <c r="F208" s="9"/>
      <c r="G208" s="77"/>
      <c r="H208" s="9"/>
      <c r="I208" s="9"/>
      <c r="J208" s="9"/>
      <c r="K208" s="9"/>
      <c r="L208" s="121"/>
      <c r="M208" s="121"/>
      <c r="N208" s="121"/>
      <c r="O208" s="9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x14ac:dyDescent="0.25">
      <c r="A209" s="9"/>
      <c r="B209" s="9"/>
      <c r="C209" s="120"/>
      <c r="D209" s="120"/>
      <c r="E209" s="120"/>
      <c r="F209" s="9"/>
      <c r="G209" s="77"/>
      <c r="H209" s="9"/>
      <c r="I209" s="9"/>
      <c r="J209" s="9"/>
      <c r="K209" s="9"/>
      <c r="L209" s="121"/>
      <c r="M209" s="121"/>
      <c r="N209" s="121"/>
      <c r="O209" s="9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x14ac:dyDescent="0.25">
      <c r="A210" s="9"/>
      <c r="B210" s="9"/>
      <c r="C210" s="120"/>
      <c r="D210" s="120"/>
      <c r="E210" s="120"/>
      <c r="F210" s="9"/>
      <c r="G210" s="77"/>
      <c r="H210" s="9"/>
      <c r="I210" s="9"/>
      <c r="J210" s="9"/>
      <c r="K210" s="9"/>
      <c r="L210" s="121"/>
      <c r="M210" s="121"/>
      <c r="N210" s="121"/>
      <c r="O210" s="9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x14ac:dyDescent="0.25">
      <c r="A211" s="9"/>
      <c r="B211" s="9"/>
      <c r="C211" s="120"/>
      <c r="D211" s="120"/>
      <c r="E211" s="120"/>
      <c r="F211" s="9"/>
      <c r="G211" s="77"/>
      <c r="H211" s="9"/>
      <c r="I211" s="9"/>
      <c r="J211" s="9"/>
      <c r="K211" s="9"/>
      <c r="L211" s="121"/>
      <c r="M211" s="121"/>
      <c r="N211" s="121"/>
      <c r="O211" s="9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x14ac:dyDescent="0.25">
      <c r="A212" s="9"/>
      <c r="B212" s="9"/>
      <c r="C212" s="120"/>
      <c r="D212" s="120"/>
      <c r="E212" s="120"/>
      <c r="F212" s="9"/>
      <c r="G212" s="77"/>
      <c r="H212" s="9"/>
      <c r="I212" s="9"/>
      <c r="J212" s="9"/>
      <c r="K212" s="9"/>
      <c r="L212" s="121"/>
      <c r="M212" s="121"/>
      <c r="N212" s="121"/>
      <c r="O212" s="9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x14ac:dyDescent="0.25">
      <c r="A213" s="9"/>
      <c r="B213" s="9"/>
      <c r="C213" s="120"/>
      <c r="D213" s="120"/>
      <c r="E213" s="120"/>
      <c r="F213" s="9"/>
      <c r="G213" s="77"/>
      <c r="H213" s="9"/>
      <c r="I213" s="9"/>
      <c r="J213" s="9"/>
      <c r="K213" s="9"/>
      <c r="L213" s="121"/>
      <c r="M213" s="121"/>
      <c r="N213" s="121"/>
      <c r="O213" s="9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x14ac:dyDescent="0.25">
      <c r="A214" s="9"/>
      <c r="B214" s="9"/>
      <c r="C214" s="120"/>
      <c r="D214" s="120"/>
      <c r="E214" s="120"/>
      <c r="F214" s="9"/>
      <c r="G214" s="77"/>
      <c r="H214" s="9"/>
      <c r="I214" s="9"/>
      <c r="J214" s="9"/>
      <c r="K214" s="9"/>
      <c r="L214" s="121"/>
      <c r="M214" s="121"/>
      <c r="N214" s="121"/>
      <c r="O214" s="9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x14ac:dyDescent="0.25">
      <c r="A215" s="9"/>
      <c r="B215" s="9"/>
      <c r="C215" s="120"/>
      <c r="D215" s="120"/>
      <c r="E215" s="120"/>
      <c r="F215" s="9"/>
      <c r="G215" s="77"/>
      <c r="H215" s="9"/>
      <c r="I215" s="9"/>
      <c r="J215" s="9"/>
      <c r="K215" s="9"/>
      <c r="L215" s="121"/>
      <c r="M215" s="121"/>
      <c r="N215" s="121"/>
      <c r="O215" s="9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x14ac:dyDescent="0.25">
      <c r="A216" s="9"/>
      <c r="B216" s="9"/>
      <c r="C216" s="120"/>
      <c r="D216" s="120"/>
      <c r="E216" s="120"/>
      <c r="F216" s="9"/>
      <c r="G216" s="77"/>
      <c r="H216" s="9"/>
      <c r="I216" s="9"/>
      <c r="J216" s="9"/>
      <c r="K216" s="9"/>
      <c r="L216" s="121"/>
      <c r="M216" s="121"/>
      <c r="N216" s="121"/>
      <c r="O216" s="9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x14ac:dyDescent="0.25">
      <c r="A217" s="9"/>
      <c r="B217" s="9"/>
      <c r="C217" s="120"/>
      <c r="D217" s="120"/>
      <c r="E217" s="120"/>
      <c r="F217" s="9"/>
      <c r="G217" s="77"/>
      <c r="H217" s="9"/>
      <c r="I217" s="9"/>
      <c r="J217" s="9"/>
      <c r="K217" s="9"/>
      <c r="L217" s="121"/>
      <c r="M217" s="121"/>
      <c r="N217" s="121"/>
      <c r="O217" s="9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x14ac:dyDescent="0.25">
      <c r="A218" s="9"/>
      <c r="B218" s="9"/>
      <c r="C218" s="120"/>
      <c r="D218" s="120"/>
      <c r="E218" s="120"/>
      <c r="F218" s="9"/>
      <c r="G218" s="77"/>
      <c r="H218" s="9"/>
      <c r="I218" s="9"/>
      <c r="J218" s="9"/>
      <c r="K218" s="9"/>
      <c r="L218" s="121"/>
      <c r="M218" s="121"/>
      <c r="N218" s="121"/>
      <c r="O218" s="9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x14ac:dyDescent="0.25">
      <c r="A219" s="9"/>
      <c r="B219" s="9"/>
      <c r="C219" s="120"/>
      <c r="D219" s="120"/>
      <c r="E219" s="120"/>
      <c r="F219" s="9"/>
      <c r="G219" s="77"/>
      <c r="H219" s="9"/>
      <c r="I219" s="9"/>
      <c r="J219" s="9"/>
      <c r="K219" s="9"/>
      <c r="L219" s="121"/>
      <c r="M219" s="121"/>
      <c r="N219" s="121"/>
      <c r="O219" s="9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x14ac:dyDescent="0.25">
      <c r="A220" s="9"/>
      <c r="B220" s="9"/>
      <c r="C220" s="120"/>
      <c r="D220" s="120"/>
      <c r="E220" s="120"/>
      <c r="F220" s="9"/>
      <c r="G220" s="77"/>
      <c r="H220" s="9"/>
      <c r="I220" s="9"/>
      <c r="J220" s="9"/>
      <c r="K220" s="9"/>
      <c r="L220" s="121"/>
      <c r="M220" s="121"/>
      <c r="N220" s="121"/>
      <c r="O220" s="9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x14ac:dyDescent="0.25">
      <c r="A221" s="9"/>
      <c r="B221" s="9"/>
      <c r="C221" s="120"/>
      <c r="D221" s="120"/>
      <c r="E221" s="120"/>
      <c r="F221" s="9"/>
      <c r="G221" s="77"/>
      <c r="H221" s="9"/>
      <c r="I221" s="9"/>
      <c r="J221" s="9"/>
      <c r="K221" s="9"/>
      <c r="L221" s="121"/>
      <c r="M221" s="121"/>
      <c r="N221" s="121"/>
      <c r="O221" s="9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x14ac:dyDescent="0.25">
      <c r="A222" s="9"/>
      <c r="B222" s="9"/>
      <c r="C222" s="120"/>
      <c r="D222" s="120"/>
      <c r="E222" s="120"/>
      <c r="F222" s="9"/>
      <c r="G222" s="77"/>
      <c r="H222" s="9"/>
      <c r="I222" s="9"/>
      <c r="J222" s="9"/>
      <c r="K222" s="9"/>
      <c r="L222" s="121"/>
      <c r="M222" s="121"/>
      <c r="N222" s="121"/>
      <c r="O222" s="9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x14ac:dyDescent="0.25">
      <c r="A223" s="9"/>
      <c r="B223" s="9"/>
      <c r="C223" s="120"/>
      <c r="D223" s="120"/>
      <c r="E223" s="120"/>
      <c r="F223" s="9"/>
      <c r="G223" s="77"/>
      <c r="H223" s="9"/>
      <c r="I223" s="9"/>
      <c r="J223" s="9"/>
      <c r="K223" s="9"/>
      <c r="L223" s="121"/>
      <c r="M223" s="121"/>
      <c r="N223" s="121"/>
      <c r="O223" s="9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x14ac:dyDescent="0.25">
      <c r="A224" s="9"/>
      <c r="B224" s="9"/>
      <c r="C224" s="120"/>
      <c r="D224" s="120"/>
      <c r="E224" s="120"/>
      <c r="F224" s="9"/>
      <c r="G224" s="77"/>
      <c r="H224" s="9"/>
      <c r="I224" s="9"/>
      <c r="J224" s="9"/>
      <c r="K224" s="9"/>
      <c r="L224" s="121"/>
      <c r="M224" s="121"/>
      <c r="N224" s="121"/>
      <c r="O224" s="9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x14ac:dyDescent="0.25">
      <c r="A225" s="9"/>
      <c r="B225" s="9"/>
      <c r="C225" s="120"/>
      <c r="D225" s="120"/>
      <c r="E225" s="120"/>
      <c r="F225" s="9"/>
      <c r="G225" s="77"/>
      <c r="H225" s="9"/>
      <c r="I225" s="9"/>
      <c r="J225" s="9"/>
      <c r="K225" s="9"/>
      <c r="L225" s="121"/>
      <c r="M225" s="121"/>
      <c r="N225" s="121"/>
      <c r="O225" s="9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x14ac:dyDescent="0.25">
      <c r="A226" s="9"/>
      <c r="B226" s="9"/>
      <c r="C226" s="120"/>
      <c r="D226" s="120"/>
      <c r="E226" s="120"/>
      <c r="F226" s="9"/>
      <c r="G226" s="77"/>
      <c r="H226" s="9"/>
      <c r="I226" s="9"/>
      <c r="J226" s="9"/>
      <c r="K226" s="9"/>
      <c r="L226" s="121"/>
      <c r="M226" s="121"/>
      <c r="N226" s="121"/>
      <c r="O226" s="9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x14ac:dyDescent="0.25">
      <c r="A227" s="9"/>
      <c r="B227" s="9"/>
      <c r="C227" s="120"/>
      <c r="D227" s="120"/>
      <c r="E227" s="120"/>
      <c r="F227" s="9"/>
      <c r="G227" s="77"/>
      <c r="H227" s="9"/>
      <c r="I227" s="9"/>
      <c r="J227" s="9"/>
      <c r="K227" s="9"/>
      <c r="L227" s="121"/>
      <c r="M227" s="121"/>
      <c r="N227" s="121"/>
      <c r="O227" s="9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x14ac:dyDescent="0.25">
      <c r="A228" s="9"/>
      <c r="B228" s="9"/>
      <c r="C228" s="120"/>
      <c r="D228" s="120"/>
      <c r="E228" s="120"/>
      <c r="F228" s="9"/>
      <c r="G228" s="77"/>
      <c r="H228" s="9"/>
      <c r="I228" s="9"/>
      <c r="J228" s="9"/>
      <c r="K228" s="9"/>
      <c r="L228" s="121"/>
      <c r="M228" s="121"/>
      <c r="N228" s="121"/>
      <c r="O228" s="9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x14ac:dyDescent="0.25">
      <c r="A229" s="9"/>
      <c r="B229" s="9"/>
      <c r="C229" s="120"/>
      <c r="D229" s="120"/>
      <c r="E229" s="120"/>
      <c r="F229" s="9"/>
      <c r="G229" s="77"/>
      <c r="H229" s="9"/>
      <c r="I229" s="9"/>
      <c r="J229" s="9"/>
      <c r="K229" s="9"/>
      <c r="L229" s="121"/>
      <c r="M229" s="121"/>
      <c r="N229" s="121"/>
      <c r="O229" s="9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x14ac:dyDescent="0.25">
      <c r="A230" s="9"/>
      <c r="B230" s="9"/>
      <c r="C230" s="120"/>
      <c r="D230" s="120"/>
      <c r="E230" s="120"/>
      <c r="F230" s="9"/>
      <c r="G230" s="77"/>
      <c r="H230" s="9"/>
      <c r="I230" s="9"/>
      <c r="J230" s="9"/>
      <c r="K230" s="9"/>
      <c r="L230" s="121"/>
      <c r="M230" s="121"/>
      <c r="N230" s="121"/>
      <c r="O230" s="9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x14ac:dyDescent="0.25">
      <c r="A231" s="9"/>
      <c r="B231" s="9"/>
      <c r="C231" s="120"/>
      <c r="D231" s="120"/>
      <c r="E231" s="120"/>
      <c r="F231" s="9"/>
      <c r="G231" s="77"/>
      <c r="H231" s="9"/>
      <c r="I231" s="9"/>
      <c r="J231" s="9"/>
      <c r="K231" s="9"/>
      <c r="L231" s="121"/>
      <c r="M231" s="121"/>
      <c r="N231" s="121"/>
      <c r="O231" s="9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x14ac:dyDescent="0.25">
      <c r="A232" s="9"/>
      <c r="B232" s="9"/>
      <c r="C232" s="120"/>
      <c r="D232" s="120"/>
      <c r="E232" s="120"/>
      <c r="F232" s="9"/>
      <c r="G232" s="77"/>
      <c r="H232" s="9"/>
      <c r="I232" s="9"/>
      <c r="J232" s="9"/>
      <c r="K232" s="9"/>
      <c r="L232" s="121"/>
      <c r="M232" s="121"/>
      <c r="N232" s="121"/>
      <c r="O232" s="9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x14ac:dyDescent="0.25">
      <c r="A233" s="9"/>
      <c r="B233" s="9"/>
      <c r="C233" s="120"/>
      <c r="D233" s="120"/>
      <c r="E233" s="120"/>
      <c r="F233" s="9"/>
      <c r="G233" s="77"/>
      <c r="H233" s="9"/>
      <c r="I233" s="9"/>
      <c r="J233" s="9"/>
      <c r="K233" s="9"/>
      <c r="L233" s="121"/>
      <c r="M233" s="121"/>
      <c r="N233" s="121"/>
      <c r="O233" s="9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x14ac:dyDescent="0.25">
      <c r="A234" s="9"/>
      <c r="B234" s="9"/>
      <c r="C234" s="120"/>
      <c r="D234" s="120"/>
      <c r="E234" s="120"/>
      <c r="F234" s="9"/>
      <c r="G234" s="77"/>
      <c r="H234" s="9"/>
      <c r="I234" s="9"/>
      <c r="J234" s="9"/>
      <c r="K234" s="9"/>
      <c r="L234" s="121"/>
      <c r="M234" s="121"/>
      <c r="N234" s="121"/>
      <c r="O234" s="9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x14ac:dyDescent="0.25">
      <c r="A235" s="9"/>
      <c r="B235" s="9"/>
      <c r="C235" s="120"/>
      <c r="D235" s="120"/>
      <c r="E235" s="120"/>
      <c r="F235" s="9"/>
      <c r="G235" s="77"/>
      <c r="H235" s="9"/>
      <c r="I235" s="9"/>
      <c r="J235" s="9"/>
      <c r="K235" s="9"/>
      <c r="L235" s="121"/>
      <c r="M235" s="121"/>
      <c r="N235" s="121"/>
      <c r="O235" s="9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x14ac:dyDescent="0.25">
      <c r="A236" s="9"/>
      <c r="B236" s="9"/>
      <c r="C236" s="120"/>
      <c r="D236" s="120"/>
      <c r="E236" s="120"/>
      <c r="F236" s="9"/>
      <c r="G236" s="77"/>
      <c r="H236" s="9"/>
      <c r="I236" s="9"/>
      <c r="J236" s="9"/>
      <c r="K236" s="9"/>
      <c r="L236" s="121"/>
      <c r="M236" s="121"/>
      <c r="N236" s="121"/>
      <c r="O236" s="9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x14ac:dyDescent="0.25">
      <c r="A237" s="9"/>
      <c r="B237" s="9"/>
      <c r="C237" s="120"/>
      <c r="D237" s="120"/>
      <c r="E237" s="120"/>
      <c r="F237" s="9"/>
      <c r="G237" s="77"/>
      <c r="H237" s="9"/>
      <c r="I237" s="9"/>
      <c r="J237" s="9"/>
      <c r="K237" s="9"/>
      <c r="L237" s="121"/>
      <c r="M237" s="121"/>
      <c r="N237" s="121"/>
      <c r="O237" s="9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x14ac:dyDescent="0.25">
      <c r="A238" s="9"/>
      <c r="B238" s="9"/>
      <c r="C238" s="120"/>
      <c r="D238" s="120"/>
      <c r="E238" s="120"/>
      <c r="F238" s="9"/>
      <c r="G238" s="77"/>
      <c r="H238" s="9"/>
      <c r="I238" s="9"/>
      <c r="J238" s="9"/>
      <c r="K238" s="9"/>
      <c r="L238" s="121"/>
      <c r="M238" s="121"/>
      <c r="N238" s="121"/>
      <c r="O238" s="9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x14ac:dyDescent="0.25">
      <c r="A239" s="9"/>
      <c r="B239" s="9"/>
      <c r="C239" s="120"/>
      <c r="D239" s="120"/>
      <c r="E239" s="120"/>
      <c r="F239" s="9"/>
      <c r="G239" s="77"/>
      <c r="H239" s="9"/>
      <c r="I239" s="9"/>
      <c r="J239" s="9"/>
      <c r="K239" s="9"/>
      <c r="L239" s="121"/>
      <c r="M239" s="121"/>
      <c r="N239" s="121"/>
      <c r="O239" s="9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x14ac:dyDescent="0.25">
      <c r="A240" s="9"/>
      <c r="B240" s="9"/>
      <c r="C240" s="120"/>
      <c r="D240" s="120"/>
      <c r="E240" s="120"/>
      <c r="F240" s="9"/>
      <c r="G240" s="77"/>
      <c r="H240" s="9"/>
      <c r="I240" s="9"/>
      <c r="J240" s="9"/>
      <c r="K240" s="9"/>
      <c r="L240" s="121"/>
      <c r="M240" s="121"/>
      <c r="N240" s="121"/>
      <c r="O240" s="9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x14ac:dyDescent="0.25">
      <c r="A241" s="9"/>
      <c r="B241" s="9"/>
      <c r="C241" s="120"/>
      <c r="D241" s="120"/>
      <c r="E241" s="120"/>
      <c r="F241" s="9"/>
      <c r="G241" s="77"/>
      <c r="H241" s="9"/>
      <c r="I241" s="9"/>
      <c r="J241" s="9"/>
      <c r="K241" s="9"/>
      <c r="L241" s="121"/>
      <c r="M241" s="121"/>
      <c r="N241" s="121"/>
      <c r="O241" s="9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x14ac:dyDescent="0.25">
      <c r="A242" s="9"/>
      <c r="B242" s="9"/>
      <c r="C242" s="120"/>
      <c r="D242" s="120"/>
      <c r="E242" s="120"/>
      <c r="F242" s="9"/>
      <c r="G242" s="77"/>
      <c r="H242" s="9"/>
      <c r="I242" s="9"/>
      <c r="J242" s="9"/>
      <c r="K242" s="9"/>
      <c r="L242" s="121"/>
      <c r="M242" s="121"/>
      <c r="N242" s="121"/>
      <c r="O242" s="9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x14ac:dyDescent="0.25">
      <c r="A243" s="9"/>
      <c r="B243" s="9"/>
      <c r="C243" s="120"/>
      <c r="D243" s="120"/>
      <c r="E243" s="120"/>
      <c r="F243" s="9"/>
      <c r="G243" s="77"/>
      <c r="H243" s="9"/>
      <c r="I243" s="9"/>
      <c r="J243" s="9"/>
      <c r="K243" s="9"/>
      <c r="L243" s="121"/>
      <c r="M243" s="121"/>
      <c r="N243" s="121"/>
      <c r="O243" s="9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x14ac:dyDescent="0.25">
      <c r="A244" s="9"/>
      <c r="B244" s="9"/>
      <c r="C244" s="120"/>
      <c r="D244" s="120"/>
      <c r="E244" s="120"/>
      <c r="F244" s="9"/>
      <c r="G244" s="77"/>
      <c r="H244" s="9"/>
      <c r="I244" s="9"/>
      <c r="J244" s="9"/>
      <c r="K244" s="9"/>
      <c r="L244" s="121"/>
      <c r="M244" s="121"/>
      <c r="N244" s="121"/>
      <c r="O244" s="9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x14ac:dyDescent="0.25">
      <c r="A245" s="9"/>
      <c r="B245" s="9"/>
      <c r="C245" s="120"/>
      <c r="D245" s="120"/>
      <c r="E245" s="120"/>
      <c r="F245" s="9"/>
      <c r="G245" s="77"/>
      <c r="H245" s="9"/>
      <c r="I245" s="9"/>
      <c r="J245" s="9"/>
      <c r="K245" s="9"/>
      <c r="L245" s="121"/>
      <c r="M245" s="121"/>
      <c r="N245" s="121"/>
      <c r="O245" s="9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x14ac:dyDescent="0.25">
      <c r="A246" s="9"/>
      <c r="B246" s="9"/>
      <c r="C246" s="120"/>
      <c r="D246" s="120"/>
      <c r="E246" s="120"/>
      <c r="F246" s="9"/>
      <c r="G246" s="77"/>
      <c r="H246" s="9"/>
      <c r="I246" s="9"/>
      <c r="J246" s="9"/>
      <c r="K246" s="9"/>
      <c r="L246" s="121"/>
      <c r="M246" s="121"/>
      <c r="N246" s="121"/>
      <c r="O246" s="9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x14ac:dyDescent="0.25">
      <c r="A247" s="9"/>
      <c r="B247" s="9"/>
      <c r="C247" s="120"/>
      <c r="D247" s="120"/>
      <c r="E247" s="120"/>
      <c r="F247" s="9"/>
      <c r="G247" s="77"/>
      <c r="H247" s="9"/>
      <c r="I247" s="9"/>
      <c r="J247" s="9"/>
      <c r="K247" s="9"/>
      <c r="L247" s="121"/>
      <c r="M247" s="121"/>
      <c r="N247" s="121"/>
      <c r="O247" s="9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x14ac:dyDescent="0.25">
      <c r="A248" s="9"/>
      <c r="B248" s="9"/>
      <c r="C248" s="120"/>
      <c r="D248" s="120"/>
      <c r="E248" s="120"/>
      <c r="F248" s="9"/>
      <c r="G248" s="77"/>
      <c r="H248" s="9"/>
      <c r="I248" s="9"/>
      <c r="J248" s="9"/>
      <c r="K248" s="9"/>
      <c r="L248" s="121"/>
      <c r="M248" s="121"/>
      <c r="N248" s="121"/>
      <c r="O248" s="9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x14ac:dyDescent="0.25">
      <c r="A249" s="9"/>
      <c r="B249" s="9"/>
      <c r="C249" s="120"/>
      <c r="D249" s="120"/>
      <c r="E249" s="120"/>
      <c r="F249" s="9"/>
      <c r="G249" s="77"/>
      <c r="H249" s="9"/>
      <c r="I249" s="9"/>
      <c r="J249" s="9"/>
      <c r="K249" s="9"/>
      <c r="L249" s="121"/>
      <c r="M249" s="121"/>
      <c r="N249" s="121"/>
      <c r="O249" s="9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x14ac:dyDescent="0.25">
      <c r="A250" s="9"/>
      <c r="B250" s="9"/>
      <c r="C250" s="120"/>
      <c r="D250" s="120"/>
      <c r="E250" s="120"/>
      <c r="F250" s="9"/>
      <c r="G250" s="77"/>
      <c r="H250" s="9"/>
      <c r="I250" s="9"/>
      <c r="J250" s="9"/>
      <c r="K250" s="9"/>
      <c r="L250" s="121"/>
      <c r="M250" s="121"/>
      <c r="N250" s="121"/>
      <c r="O250" s="9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x14ac:dyDescent="0.25">
      <c r="A251" s="9"/>
      <c r="B251" s="9"/>
      <c r="C251" s="120"/>
      <c r="D251" s="120"/>
      <c r="E251" s="120"/>
      <c r="F251" s="9"/>
      <c r="G251" s="77"/>
      <c r="H251" s="9"/>
      <c r="I251" s="9"/>
      <c r="J251" s="9"/>
      <c r="K251" s="9"/>
      <c r="L251" s="121"/>
      <c r="M251" s="121"/>
      <c r="N251" s="121"/>
      <c r="O251" s="9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x14ac:dyDescent="0.25">
      <c r="A252" s="9"/>
      <c r="B252" s="9"/>
      <c r="C252" s="120"/>
      <c r="D252" s="120"/>
      <c r="E252" s="120"/>
      <c r="F252" s="9"/>
      <c r="G252" s="77"/>
      <c r="H252" s="9"/>
      <c r="I252" s="9"/>
      <c r="J252" s="9"/>
      <c r="K252" s="9"/>
      <c r="L252" s="121"/>
      <c r="M252" s="121"/>
      <c r="N252" s="121"/>
      <c r="O252" s="9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x14ac:dyDescent="0.25">
      <c r="A253" s="9"/>
      <c r="B253" s="9"/>
      <c r="C253" s="120"/>
      <c r="D253" s="120"/>
      <c r="E253" s="120"/>
      <c r="F253" s="9"/>
      <c r="G253" s="77"/>
      <c r="H253" s="9"/>
      <c r="I253" s="9"/>
      <c r="J253" s="9"/>
      <c r="K253" s="9"/>
      <c r="L253" s="121"/>
      <c r="M253" s="121"/>
      <c r="N253" s="121"/>
      <c r="O253" s="9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x14ac:dyDescent="0.25">
      <c r="A254" s="9"/>
      <c r="B254" s="9"/>
      <c r="C254" s="120"/>
      <c r="D254" s="120"/>
      <c r="E254" s="120"/>
      <c r="F254" s="9"/>
      <c r="G254" s="77"/>
      <c r="H254" s="9"/>
      <c r="I254" s="9"/>
      <c r="J254" s="9"/>
      <c r="K254" s="9"/>
      <c r="L254" s="121"/>
      <c r="M254" s="121"/>
      <c r="N254" s="121"/>
      <c r="O254" s="9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x14ac:dyDescent="0.25">
      <c r="A255" s="9"/>
      <c r="B255" s="9"/>
      <c r="C255" s="120"/>
      <c r="D255" s="120"/>
      <c r="E255" s="120"/>
      <c r="F255" s="9"/>
      <c r="G255" s="77"/>
      <c r="H255" s="9"/>
      <c r="I255" s="9"/>
      <c r="J255" s="9"/>
      <c r="K255" s="9"/>
      <c r="L255" s="121"/>
      <c r="M255" s="121"/>
      <c r="N255" s="121"/>
      <c r="O255" s="9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x14ac:dyDescent="0.25">
      <c r="A256" s="9"/>
      <c r="B256" s="9"/>
      <c r="C256" s="120"/>
      <c r="D256" s="120"/>
      <c r="E256" s="120"/>
      <c r="F256" s="9"/>
      <c r="G256" s="77"/>
      <c r="H256" s="9"/>
      <c r="I256" s="9"/>
      <c r="J256" s="9"/>
      <c r="K256" s="9"/>
      <c r="L256" s="121"/>
      <c r="M256" s="121"/>
      <c r="N256" s="121"/>
      <c r="O256" s="9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x14ac:dyDescent="0.25">
      <c r="A257" s="9"/>
      <c r="B257" s="9"/>
      <c r="C257" s="120"/>
      <c r="D257" s="120"/>
      <c r="E257" s="120"/>
      <c r="F257" s="9"/>
      <c r="G257" s="77"/>
      <c r="H257" s="9"/>
      <c r="I257" s="9"/>
      <c r="J257" s="9"/>
      <c r="K257" s="9"/>
      <c r="L257" s="121"/>
      <c r="M257" s="121"/>
      <c r="N257" s="121"/>
      <c r="O257" s="9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x14ac:dyDescent="0.25">
      <c r="A258" s="9"/>
      <c r="B258" s="9"/>
      <c r="C258" s="120"/>
      <c r="D258" s="120"/>
      <c r="E258" s="120"/>
      <c r="F258" s="9"/>
      <c r="G258" s="77"/>
      <c r="H258" s="9"/>
      <c r="I258" s="9"/>
      <c r="J258" s="9"/>
      <c r="K258" s="9"/>
      <c r="L258" s="121"/>
      <c r="M258" s="121"/>
      <c r="N258" s="121"/>
      <c r="O258" s="9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x14ac:dyDescent="0.25">
      <c r="A259" s="9"/>
      <c r="B259" s="9"/>
      <c r="C259" s="120"/>
      <c r="D259" s="120"/>
      <c r="E259" s="120"/>
      <c r="F259" s="9"/>
      <c r="G259" s="77"/>
      <c r="H259" s="9"/>
      <c r="I259" s="9"/>
      <c r="J259" s="9"/>
      <c r="K259" s="9"/>
      <c r="L259" s="121"/>
      <c r="M259" s="121"/>
      <c r="N259" s="121"/>
      <c r="O259" s="9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x14ac:dyDescent="0.25">
      <c r="A260" s="9"/>
      <c r="B260" s="9"/>
      <c r="C260" s="120"/>
      <c r="D260" s="120"/>
      <c r="E260" s="120"/>
      <c r="F260" s="9"/>
      <c r="G260" s="77"/>
      <c r="H260" s="9"/>
      <c r="I260" s="9"/>
      <c r="J260" s="9"/>
      <c r="K260" s="9"/>
      <c r="L260" s="121"/>
      <c r="M260" s="121"/>
      <c r="N260" s="121"/>
      <c r="O260" s="9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x14ac:dyDescent="0.25">
      <c r="A261" s="9"/>
      <c r="B261" s="9"/>
      <c r="C261" s="120"/>
      <c r="D261" s="120"/>
      <c r="E261" s="120"/>
      <c r="F261" s="9"/>
      <c r="G261" s="77"/>
      <c r="H261" s="9"/>
      <c r="I261" s="9"/>
      <c r="J261" s="9"/>
      <c r="K261" s="9"/>
      <c r="L261" s="121"/>
      <c r="M261" s="121"/>
      <c r="N261" s="121"/>
      <c r="O261" s="9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x14ac:dyDescent="0.25">
      <c r="A262" s="9"/>
      <c r="B262" s="9"/>
      <c r="C262" s="120"/>
      <c r="D262" s="120"/>
      <c r="E262" s="120"/>
      <c r="F262" s="9"/>
      <c r="G262" s="77"/>
      <c r="H262" s="9"/>
      <c r="I262" s="9"/>
      <c r="J262" s="9"/>
      <c r="K262" s="9"/>
      <c r="L262" s="121"/>
      <c r="M262" s="121"/>
      <c r="N262" s="121"/>
      <c r="O262" s="9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x14ac:dyDescent="0.25">
      <c r="A263" s="9"/>
      <c r="B263" s="9"/>
      <c r="C263" s="120"/>
      <c r="D263" s="120"/>
      <c r="E263" s="120"/>
      <c r="F263" s="9"/>
      <c r="G263" s="77"/>
      <c r="H263" s="9"/>
      <c r="I263" s="9"/>
      <c r="J263" s="9"/>
      <c r="K263" s="9"/>
      <c r="L263" s="121"/>
      <c r="M263" s="121"/>
      <c r="N263" s="121"/>
      <c r="O263" s="9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x14ac:dyDescent="0.25">
      <c r="A264" s="9"/>
      <c r="B264" s="9"/>
      <c r="C264" s="120"/>
      <c r="D264" s="120"/>
      <c r="E264" s="120"/>
      <c r="F264" s="9"/>
      <c r="G264" s="77"/>
      <c r="H264" s="9"/>
      <c r="I264" s="9"/>
      <c r="J264" s="9"/>
      <c r="K264" s="9"/>
      <c r="L264" s="121"/>
      <c r="M264" s="121"/>
      <c r="N264" s="121"/>
      <c r="O264" s="9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x14ac:dyDescent="0.25">
      <c r="A265" s="9"/>
      <c r="B265" s="9"/>
      <c r="C265" s="120"/>
      <c r="D265" s="120"/>
      <c r="E265" s="120"/>
      <c r="F265" s="9"/>
      <c r="G265" s="77"/>
      <c r="H265" s="9"/>
      <c r="I265" s="9"/>
      <c r="J265" s="9"/>
      <c r="K265" s="9"/>
      <c r="L265" s="121"/>
      <c r="M265" s="121"/>
      <c r="N265" s="121"/>
      <c r="O265" s="9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x14ac:dyDescent="0.25">
      <c r="A266" s="9"/>
      <c r="B266" s="9"/>
      <c r="C266" s="120"/>
      <c r="D266" s="120"/>
      <c r="E266" s="120"/>
      <c r="F266" s="9"/>
      <c r="G266" s="77"/>
      <c r="H266" s="9"/>
      <c r="I266" s="9"/>
      <c r="J266" s="9"/>
      <c r="K266" s="9"/>
      <c r="L266" s="121"/>
      <c r="M266" s="121"/>
      <c r="N266" s="121"/>
      <c r="O266" s="9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x14ac:dyDescent="0.25">
      <c r="A267" s="9"/>
      <c r="B267" s="9"/>
      <c r="C267" s="120"/>
      <c r="D267" s="120"/>
      <c r="E267" s="120"/>
      <c r="F267" s="9"/>
      <c r="G267" s="77"/>
      <c r="H267" s="9"/>
      <c r="I267" s="9"/>
      <c r="J267" s="9"/>
      <c r="K267" s="9"/>
      <c r="L267" s="121"/>
      <c r="M267" s="121"/>
      <c r="N267" s="121"/>
      <c r="O267" s="9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x14ac:dyDescent="0.25">
      <c r="A268" s="9"/>
      <c r="B268" s="9"/>
      <c r="C268" s="120"/>
      <c r="D268" s="120"/>
      <c r="E268" s="120"/>
      <c r="F268" s="9"/>
      <c r="G268" s="77"/>
      <c r="H268" s="9"/>
      <c r="I268" s="9"/>
      <c r="J268" s="9"/>
      <c r="K268" s="9"/>
      <c r="L268" s="121"/>
      <c r="M268" s="121"/>
      <c r="N268" s="121"/>
      <c r="O268" s="9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x14ac:dyDescent="0.25">
      <c r="A269" s="9"/>
      <c r="B269" s="9"/>
      <c r="C269" s="120"/>
      <c r="D269" s="120"/>
      <c r="E269" s="120"/>
      <c r="F269" s="9"/>
      <c r="G269" s="77"/>
      <c r="H269" s="9"/>
      <c r="I269" s="9"/>
      <c r="J269" s="9"/>
      <c r="K269" s="9"/>
      <c r="L269" s="121"/>
      <c r="M269" s="121"/>
      <c r="N269" s="121"/>
      <c r="O269" s="9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x14ac:dyDescent="0.25">
      <c r="A270" s="9"/>
      <c r="B270" s="9"/>
      <c r="C270" s="120"/>
      <c r="D270" s="120"/>
      <c r="E270" s="120"/>
      <c r="F270" s="9"/>
      <c r="G270" s="77"/>
      <c r="H270" s="9"/>
      <c r="I270" s="9"/>
      <c r="J270" s="9"/>
      <c r="K270" s="9"/>
      <c r="L270" s="121"/>
      <c r="M270" s="121"/>
      <c r="N270" s="121"/>
      <c r="O270" s="9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x14ac:dyDescent="0.25">
      <c r="A271" s="9"/>
      <c r="B271" s="9"/>
      <c r="C271" s="120"/>
      <c r="D271" s="120"/>
      <c r="E271" s="120"/>
      <c r="F271" s="9"/>
      <c r="G271" s="77"/>
      <c r="H271" s="9"/>
      <c r="I271" s="9"/>
      <c r="J271" s="9"/>
      <c r="K271" s="9"/>
      <c r="L271" s="121"/>
      <c r="M271" s="121"/>
      <c r="N271" s="121"/>
      <c r="O271" s="9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x14ac:dyDescent="0.25">
      <c r="A272" s="9"/>
      <c r="B272" s="9"/>
      <c r="C272" s="120"/>
      <c r="D272" s="120"/>
      <c r="E272" s="120"/>
      <c r="F272" s="9"/>
      <c r="G272" s="77"/>
      <c r="H272" s="9"/>
      <c r="I272" s="9"/>
      <c r="J272" s="9"/>
      <c r="K272" s="9"/>
      <c r="L272" s="121"/>
      <c r="M272" s="121"/>
      <c r="N272" s="121"/>
      <c r="O272" s="9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x14ac:dyDescent="0.25">
      <c r="A273" s="9"/>
      <c r="B273" s="9"/>
      <c r="C273" s="120"/>
      <c r="D273" s="120"/>
      <c r="E273" s="120"/>
      <c r="F273" s="9"/>
      <c r="G273" s="77"/>
      <c r="H273" s="9"/>
      <c r="I273" s="9"/>
      <c r="J273" s="9"/>
      <c r="K273" s="9"/>
      <c r="L273" s="121"/>
      <c r="M273" s="121"/>
      <c r="N273" s="121"/>
      <c r="O273" s="9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x14ac:dyDescent="0.25">
      <c r="A274" s="9"/>
      <c r="B274" s="9"/>
      <c r="C274" s="120"/>
      <c r="D274" s="120"/>
      <c r="E274" s="120"/>
      <c r="F274" s="9"/>
      <c r="G274" s="77"/>
      <c r="H274" s="9"/>
      <c r="I274" s="9"/>
      <c r="J274" s="9"/>
      <c r="K274" s="9"/>
      <c r="L274" s="121"/>
      <c r="M274" s="121"/>
      <c r="N274" s="121"/>
      <c r="O274" s="9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x14ac:dyDescent="0.25">
      <c r="A275" s="9"/>
      <c r="B275" s="9"/>
      <c r="C275" s="120"/>
      <c r="D275" s="120"/>
      <c r="E275" s="120"/>
      <c r="F275" s="9"/>
      <c r="G275" s="77"/>
      <c r="H275" s="9"/>
      <c r="I275" s="9"/>
      <c r="J275" s="9"/>
      <c r="K275" s="9"/>
      <c r="L275" s="121"/>
      <c r="M275" s="121"/>
      <c r="N275" s="121"/>
      <c r="O275" s="9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x14ac:dyDescent="0.25">
      <c r="A276" s="9"/>
      <c r="B276" s="9"/>
      <c r="C276" s="120"/>
      <c r="D276" s="120"/>
      <c r="E276" s="120"/>
      <c r="F276" s="9"/>
      <c r="G276" s="77"/>
      <c r="H276" s="9"/>
      <c r="I276" s="9"/>
      <c r="J276" s="9"/>
      <c r="K276" s="9"/>
      <c r="L276" s="121"/>
      <c r="M276" s="121"/>
      <c r="N276" s="121"/>
      <c r="O276" s="9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x14ac:dyDescent="0.25">
      <c r="A277" s="9"/>
      <c r="B277" s="9"/>
      <c r="C277" s="120"/>
      <c r="D277" s="120"/>
      <c r="E277" s="120"/>
      <c r="F277" s="9"/>
      <c r="G277" s="77"/>
      <c r="H277" s="9"/>
      <c r="I277" s="9"/>
      <c r="J277" s="9"/>
      <c r="K277" s="9"/>
      <c r="L277" s="121"/>
      <c r="M277" s="121"/>
      <c r="N277" s="121"/>
      <c r="O277" s="9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x14ac:dyDescent="0.25">
      <c r="A278" s="9"/>
      <c r="B278" s="9"/>
      <c r="C278" s="120"/>
      <c r="D278" s="120"/>
      <c r="E278" s="120"/>
      <c r="F278" s="9"/>
      <c r="G278" s="77"/>
      <c r="H278" s="9"/>
      <c r="I278" s="9"/>
      <c r="J278" s="9"/>
      <c r="K278" s="9"/>
      <c r="L278" s="121"/>
      <c r="M278" s="121"/>
      <c r="N278" s="121"/>
      <c r="O278" s="9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x14ac:dyDescent="0.25">
      <c r="A279" s="9"/>
      <c r="B279" s="9"/>
      <c r="C279" s="120"/>
      <c r="D279" s="120"/>
      <c r="E279" s="120"/>
      <c r="F279" s="9"/>
      <c r="G279" s="77"/>
      <c r="H279" s="9"/>
      <c r="I279" s="9"/>
      <c r="J279" s="9"/>
      <c r="K279" s="9"/>
      <c r="L279" s="121"/>
      <c r="M279" s="121"/>
      <c r="N279" s="121"/>
      <c r="O279" s="9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x14ac:dyDescent="0.25">
      <c r="A280" s="35"/>
      <c r="B280" s="35"/>
      <c r="C280" s="35"/>
      <c r="D280" s="35"/>
      <c r="E280" s="35"/>
      <c r="F280" s="122"/>
      <c r="G280" s="123"/>
      <c r="H280" s="122"/>
      <c r="I280" s="122"/>
      <c r="J280" s="122"/>
      <c r="K280" s="122"/>
      <c r="L280" s="124"/>
      <c r="M280" s="124"/>
      <c r="N280" s="124"/>
      <c r="O280" s="122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</row>
    <row r="281" spans="1:27" x14ac:dyDescent="0.25">
      <c r="A281" s="35"/>
      <c r="B281" s="35"/>
      <c r="C281" s="35"/>
      <c r="D281" s="35"/>
      <c r="E281" s="35"/>
      <c r="F281" s="122"/>
      <c r="G281" s="123"/>
      <c r="H281" s="122"/>
      <c r="I281" s="122"/>
      <c r="J281" s="122"/>
      <c r="K281" s="122"/>
      <c r="L281" s="124"/>
      <c r="M281" s="124"/>
      <c r="N281" s="124"/>
      <c r="O281" s="122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</row>
    <row r="282" spans="1:27" x14ac:dyDescent="0.25">
      <c r="A282" s="35"/>
      <c r="B282" s="35"/>
      <c r="C282" s="35"/>
      <c r="D282" s="35"/>
      <c r="E282" s="35"/>
      <c r="F282" s="122"/>
      <c r="G282" s="123"/>
      <c r="H282" s="122"/>
      <c r="I282" s="122"/>
      <c r="J282" s="122"/>
      <c r="K282" s="122"/>
      <c r="L282" s="124"/>
      <c r="M282" s="124"/>
      <c r="N282" s="124"/>
      <c r="O282" s="122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</row>
    <row r="283" spans="1:27" x14ac:dyDescent="0.25">
      <c r="A283" s="35"/>
      <c r="B283" s="35"/>
      <c r="C283" s="35"/>
      <c r="D283" s="35"/>
      <c r="E283" s="35"/>
      <c r="F283" s="122"/>
      <c r="G283" s="123"/>
      <c r="H283" s="122"/>
      <c r="I283" s="122"/>
      <c r="J283" s="122"/>
      <c r="K283" s="122"/>
      <c r="L283" s="124"/>
      <c r="M283" s="124"/>
      <c r="N283" s="124"/>
      <c r="O283" s="122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</row>
    <row r="284" spans="1:27" x14ac:dyDescent="0.25">
      <c r="A284" s="35"/>
      <c r="B284" s="35"/>
      <c r="C284" s="35"/>
      <c r="D284" s="35"/>
      <c r="E284" s="35"/>
      <c r="F284" s="122"/>
      <c r="G284" s="123"/>
      <c r="H284" s="122"/>
      <c r="I284" s="122"/>
      <c r="J284" s="122"/>
      <c r="K284" s="122"/>
      <c r="L284" s="124"/>
      <c r="M284" s="124"/>
      <c r="N284" s="124"/>
      <c r="O284" s="122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</row>
    <row r="285" spans="1:27" x14ac:dyDescent="0.25">
      <c r="A285" s="35"/>
      <c r="B285" s="35"/>
      <c r="C285" s="35"/>
      <c r="D285" s="35"/>
      <c r="E285" s="35"/>
      <c r="F285" s="122"/>
      <c r="G285" s="123"/>
      <c r="H285" s="122"/>
      <c r="I285" s="122"/>
      <c r="J285" s="122"/>
      <c r="K285" s="122"/>
      <c r="L285" s="124"/>
      <c r="M285" s="124"/>
      <c r="N285" s="124"/>
      <c r="O285" s="122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</row>
    <row r="286" spans="1:27" x14ac:dyDescent="0.25">
      <c r="A286" s="35"/>
      <c r="B286" s="35"/>
      <c r="C286" s="35"/>
      <c r="D286" s="35"/>
      <c r="E286" s="35"/>
      <c r="F286" s="122"/>
      <c r="G286" s="123"/>
      <c r="H286" s="122"/>
      <c r="I286" s="122"/>
      <c r="J286" s="122"/>
      <c r="K286" s="122"/>
      <c r="L286" s="124"/>
      <c r="M286" s="124"/>
      <c r="N286" s="124"/>
      <c r="O286" s="122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</row>
    <row r="287" spans="1:27" x14ac:dyDescent="0.25">
      <c r="A287" s="35"/>
      <c r="B287" s="35"/>
      <c r="C287" s="35"/>
      <c r="D287" s="35"/>
      <c r="E287" s="35"/>
      <c r="F287" s="122"/>
      <c r="G287" s="123"/>
      <c r="H287" s="122"/>
      <c r="I287" s="122"/>
      <c r="J287" s="122"/>
      <c r="K287" s="122"/>
      <c r="L287" s="124"/>
      <c r="M287" s="124"/>
      <c r="N287" s="124"/>
      <c r="O287" s="122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</row>
    <row r="288" spans="1:27" x14ac:dyDescent="0.25">
      <c r="A288" s="35"/>
      <c r="B288" s="35"/>
      <c r="C288" s="35"/>
      <c r="D288" s="35"/>
      <c r="E288" s="35"/>
      <c r="F288" s="122"/>
      <c r="G288" s="123"/>
      <c r="H288" s="122"/>
      <c r="I288" s="122"/>
      <c r="J288" s="122"/>
      <c r="K288" s="122"/>
      <c r="L288" s="124"/>
      <c r="M288" s="124"/>
      <c r="N288" s="124"/>
      <c r="O288" s="122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</row>
    <row r="289" spans="1:27" x14ac:dyDescent="0.25">
      <c r="A289" s="35"/>
      <c r="B289" s="35"/>
      <c r="C289" s="35"/>
      <c r="D289" s="35"/>
      <c r="E289" s="35"/>
      <c r="F289" s="122"/>
      <c r="G289" s="123"/>
      <c r="H289" s="122"/>
      <c r="I289" s="122"/>
      <c r="J289" s="122"/>
      <c r="K289" s="122"/>
      <c r="L289" s="124"/>
      <c r="M289" s="124"/>
      <c r="N289" s="124"/>
      <c r="O289" s="122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</row>
    <row r="290" spans="1:27" x14ac:dyDescent="0.25">
      <c r="A290" s="35"/>
      <c r="B290" s="35"/>
      <c r="C290" s="35"/>
      <c r="D290" s="35"/>
      <c r="E290" s="35"/>
      <c r="F290" s="122"/>
      <c r="G290" s="123"/>
      <c r="H290" s="122"/>
      <c r="I290" s="122"/>
      <c r="J290" s="122"/>
      <c r="K290" s="122"/>
      <c r="L290" s="124"/>
      <c r="M290" s="124"/>
      <c r="N290" s="124"/>
      <c r="O290" s="122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</row>
    <row r="291" spans="1:27" x14ac:dyDescent="0.25">
      <c r="A291" s="35"/>
      <c r="B291" s="35"/>
      <c r="C291" s="35"/>
      <c r="D291" s="35"/>
      <c r="E291" s="35"/>
      <c r="F291" s="122"/>
      <c r="G291" s="123"/>
      <c r="H291" s="122"/>
      <c r="I291" s="122"/>
      <c r="J291" s="122"/>
      <c r="K291" s="122"/>
      <c r="L291" s="124"/>
      <c r="M291" s="124"/>
      <c r="N291" s="124"/>
      <c r="O291" s="122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</row>
    <row r="292" spans="1:27" x14ac:dyDescent="0.25">
      <c r="A292" s="35"/>
      <c r="B292" s="35"/>
      <c r="C292" s="35"/>
      <c r="D292" s="35"/>
      <c r="E292" s="35"/>
      <c r="F292" s="122"/>
      <c r="G292" s="123"/>
      <c r="H292" s="122"/>
      <c r="I292" s="122"/>
      <c r="J292" s="122"/>
      <c r="K292" s="122"/>
      <c r="L292" s="124"/>
      <c r="M292" s="124"/>
      <c r="N292" s="124"/>
      <c r="O292" s="122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</row>
    <row r="293" spans="1:27" x14ac:dyDescent="0.25">
      <c r="A293" s="35"/>
      <c r="B293" s="35"/>
      <c r="C293" s="35"/>
      <c r="D293" s="35"/>
      <c r="E293" s="35"/>
      <c r="F293" s="122"/>
      <c r="G293" s="123"/>
      <c r="H293" s="122"/>
      <c r="I293" s="122"/>
      <c r="J293" s="122"/>
      <c r="K293" s="122"/>
      <c r="L293" s="124"/>
      <c r="M293" s="124"/>
      <c r="N293" s="124"/>
      <c r="O293" s="122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</row>
    <row r="294" spans="1:27" x14ac:dyDescent="0.25">
      <c r="A294" s="35"/>
      <c r="B294" s="35"/>
      <c r="C294" s="35"/>
      <c r="D294" s="35"/>
      <c r="E294" s="35"/>
      <c r="F294" s="122"/>
      <c r="G294" s="123"/>
      <c r="H294" s="122"/>
      <c r="I294" s="122"/>
      <c r="J294" s="122"/>
      <c r="K294" s="122"/>
      <c r="L294" s="124"/>
      <c r="M294" s="124"/>
      <c r="N294" s="124"/>
      <c r="O294" s="122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</row>
    <row r="295" spans="1:27" x14ac:dyDescent="0.25">
      <c r="A295" s="35"/>
      <c r="B295" s="35"/>
      <c r="C295" s="35"/>
      <c r="D295" s="35"/>
      <c r="E295" s="35"/>
      <c r="F295" s="122"/>
      <c r="G295" s="123"/>
      <c r="H295" s="122"/>
      <c r="I295" s="122"/>
      <c r="J295" s="122"/>
      <c r="K295" s="122"/>
      <c r="L295" s="124"/>
      <c r="M295" s="124"/>
      <c r="N295" s="124"/>
      <c r="O295" s="122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</row>
    <row r="296" spans="1:27" x14ac:dyDescent="0.25">
      <c r="A296" s="35"/>
      <c r="B296" s="35"/>
      <c r="C296" s="35"/>
      <c r="D296" s="35"/>
      <c r="E296" s="35"/>
      <c r="F296" s="122"/>
      <c r="G296" s="123"/>
      <c r="H296" s="122"/>
      <c r="I296" s="122"/>
      <c r="J296" s="122"/>
      <c r="K296" s="122"/>
      <c r="L296" s="124"/>
      <c r="M296" s="124"/>
      <c r="N296" s="124"/>
      <c r="O296" s="122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</row>
    <row r="297" spans="1:27" x14ac:dyDescent="0.25">
      <c r="A297" s="35"/>
      <c r="B297" s="35"/>
      <c r="C297" s="35"/>
      <c r="D297" s="35"/>
      <c r="E297" s="35"/>
      <c r="F297" s="122"/>
      <c r="G297" s="123"/>
      <c r="H297" s="122"/>
      <c r="I297" s="122"/>
      <c r="J297" s="122"/>
      <c r="K297" s="122"/>
      <c r="L297" s="124"/>
      <c r="M297" s="124"/>
      <c r="N297" s="124"/>
      <c r="O297" s="122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</row>
    <row r="298" spans="1:27" x14ac:dyDescent="0.25">
      <c r="A298" s="35"/>
      <c r="B298" s="35"/>
      <c r="C298" s="35"/>
      <c r="D298" s="35"/>
      <c r="E298" s="35"/>
      <c r="F298" s="122"/>
      <c r="G298" s="123"/>
      <c r="H298" s="122"/>
      <c r="I298" s="122"/>
      <c r="J298" s="122"/>
      <c r="K298" s="122"/>
      <c r="L298" s="124"/>
      <c r="M298" s="124"/>
      <c r="N298" s="124"/>
      <c r="O298" s="122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</row>
    <row r="299" spans="1:27" x14ac:dyDescent="0.25">
      <c r="A299" s="35"/>
      <c r="B299" s="35"/>
      <c r="C299" s="35"/>
      <c r="D299" s="35"/>
      <c r="E299" s="35"/>
      <c r="F299" s="122"/>
      <c r="G299" s="123"/>
      <c r="H299" s="122"/>
      <c r="I299" s="122"/>
      <c r="J299" s="122"/>
      <c r="K299" s="122"/>
      <c r="L299" s="124"/>
      <c r="M299" s="124"/>
      <c r="N299" s="124"/>
      <c r="O299" s="122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</row>
    <row r="300" spans="1:27" x14ac:dyDescent="0.25">
      <c r="A300" s="35"/>
      <c r="B300" s="35"/>
      <c r="C300" s="35"/>
      <c r="D300" s="35"/>
      <c r="E300" s="35"/>
      <c r="F300" s="122"/>
      <c r="G300" s="123"/>
      <c r="H300" s="122"/>
      <c r="I300" s="122"/>
      <c r="J300" s="122"/>
      <c r="K300" s="122"/>
      <c r="L300" s="124"/>
      <c r="M300" s="124"/>
      <c r="N300" s="124"/>
      <c r="O300" s="122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</row>
    <row r="301" spans="1:27" x14ac:dyDescent="0.25">
      <c r="A301" s="35"/>
      <c r="B301" s="35"/>
      <c r="C301" s="35"/>
      <c r="D301" s="35"/>
      <c r="E301" s="35"/>
      <c r="F301" s="122"/>
      <c r="G301" s="123"/>
      <c r="H301" s="122"/>
      <c r="I301" s="122"/>
      <c r="J301" s="122"/>
      <c r="K301" s="122"/>
      <c r="L301" s="124"/>
      <c r="M301" s="124"/>
      <c r="N301" s="124"/>
      <c r="O301" s="122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</row>
    <row r="302" spans="1:27" x14ac:dyDescent="0.25">
      <c r="A302" s="35"/>
      <c r="B302" s="35"/>
      <c r="C302" s="35"/>
      <c r="D302" s="35"/>
      <c r="E302" s="35"/>
      <c r="F302" s="122"/>
      <c r="G302" s="123"/>
      <c r="H302" s="122"/>
      <c r="I302" s="122"/>
      <c r="J302" s="122"/>
      <c r="K302" s="122"/>
      <c r="L302" s="124"/>
      <c r="M302" s="124"/>
      <c r="N302" s="124"/>
      <c r="O302" s="122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</row>
    <row r="303" spans="1:27" x14ac:dyDescent="0.25">
      <c r="A303" s="35"/>
      <c r="B303" s="35"/>
      <c r="C303" s="35"/>
      <c r="D303" s="35"/>
      <c r="E303" s="35"/>
      <c r="F303" s="122"/>
      <c r="G303" s="123"/>
      <c r="H303" s="122"/>
      <c r="I303" s="122"/>
      <c r="J303" s="122"/>
      <c r="K303" s="122"/>
      <c r="L303" s="124"/>
      <c r="M303" s="124"/>
      <c r="N303" s="124"/>
      <c r="O303" s="122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</row>
    <row r="304" spans="1:27" x14ac:dyDescent="0.25">
      <c r="A304" s="35"/>
      <c r="B304" s="35"/>
      <c r="C304" s="35"/>
      <c r="D304" s="35"/>
      <c r="E304" s="35"/>
      <c r="F304" s="122"/>
      <c r="G304" s="123"/>
      <c r="H304" s="122"/>
      <c r="I304" s="122"/>
      <c r="J304" s="122"/>
      <c r="K304" s="122"/>
      <c r="L304" s="124"/>
      <c r="M304" s="124"/>
      <c r="N304" s="124"/>
      <c r="O304" s="122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</row>
    <row r="305" spans="1:27" x14ac:dyDescent="0.25">
      <c r="A305" s="35"/>
      <c r="B305" s="35"/>
      <c r="C305" s="35"/>
      <c r="D305" s="35"/>
      <c r="E305" s="35"/>
      <c r="F305" s="122"/>
      <c r="G305" s="123"/>
      <c r="H305" s="122"/>
      <c r="I305" s="122"/>
      <c r="J305" s="122"/>
      <c r="K305" s="122"/>
      <c r="L305" s="124"/>
      <c r="M305" s="124"/>
      <c r="N305" s="124"/>
      <c r="O305" s="122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</row>
    <row r="306" spans="1:27" x14ac:dyDescent="0.25">
      <c r="A306" s="35"/>
      <c r="B306" s="35"/>
      <c r="C306" s="35"/>
      <c r="D306" s="35"/>
      <c r="E306" s="35"/>
      <c r="F306" s="122"/>
      <c r="G306" s="123"/>
      <c r="H306" s="122"/>
      <c r="I306" s="122"/>
      <c r="J306" s="122"/>
      <c r="K306" s="122"/>
      <c r="L306" s="124"/>
      <c r="M306" s="124"/>
      <c r="N306" s="124"/>
      <c r="O306" s="122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</row>
    <row r="307" spans="1:27" x14ac:dyDescent="0.25">
      <c r="A307" s="35"/>
      <c r="B307" s="35"/>
      <c r="C307" s="35"/>
      <c r="D307" s="35"/>
      <c r="E307" s="35"/>
      <c r="F307" s="122"/>
      <c r="G307" s="123"/>
      <c r="H307" s="122"/>
      <c r="I307" s="122"/>
      <c r="J307" s="122"/>
      <c r="K307" s="122"/>
      <c r="L307" s="124"/>
      <c r="M307" s="124"/>
      <c r="N307" s="124"/>
      <c r="O307" s="122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</row>
    <row r="308" spans="1:27" x14ac:dyDescent="0.25">
      <c r="A308" s="35"/>
      <c r="B308" s="35"/>
      <c r="C308" s="35"/>
      <c r="D308" s="35"/>
      <c r="E308" s="35"/>
      <c r="F308" s="122"/>
      <c r="G308" s="123"/>
      <c r="H308" s="122"/>
      <c r="I308" s="122"/>
      <c r="J308" s="122"/>
      <c r="K308" s="122"/>
      <c r="L308" s="124"/>
      <c r="M308" s="124"/>
      <c r="N308" s="124"/>
      <c r="O308" s="122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</row>
    <row r="309" spans="1:27" x14ac:dyDescent="0.25">
      <c r="A309" s="35"/>
      <c r="B309" s="35"/>
      <c r="C309" s="35"/>
      <c r="D309" s="35"/>
      <c r="E309" s="35"/>
      <c r="F309" s="122"/>
      <c r="G309" s="123"/>
      <c r="H309" s="122"/>
      <c r="I309" s="122"/>
      <c r="J309" s="122"/>
      <c r="K309" s="122"/>
      <c r="L309" s="124"/>
      <c r="M309" s="124"/>
      <c r="N309" s="124"/>
      <c r="O309" s="122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</row>
    <row r="310" spans="1:27" x14ac:dyDescent="0.25">
      <c r="A310" s="35"/>
      <c r="B310" s="35"/>
      <c r="C310" s="35"/>
      <c r="D310" s="35"/>
      <c r="E310" s="35"/>
      <c r="F310" s="122"/>
      <c r="G310" s="123"/>
      <c r="H310" s="122"/>
      <c r="I310" s="122"/>
      <c r="J310" s="122"/>
      <c r="K310" s="122"/>
      <c r="L310" s="124"/>
      <c r="M310" s="124"/>
      <c r="N310" s="124"/>
      <c r="O310" s="122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</row>
    <row r="311" spans="1:27" x14ac:dyDescent="0.25">
      <c r="A311" s="35"/>
      <c r="B311" s="35"/>
      <c r="C311" s="35"/>
      <c r="D311" s="35"/>
      <c r="E311" s="35"/>
      <c r="F311" s="122"/>
      <c r="G311" s="123"/>
      <c r="H311" s="122"/>
      <c r="I311" s="122"/>
      <c r="J311" s="122"/>
      <c r="K311" s="122"/>
      <c r="L311" s="124"/>
      <c r="M311" s="124"/>
      <c r="N311" s="124"/>
      <c r="O311" s="122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</row>
    <row r="312" spans="1:27" x14ac:dyDescent="0.25">
      <c r="A312" s="35"/>
      <c r="B312" s="35"/>
      <c r="C312" s="35"/>
      <c r="D312" s="35"/>
      <c r="E312" s="35"/>
      <c r="F312" s="122"/>
      <c r="G312" s="123"/>
      <c r="H312" s="122"/>
      <c r="I312" s="122"/>
      <c r="J312" s="122"/>
      <c r="K312" s="122"/>
      <c r="L312" s="124"/>
      <c r="M312" s="124"/>
      <c r="N312" s="124"/>
      <c r="O312" s="122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</row>
    <row r="313" spans="1:27" x14ac:dyDescent="0.25">
      <c r="A313" s="35"/>
      <c r="B313" s="35"/>
      <c r="C313" s="35"/>
      <c r="D313" s="35"/>
      <c r="E313" s="35"/>
      <c r="F313" s="122"/>
      <c r="G313" s="123"/>
      <c r="H313" s="122"/>
      <c r="I313" s="122"/>
      <c r="J313" s="122"/>
      <c r="K313" s="122"/>
      <c r="L313" s="124"/>
      <c r="M313" s="124"/>
      <c r="N313" s="124"/>
      <c r="O313" s="122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</row>
    <row r="314" spans="1:27" x14ac:dyDescent="0.25">
      <c r="A314" s="35"/>
      <c r="B314" s="35"/>
      <c r="C314" s="35"/>
      <c r="D314" s="35"/>
      <c r="E314" s="35"/>
      <c r="F314" s="122"/>
      <c r="G314" s="123"/>
      <c r="H314" s="122"/>
      <c r="I314" s="122"/>
      <c r="J314" s="122"/>
      <c r="K314" s="122"/>
      <c r="L314" s="124"/>
      <c r="M314" s="124"/>
      <c r="N314" s="124"/>
      <c r="O314" s="122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</row>
    <row r="315" spans="1:27" x14ac:dyDescent="0.25">
      <c r="A315" s="35"/>
      <c r="B315" s="35"/>
      <c r="C315" s="35"/>
      <c r="D315" s="35"/>
      <c r="E315" s="35"/>
      <c r="F315" s="122"/>
      <c r="G315" s="123"/>
      <c r="H315" s="122"/>
      <c r="I315" s="122"/>
      <c r="J315" s="122"/>
      <c r="K315" s="122"/>
      <c r="L315" s="124"/>
      <c r="M315" s="124"/>
      <c r="N315" s="124"/>
      <c r="O315" s="122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</row>
    <row r="316" spans="1:27" x14ac:dyDescent="0.25">
      <c r="A316" s="35"/>
      <c r="B316" s="35"/>
      <c r="C316" s="35"/>
      <c r="D316" s="35"/>
      <c r="E316" s="35"/>
      <c r="F316" s="122"/>
      <c r="G316" s="123"/>
      <c r="H316" s="122"/>
      <c r="I316" s="122"/>
      <c r="J316" s="122"/>
      <c r="K316" s="122"/>
      <c r="L316" s="124"/>
      <c r="M316" s="124"/>
      <c r="N316" s="124"/>
      <c r="O316" s="122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</row>
    <row r="317" spans="1:27" x14ac:dyDescent="0.25">
      <c r="A317" s="35"/>
      <c r="B317" s="35"/>
      <c r="C317" s="35"/>
      <c r="D317" s="35"/>
      <c r="E317" s="35"/>
      <c r="F317" s="122"/>
      <c r="G317" s="123"/>
      <c r="H317" s="122"/>
      <c r="I317" s="122"/>
      <c r="J317" s="122"/>
      <c r="K317" s="122"/>
      <c r="L317" s="124"/>
      <c r="M317" s="124"/>
      <c r="N317" s="124"/>
      <c r="O317" s="122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</row>
    <row r="318" spans="1:27" x14ac:dyDescent="0.25">
      <c r="A318" s="35"/>
      <c r="B318" s="35"/>
      <c r="C318" s="35"/>
      <c r="D318" s="35"/>
      <c r="E318" s="35"/>
      <c r="F318" s="122"/>
      <c r="G318" s="123"/>
      <c r="H318" s="122"/>
      <c r="I318" s="122"/>
      <c r="J318" s="122"/>
      <c r="K318" s="122"/>
      <c r="L318" s="124"/>
      <c r="M318" s="124"/>
      <c r="N318" s="124"/>
      <c r="O318" s="122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</row>
    <row r="319" spans="1:27" x14ac:dyDescent="0.25">
      <c r="A319" s="35"/>
      <c r="B319" s="35"/>
      <c r="C319" s="35"/>
      <c r="D319" s="35"/>
      <c r="E319" s="35"/>
      <c r="F319" s="122"/>
      <c r="G319" s="123"/>
      <c r="H319" s="122"/>
      <c r="I319" s="122"/>
      <c r="J319" s="122"/>
      <c r="K319" s="122"/>
      <c r="L319" s="124"/>
      <c r="M319" s="124"/>
      <c r="N319" s="124"/>
      <c r="O319" s="122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</row>
    <row r="320" spans="1:27" x14ac:dyDescent="0.25">
      <c r="A320" s="35"/>
      <c r="B320" s="35"/>
      <c r="C320" s="35"/>
      <c r="D320" s="35"/>
      <c r="E320" s="35"/>
      <c r="F320" s="122"/>
      <c r="G320" s="123"/>
      <c r="H320" s="122"/>
      <c r="I320" s="122"/>
      <c r="J320" s="122"/>
      <c r="K320" s="122"/>
      <c r="L320" s="124"/>
      <c r="M320" s="124"/>
      <c r="N320" s="124"/>
      <c r="O320" s="122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</row>
    <row r="321" spans="1:27" x14ac:dyDescent="0.25">
      <c r="A321" s="35"/>
      <c r="B321" s="35"/>
      <c r="C321" s="35"/>
      <c r="D321" s="35"/>
      <c r="E321" s="35"/>
      <c r="F321" s="122"/>
      <c r="G321" s="123"/>
      <c r="H321" s="122"/>
      <c r="I321" s="122"/>
      <c r="J321" s="122"/>
      <c r="K321" s="122"/>
      <c r="L321" s="124"/>
      <c r="M321" s="124"/>
      <c r="N321" s="124"/>
      <c r="O321" s="122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</row>
    <row r="322" spans="1:27" x14ac:dyDescent="0.25">
      <c r="A322" s="35"/>
      <c r="B322" s="35"/>
      <c r="C322" s="35"/>
      <c r="D322" s="35"/>
      <c r="E322" s="35"/>
      <c r="F322" s="122"/>
      <c r="G322" s="123"/>
      <c r="H322" s="122"/>
      <c r="I322" s="122"/>
      <c r="J322" s="122"/>
      <c r="K322" s="122"/>
      <c r="L322" s="124"/>
      <c r="M322" s="124"/>
      <c r="N322" s="124"/>
      <c r="O322" s="122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</row>
    <row r="323" spans="1:27" x14ac:dyDescent="0.25">
      <c r="A323" s="35"/>
      <c r="B323" s="35"/>
      <c r="C323" s="35"/>
      <c r="D323" s="35"/>
      <c r="E323" s="35"/>
      <c r="F323" s="122"/>
      <c r="G323" s="123"/>
      <c r="H323" s="122"/>
      <c r="I323" s="122"/>
      <c r="J323" s="122"/>
      <c r="K323" s="122"/>
      <c r="L323" s="124"/>
      <c r="M323" s="124"/>
      <c r="N323" s="124"/>
      <c r="O323" s="122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</row>
    <row r="324" spans="1:27" x14ac:dyDescent="0.25">
      <c r="A324" s="35"/>
      <c r="B324" s="35"/>
      <c r="C324" s="35"/>
      <c r="D324" s="35"/>
      <c r="E324" s="35"/>
      <c r="F324" s="122"/>
      <c r="G324" s="123"/>
      <c r="H324" s="122"/>
      <c r="I324" s="122"/>
      <c r="J324" s="122"/>
      <c r="K324" s="122"/>
      <c r="L324" s="124"/>
      <c r="M324" s="124"/>
      <c r="N324" s="124"/>
      <c r="O324" s="122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</row>
    <row r="325" spans="1:27" x14ac:dyDescent="0.25">
      <c r="A325" s="35"/>
      <c r="B325" s="35"/>
      <c r="C325" s="35"/>
      <c r="D325" s="35"/>
      <c r="E325" s="35"/>
      <c r="F325" s="122"/>
      <c r="G325" s="123"/>
      <c r="H325" s="122"/>
      <c r="I325" s="122"/>
      <c r="J325" s="122"/>
      <c r="K325" s="122"/>
      <c r="L325" s="124"/>
      <c r="M325" s="124"/>
      <c r="N325" s="124"/>
      <c r="O325" s="122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</row>
    <row r="326" spans="1:27" x14ac:dyDescent="0.25">
      <c r="A326" s="35"/>
      <c r="B326" s="35"/>
      <c r="C326" s="35"/>
      <c r="D326" s="35"/>
      <c r="E326" s="35"/>
      <c r="F326" s="122"/>
      <c r="G326" s="123"/>
      <c r="H326" s="122"/>
      <c r="I326" s="122"/>
      <c r="J326" s="122"/>
      <c r="K326" s="122"/>
      <c r="L326" s="124"/>
      <c r="M326" s="124"/>
      <c r="N326" s="124"/>
      <c r="O326" s="122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</row>
    <row r="327" spans="1:27" x14ac:dyDescent="0.25">
      <c r="A327" s="35"/>
      <c r="B327" s="35"/>
      <c r="C327" s="35"/>
      <c r="D327" s="35"/>
      <c r="E327" s="35"/>
      <c r="F327" s="122"/>
      <c r="G327" s="123"/>
      <c r="H327" s="122"/>
      <c r="I327" s="122"/>
      <c r="J327" s="122"/>
      <c r="K327" s="122"/>
      <c r="L327" s="124"/>
      <c r="M327" s="124"/>
      <c r="N327" s="124"/>
      <c r="O327" s="122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</row>
    <row r="328" spans="1:27" x14ac:dyDescent="0.25">
      <c r="A328" s="35"/>
      <c r="B328" s="35"/>
      <c r="C328" s="35"/>
      <c r="D328" s="35"/>
      <c r="E328" s="35"/>
      <c r="F328" s="122"/>
      <c r="G328" s="123"/>
      <c r="H328" s="122"/>
      <c r="I328" s="122"/>
      <c r="J328" s="122"/>
      <c r="K328" s="122"/>
      <c r="L328" s="124"/>
      <c r="M328" s="124"/>
      <c r="N328" s="124"/>
      <c r="O328" s="122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</row>
    <row r="329" spans="1:27" x14ac:dyDescent="0.25">
      <c r="A329" s="35"/>
      <c r="B329" s="35"/>
      <c r="C329" s="35"/>
      <c r="D329" s="35"/>
      <c r="E329" s="35"/>
      <c r="F329" s="122"/>
      <c r="G329" s="123"/>
      <c r="H329" s="122"/>
      <c r="I329" s="122"/>
      <c r="J329" s="122"/>
      <c r="K329" s="122"/>
      <c r="L329" s="124"/>
      <c r="M329" s="124"/>
      <c r="N329" s="124"/>
      <c r="O329" s="122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</row>
    <row r="330" spans="1:27" x14ac:dyDescent="0.25">
      <c r="A330" s="35"/>
      <c r="B330" s="35"/>
      <c r="C330" s="35"/>
      <c r="D330" s="35"/>
      <c r="E330" s="35"/>
      <c r="F330" s="122"/>
      <c r="G330" s="123"/>
      <c r="H330" s="122"/>
      <c r="I330" s="122"/>
      <c r="J330" s="122"/>
      <c r="K330" s="122"/>
      <c r="L330" s="124"/>
      <c r="M330" s="124"/>
      <c r="N330" s="124"/>
      <c r="O330" s="122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</row>
    <row r="331" spans="1:27" x14ac:dyDescent="0.25">
      <c r="A331" s="35"/>
      <c r="B331" s="35"/>
      <c r="C331" s="35"/>
      <c r="D331" s="35"/>
      <c r="E331" s="35"/>
      <c r="F331" s="122"/>
      <c r="G331" s="123"/>
      <c r="H331" s="122"/>
      <c r="I331" s="122"/>
      <c r="J331" s="122"/>
      <c r="K331" s="122"/>
      <c r="L331" s="124"/>
      <c r="M331" s="124"/>
      <c r="N331" s="124"/>
      <c r="O331" s="122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</row>
    <row r="332" spans="1:27" x14ac:dyDescent="0.25">
      <c r="A332" s="35"/>
      <c r="B332" s="35"/>
      <c r="C332" s="35"/>
      <c r="D332" s="35"/>
      <c r="E332" s="35"/>
      <c r="F332" s="122"/>
      <c r="G332" s="123"/>
      <c r="H332" s="122"/>
      <c r="I332" s="122"/>
      <c r="J332" s="122"/>
      <c r="K332" s="122"/>
      <c r="L332" s="124"/>
      <c r="M332" s="124"/>
      <c r="N332" s="124"/>
      <c r="O332" s="122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</row>
    <row r="333" spans="1:27" x14ac:dyDescent="0.25">
      <c r="A333" s="35"/>
      <c r="B333" s="35"/>
      <c r="C333" s="35"/>
      <c r="D333" s="35"/>
      <c r="E333" s="35"/>
      <c r="F333" s="122"/>
      <c r="G333" s="123"/>
      <c r="H333" s="122"/>
      <c r="I333" s="122"/>
      <c r="J333" s="122"/>
      <c r="K333" s="122"/>
      <c r="L333" s="124"/>
      <c r="M333" s="124"/>
      <c r="N333" s="124"/>
      <c r="O333" s="122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</row>
    <row r="334" spans="1:27" x14ac:dyDescent="0.25">
      <c r="A334" s="35"/>
      <c r="B334" s="35"/>
      <c r="C334" s="35"/>
      <c r="D334" s="35"/>
      <c r="E334" s="35"/>
      <c r="F334" s="122"/>
      <c r="G334" s="123"/>
      <c r="H334" s="122"/>
      <c r="I334" s="122"/>
      <c r="J334" s="122"/>
      <c r="K334" s="122"/>
      <c r="L334" s="124"/>
      <c r="M334" s="124"/>
      <c r="N334" s="124"/>
      <c r="O334" s="122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</row>
    <row r="335" spans="1:27" x14ac:dyDescent="0.25">
      <c r="A335" s="35"/>
      <c r="B335" s="35"/>
      <c r="C335" s="35"/>
      <c r="D335" s="35"/>
      <c r="E335" s="35"/>
      <c r="F335" s="122"/>
      <c r="G335" s="123"/>
      <c r="H335" s="122"/>
      <c r="I335" s="122"/>
      <c r="J335" s="122"/>
      <c r="K335" s="122"/>
      <c r="L335" s="124"/>
      <c r="M335" s="124"/>
      <c r="N335" s="124"/>
      <c r="O335" s="122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</row>
    <row r="336" spans="1:27" x14ac:dyDescent="0.25">
      <c r="A336" s="35"/>
      <c r="B336" s="35"/>
      <c r="C336" s="35"/>
      <c r="D336" s="35"/>
      <c r="E336" s="35"/>
      <c r="F336" s="122"/>
      <c r="G336" s="123"/>
      <c r="H336" s="122"/>
      <c r="I336" s="122"/>
      <c r="J336" s="122"/>
      <c r="K336" s="122"/>
      <c r="L336" s="124"/>
      <c r="M336" s="124"/>
      <c r="N336" s="124"/>
      <c r="O336" s="122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</row>
    <row r="337" spans="1:27" x14ac:dyDescent="0.25">
      <c r="A337" s="35"/>
      <c r="B337" s="35"/>
      <c r="C337" s="35"/>
      <c r="D337" s="35"/>
      <c r="E337" s="35"/>
      <c r="F337" s="122"/>
      <c r="G337" s="123"/>
      <c r="H337" s="122"/>
      <c r="I337" s="122"/>
      <c r="J337" s="122"/>
      <c r="K337" s="122"/>
      <c r="L337" s="124"/>
      <c r="M337" s="124"/>
      <c r="N337" s="124"/>
      <c r="O337" s="122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</row>
    <row r="338" spans="1:27" x14ac:dyDescent="0.25">
      <c r="A338" s="35"/>
      <c r="B338" s="35"/>
      <c r="C338" s="35"/>
      <c r="D338" s="35"/>
      <c r="E338" s="35"/>
      <c r="F338" s="122"/>
      <c r="G338" s="123"/>
      <c r="H338" s="122"/>
      <c r="I338" s="122"/>
      <c r="J338" s="122"/>
      <c r="K338" s="122"/>
      <c r="L338" s="124"/>
      <c r="M338" s="124"/>
      <c r="N338" s="124"/>
      <c r="O338" s="122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</row>
    <row r="339" spans="1:27" x14ac:dyDescent="0.25">
      <c r="A339" s="35"/>
      <c r="B339" s="35"/>
      <c r="C339" s="35"/>
      <c r="D339" s="35"/>
      <c r="E339" s="35"/>
      <c r="F339" s="122"/>
      <c r="G339" s="123"/>
      <c r="H339" s="122"/>
      <c r="I339" s="122"/>
      <c r="J339" s="122"/>
      <c r="K339" s="122"/>
      <c r="L339" s="124"/>
      <c r="M339" s="124"/>
      <c r="N339" s="124"/>
      <c r="O339" s="122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</row>
    <row r="340" spans="1:27" x14ac:dyDescent="0.25">
      <c r="A340" s="35"/>
      <c r="B340" s="35"/>
      <c r="C340" s="35"/>
      <c r="D340" s="35"/>
      <c r="E340" s="35"/>
      <c r="F340" s="122"/>
      <c r="G340" s="123"/>
      <c r="H340" s="122"/>
      <c r="I340" s="122"/>
      <c r="J340" s="122"/>
      <c r="K340" s="122"/>
      <c r="L340" s="124"/>
      <c r="M340" s="124"/>
      <c r="N340" s="124"/>
      <c r="O340" s="122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</row>
    <row r="341" spans="1:27" x14ac:dyDescent="0.25">
      <c r="A341" s="35"/>
      <c r="B341" s="35"/>
      <c r="C341" s="35"/>
      <c r="D341" s="35"/>
      <c r="E341" s="35"/>
      <c r="F341" s="122"/>
      <c r="G341" s="123"/>
      <c r="H341" s="122"/>
      <c r="I341" s="122"/>
      <c r="J341" s="122"/>
      <c r="K341" s="122"/>
      <c r="L341" s="124"/>
      <c r="M341" s="124"/>
      <c r="N341" s="124"/>
      <c r="O341" s="122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</row>
    <row r="342" spans="1:27" x14ac:dyDescent="0.25">
      <c r="A342" s="35"/>
      <c r="B342" s="35"/>
      <c r="C342" s="35"/>
      <c r="D342" s="35"/>
      <c r="E342" s="35"/>
      <c r="F342" s="122"/>
      <c r="G342" s="123"/>
      <c r="H342" s="122"/>
      <c r="I342" s="122"/>
      <c r="J342" s="122"/>
      <c r="K342" s="122"/>
      <c r="L342" s="124"/>
      <c r="M342" s="124"/>
      <c r="N342" s="124"/>
      <c r="O342" s="122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</row>
    <row r="343" spans="1:27" x14ac:dyDescent="0.25">
      <c r="A343" s="35"/>
      <c r="B343" s="35"/>
      <c r="C343" s="35"/>
      <c r="D343" s="35"/>
      <c r="E343" s="35"/>
      <c r="F343" s="122"/>
      <c r="G343" s="123"/>
      <c r="H343" s="122"/>
      <c r="I343" s="122"/>
      <c r="J343" s="122"/>
      <c r="K343" s="122"/>
      <c r="L343" s="124"/>
      <c r="M343" s="124"/>
      <c r="N343" s="124"/>
      <c r="O343" s="122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</row>
    <row r="344" spans="1:27" x14ac:dyDescent="0.25">
      <c r="A344" s="35"/>
      <c r="B344" s="35"/>
      <c r="C344" s="35"/>
      <c r="D344" s="35"/>
      <c r="E344" s="35"/>
      <c r="F344" s="122"/>
      <c r="G344" s="123"/>
      <c r="H344" s="122"/>
      <c r="I344" s="122"/>
      <c r="J344" s="122"/>
      <c r="K344" s="122"/>
      <c r="L344" s="124"/>
      <c r="M344" s="124"/>
      <c r="N344" s="124"/>
      <c r="O344" s="122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</row>
    <row r="345" spans="1:27" x14ac:dyDescent="0.25">
      <c r="A345" s="35"/>
      <c r="B345" s="35"/>
      <c r="C345" s="35"/>
      <c r="D345" s="35"/>
      <c r="E345" s="35"/>
      <c r="F345" s="122"/>
      <c r="G345" s="123"/>
      <c r="H345" s="122"/>
      <c r="I345" s="122"/>
      <c r="J345" s="122"/>
      <c r="K345" s="122"/>
      <c r="L345" s="124"/>
      <c r="M345" s="124"/>
      <c r="N345" s="124"/>
      <c r="O345" s="122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</row>
    <row r="346" spans="1:27" x14ac:dyDescent="0.25">
      <c r="A346" s="35"/>
      <c r="B346" s="35"/>
      <c r="C346" s="35"/>
      <c r="D346" s="35"/>
      <c r="E346" s="35"/>
      <c r="F346" s="122"/>
      <c r="G346" s="123"/>
      <c r="H346" s="122"/>
      <c r="I346" s="122"/>
      <c r="J346" s="122"/>
      <c r="K346" s="122"/>
      <c r="L346" s="124"/>
      <c r="M346" s="124"/>
      <c r="N346" s="124"/>
      <c r="O346" s="122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</row>
    <row r="347" spans="1:27" x14ac:dyDescent="0.25">
      <c r="A347" s="35"/>
      <c r="B347" s="35"/>
      <c r="C347" s="35"/>
      <c r="D347" s="35"/>
      <c r="E347" s="35"/>
      <c r="F347" s="122"/>
      <c r="G347" s="123"/>
      <c r="H347" s="122"/>
      <c r="I347" s="122"/>
      <c r="J347" s="122"/>
      <c r="K347" s="122"/>
      <c r="L347" s="124"/>
      <c r="M347" s="124"/>
      <c r="N347" s="124"/>
      <c r="O347" s="122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</row>
    <row r="348" spans="1:27" x14ac:dyDescent="0.25">
      <c r="A348" s="35"/>
      <c r="B348" s="35"/>
      <c r="C348" s="35"/>
      <c r="D348" s="35"/>
      <c r="E348" s="35"/>
      <c r="F348" s="122"/>
      <c r="G348" s="123"/>
      <c r="H348" s="122"/>
      <c r="I348" s="122"/>
      <c r="J348" s="122"/>
      <c r="K348" s="122"/>
      <c r="L348" s="124"/>
      <c r="M348" s="124"/>
      <c r="N348" s="124"/>
      <c r="O348" s="122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</row>
    <row r="349" spans="1:27" x14ac:dyDescent="0.25">
      <c r="A349" s="35"/>
      <c r="B349" s="35"/>
      <c r="C349" s="35"/>
      <c r="D349" s="35"/>
      <c r="E349" s="35"/>
      <c r="F349" s="122"/>
      <c r="G349" s="123"/>
      <c r="H349" s="122"/>
      <c r="I349" s="122"/>
      <c r="J349" s="122"/>
      <c r="K349" s="122"/>
      <c r="L349" s="124"/>
      <c r="M349" s="124"/>
      <c r="N349" s="124"/>
      <c r="O349" s="122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</row>
    <row r="350" spans="1:27" x14ac:dyDescent="0.25">
      <c r="A350" s="35"/>
      <c r="B350" s="35"/>
      <c r="C350" s="35"/>
      <c r="D350" s="35"/>
      <c r="E350" s="35"/>
      <c r="F350" s="122"/>
      <c r="G350" s="123"/>
      <c r="H350" s="122"/>
      <c r="I350" s="122"/>
      <c r="J350" s="122"/>
      <c r="K350" s="122"/>
      <c r="L350" s="124"/>
      <c r="M350" s="124"/>
      <c r="N350" s="124"/>
      <c r="O350" s="122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</row>
    <row r="351" spans="1:27" x14ac:dyDescent="0.25">
      <c r="A351" s="35"/>
      <c r="B351" s="35"/>
      <c r="C351" s="35"/>
      <c r="D351" s="35"/>
      <c r="E351" s="35"/>
      <c r="F351" s="122"/>
      <c r="G351" s="123"/>
      <c r="H351" s="122"/>
      <c r="I351" s="122"/>
      <c r="J351" s="122"/>
      <c r="K351" s="122"/>
      <c r="L351" s="124"/>
      <c r="M351" s="124"/>
      <c r="N351" s="124"/>
      <c r="O351" s="122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</row>
    <row r="352" spans="1:27" x14ac:dyDescent="0.25">
      <c r="A352" s="35"/>
      <c r="B352" s="35"/>
      <c r="C352" s="35"/>
      <c r="D352" s="35"/>
      <c r="E352" s="35"/>
      <c r="F352" s="122"/>
      <c r="G352" s="123"/>
      <c r="H352" s="122"/>
      <c r="I352" s="122"/>
      <c r="J352" s="122"/>
      <c r="K352" s="122"/>
      <c r="L352" s="124"/>
      <c r="M352" s="124"/>
      <c r="N352" s="124"/>
      <c r="O352" s="122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</row>
    <row r="353" spans="1:27" x14ac:dyDescent="0.25">
      <c r="A353" s="35"/>
      <c r="B353" s="35"/>
      <c r="C353" s="35"/>
      <c r="D353" s="35"/>
      <c r="E353" s="35"/>
      <c r="F353" s="122"/>
      <c r="G353" s="123"/>
      <c r="H353" s="122"/>
      <c r="I353" s="122"/>
      <c r="J353" s="122"/>
      <c r="K353" s="122"/>
      <c r="L353" s="124"/>
      <c r="M353" s="124"/>
      <c r="N353" s="124"/>
      <c r="O353" s="122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</row>
    <row r="354" spans="1:27" x14ac:dyDescent="0.25">
      <c r="A354" s="35"/>
      <c r="B354" s="35"/>
      <c r="C354" s="35"/>
      <c r="D354" s="35"/>
      <c r="E354" s="35"/>
      <c r="F354" s="122"/>
      <c r="G354" s="123"/>
      <c r="H354" s="122"/>
      <c r="I354" s="122"/>
      <c r="J354" s="122"/>
      <c r="K354" s="122"/>
      <c r="L354" s="124"/>
      <c r="M354" s="124"/>
      <c r="N354" s="124"/>
      <c r="O354" s="122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</row>
    <row r="355" spans="1:27" x14ac:dyDescent="0.25">
      <c r="A355" s="35"/>
      <c r="B355" s="35"/>
      <c r="C355" s="35"/>
      <c r="D355" s="35"/>
      <c r="E355" s="35"/>
      <c r="F355" s="122"/>
      <c r="G355" s="123"/>
      <c r="H355" s="122"/>
      <c r="I355" s="122"/>
      <c r="J355" s="122"/>
      <c r="K355" s="122"/>
      <c r="L355" s="124"/>
      <c r="M355" s="124"/>
      <c r="N355" s="124"/>
      <c r="O355" s="122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</row>
    <row r="356" spans="1:27" x14ac:dyDescent="0.25">
      <c r="A356" s="35"/>
      <c r="B356" s="35"/>
      <c r="C356" s="35"/>
      <c r="D356" s="35"/>
      <c r="E356" s="35"/>
      <c r="F356" s="122"/>
      <c r="G356" s="123"/>
      <c r="H356" s="122"/>
      <c r="I356" s="122"/>
      <c r="J356" s="122"/>
      <c r="K356" s="122"/>
      <c r="L356" s="124"/>
      <c r="M356" s="124"/>
      <c r="N356" s="124"/>
      <c r="O356" s="122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</row>
    <row r="357" spans="1:27" x14ac:dyDescent="0.25">
      <c r="A357" s="35"/>
      <c r="B357" s="35"/>
      <c r="C357" s="35"/>
      <c r="D357" s="35"/>
      <c r="E357" s="35"/>
      <c r="F357" s="122"/>
      <c r="G357" s="123"/>
      <c r="H357" s="122"/>
      <c r="I357" s="122"/>
      <c r="J357" s="122"/>
      <c r="K357" s="122"/>
      <c r="L357" s="124"/>
      <c r="M357" s="124"/>
      <c r="N357" s="124"/>
      <c r="O357" s="122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</row>
    <row r="358" spans="1:27" x14ac:dyDescent="0.25">
      <c r="A358" s="35"/>
      <c r="B358" s="35"/>
      <c r="C358" s="35"/>
      <c r="D358" s="35"/>
      <c r="E358" s="35"/>
      <c r="F358" s="122"/>
      <c r="G358" s="123"/>
      <c r="H358" s="122"/>
      <c r="I358" s="122"/>
      <c r="J358" s="122"/>
      <c r="K358" s="122"/>
      <c r="L358" s="124"/>
      <c r="M358" s="124"/>
      <c r="N358" s="124"/>
      <c r="O358" s="122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</row>
    <row r="359" spans="1:27" x14ac:dyDescent="0.25">
      <c r="A359" s="35"/>
      <c r="B359" s="35"/>
      <c r="C359" s="35"/>
      <c r="D359" s="35"/>
      <c r="E359" s="35"/>
      <c r="F359" s="122"/>
      <c r="G359" s="123"/>
      <c r="H359" s="122"/>
      <c r="I359" s="122"/>
      <c r="J359" s="122"/>
      <c r="K359" s="122"/>
      <c r="L359" s="124"/>
      <c r="M359" s="124"/>
      <c r="N359" s="124"/>
      <c r="O359" s="122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</row>
    <row r="360" spans="1:27" x14ac:dyDescent="0.25">
      <c r="A360" s="35"/>
      <c r="B360" s="35"/>
      <c r="C360" s="35"/>
      <c r="D360" s="35"/>
      <c r="E360" s="35"/>
      <c r="F360" s="122"/>
      <c r="G360" s="123"/>
      <c r="H360" s="122"/>
      <c r="I360" s="122"/>
      <c r="J360" s="122"/>
      <c r="K360" s="122"/>
      <c r="L360" s="124"/>
      <c r="M360" s="124"/>
      <c r="N360" s="124"/>
      <c r="O360" s="122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</row>
    <row r="361" spans="1:27" x14ac:dyDescent="0.25">
      <c r="A361" s="35"/>
      <c r="B361" s="35"/>
      <c r="C361" s="35"/>
      <c r="D361" s="35"/>
      <c r="E361" s="35"/>
      <c r="F361" s="122"/>
      <c r="G361" s="123"/>
      <c r="H361" s="122"/>
      <c r="I361" s="122"/>
      <c r="J361" s="122"/>
      <c r="K361" s="122"/>
      <c r="L361" s="124"/>
      <c r="M361" s="124"/>
      <c r="N361" s="124"/>
      <c r="O361" s="122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</row>
    <row r="362" spans="1:27" x14ac:dyDescent="0.25">
      <c r="A362" s="35"/>
      <c r="B362" s="35"/>
      <c r="C362" s="35"/>
      <c r="D362" s="35"/>
      <c r="E362" s="35"/>
      <c r="F362" s="122"/>
      <c r="G362" s="123"/>
      <c r="H362" s="122"/>
      <c r="I362" s="122"/>
      <c r="J362" s="122"/>
      <c r="K362" s="122"/>
      <c r="L362" s="124"/>
      <c r="M362" s="124"/>
      <c r="N362" s="124"/>
      <c r="O362" s="122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</row>
    <row r="363" spans="1:27" x14ac:dyDescent="0.25">
      <c r="A363" s="35"/>
      <c r="B363" s="35"/>
      <c r="C363" s="35"/>
      <c r="D363" s="35"/>
      <c r="E363" s="35"/>
      <c r="F363" s="122"/>
      <c r="G363" s="123"/>
      <c r="H363" s="122"/>
      <c r="I363" s="122"/>
      <c r="J363" s="122"/>
      <c r="K363" s="122"/>
      <c r="L363" s="124"/>
      <c r="M363" s="124"/>
      <c r="N363" s="124"/>
      <c r="O363" s="122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</row>
    <row r="364" spans="1:27" x14ac:dyDescent="0.25">
      <c r="A364" s="35"/>
      <c r="B364" s="35"/>
      <c r="C364" s="35"/>
      <c r="D364" s="35"/>
      <c r="E364" s="35"/>
      <c r="F364" s="122"/>
      <c r="G364" s="123"/>
      <c r="H364" s="122"/>
      <c r="I364" s="122"/>
      <c r="J364" s="122"/>
      <c r="K364" s="122"/>
      <c r="L364" s="124"/>
      <c r="M364" s="124"/>
      <c r="N364" s="124"/>
      <c r="O364" s="122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</row>
    <row r="365" spans="1:27" x14ac:dyDescent="0.25">
      <c r="A365" s="35"/>
      <c r="B365" s="35"/>
      <c r="C365" s="35"/>
      <c r="D365" s="35"/>
      <c r="E365" s="35"/>
      <c r="F365" s="122"/>
      <c r="G365" s="123"/>
      <c r="H365" s="122"/>
      <c r="I365" s="122"/>
      <c r="J365" s="122"/>
      <c r="K365" s="122"/>
      <c r="L365" s="124"/>
      <c r="M365" s="124"/>
      <c r="N365" s="124"/>
      <c r="O365" s="122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</row>
    <row r="366" spans="1:27" x14ac:dyDescent="0.25">
      <c r="A366" s="35"/>
      <c r="B366" s="35"/>
      <c r="C366" s="35"/>
      <c r="D366" s="35"/>
      <c r="E366" s="35"/>
      <c r="F366" s="122"/>
      <c r="G366" s="123"/>
      <c r="H366" s="122"/>
      <c r="I366" s="122"/>
      <c r="J366" s="122"/>
      <c r="K366" s="122"/>
      <c r="L366" s="124"/>
      <c r="M366" s="124"/>
      <c r="N366" s="124"/>
      <c r="O366" s="122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</row>
    <row r="367" spans="1:27" x14ac:dyDescent="0.25">
      <c r="A367" s="35"/>
      <c r="B367" s="35"/>
      <c r="C367" s="35"/>
      <c r="D367" s="35"/>
      <c r="E367" s="35"/>
      <c r="F367" s="122"/>
      <c r="G367" s="123"/>
      <c r="H367" s="122"/>
      <c r="I367" s="122"/>
      <c r="J367" s="122"/>
      <c r="K367" s="122"/>
      <c r="L367" s="124"/>
      <c r="M367" s="124"/>
      <c r="N367" s="124"/>
      <c r="O367" s="122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</row>
    <row r="368" spans="1:27" x14ac:dyDescent="0.25">
      <c r="A368" s="35"/>
      <c r="B368" s="35"/>
      <c r="C368" s="35"/>
      <c r="D368" s="35"/>
      <c r="E368" s="35"/>
      <c r="F368" s="122"/>
      <c r="G368" s="123"/>
      <c r="H368" s="122"/>
      <c r="I368" s="122"/>
      <c r="J368" s="122"/>
      <c r="K368" s="122"/>
      <c r="L368" s="124"/>
      <c r="M368" s="124"/>
      <c r="N368" s="124"/>
      <c r="O368" s="122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</row>
    <row r="369" spans="1:27" x14ac:dyDescent="0.25">
      <c r="A369" s="35"/>
      <c r="B369" s="35"/>
      <c r="C369" s="35"/>
      <c r="D369" s="35"/>
      <c r="E369" s="35"/>
      <c r="F369" s="122"/>
      <c r="G369" s="123"/>
      <c r="H369" s="122"/>
      <c r="I369" s="122"/>
      <c r="J369" s="122"/>
      <c r="K369" s="122"/>
      <c r="L369" s="124"/>
      <c r="M369" s="124"/>
      <c r="N369" s="124"/>
      <c r="O369" s="122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</row>
    <row r="370" spans="1:27" x14ac:dyDescent="0.25">
      <c r="A370" s="35"/>
      <c r="B370" s="35"/>
      <c r="C370" s="35"/>
      <c r="D370" s="35"/>
      <c r="E370" s="35"/>
      <c r="F370" s="122"/>
      <c r="G370" s="123"/>
      <c r="H370" s="122"/>
      <c r="I370" s="122"/>
      <c r="J370" s="122"/>
      <c r="K370" s="122"/>
      <c r="L370" s="124"/>
      <c r="M370" s="124"/>
      <c r="N370" s="124"/>
      <c r="O370" s="122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</row>
    <row r="371" spans="1:27" x14ac:dyDescent="0.25">
      <c r="A371" s="35"/>
      <c r="B371" s="35"/>
      <c r="C371" s="35"/>
      <c r="D371" s="35"/>
      <c r="E371" s="35"/>
      <c r="F371" s="122"/>
      <c r="G371" s="123"/>
      <c r="H371" s="122"/>
      <c r="I371" s="122"/>
      <c r="J371" s="122"/>
      <c r="K371" s="122"/>
      <c r="L371" s="124"/>
      <c r="M371" s="124"/>
      <c r="N371" s="124"/>
      <c r="O371" s="122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</row>
    <row r="372" spans="1:27" x14ac:dyDescent="0.25">
      <c r="A372" s="35"/>
      <c r="B372" s="35"/>
      <c r="C372" s="35"/>
      <c r="D372" s="35"/>
      <c r="E372" s="35"/>
      <c r="F372" s="122"/>
      <c r="G372" s="123"/>
      <c r="H372" s="122"/>
      <c r="I372" s="122"/>
      <c r="J372" s="122"/>
      <c r="K372" s="122"/>
      <c r="L372" s="124"/>
      <c r="M372" s="124"/>
      <c r="N372" s="124"/>
      <c r="O372" s="122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</row>
    <row r="373" spans="1:27" x14ac:dyDescent="0.25">
      <c r="A373" s="35"/>
      <c r="B373" s="35"/>
      <c r="C373" s="35"/>
      <c r="D373" s="35"/>
      <c r="E373" s="35"/>
      <c r="F373" s="122"/>
      <c r="G373" s="123"/>
      <c r="H373" s="122"/>
      <c r="I373" s="122"/>
      <c r="J373" s="122"/>
      <c r="K373" s="122"/>
      <c r="L373" s="124"/>
      <c r="M373" s="124"/>
      <c r="N373" s="124"/>
      <c r="O373" s="122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</row>
    <row r="374" spans="1:27" x14ac:dyDescent="0.25">
      <c r="A374" s="35"/>
      <c r="B374" s="35"/>
      <c r="C374" s="35"/>
      <c r="D374" s="35"/>
      <c r="E374" s="35"/>
      <c r="F374" s="122"/>
      <c r="G374" s="123"/>
      <c r="H374" s="122"/>
      <c r="I374" s="122"/>
      <c r="J374" s="122"/>
      <c r="K374" s="122"/>
      <c r="L374" s="124"/>
      <c r="M374" s="124"/>
      <c r="N374" s="124"/>
      <c r="O374" s="122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</row>
    <row r="375" spans="1:27" x14ac:dyDescent="0.25">
      <c r="A375" s="35"/>
      <c r="B375" s="35"/>
      <c r="C375" s="35"/>
      <c r="D375" s="35"/>
      <c r="E375" s="35"/>
      <c r="F375" s="122"/>
      <c r="G375" s="123"/>
      <c r="H375" s="122"/>
      <c r="I375" s="122"/>
      <c r="J375" s="122"/>
      <c r="K375" s="122"/>
      <c r="L375" s="124"/>
      <c r="M375" s="124"/>
      <c r="N375" s="124"/>
      <c r="O375" s="122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</row>
    <row r="376" spans="1:27" x14ac:dyDescent="0.25">
      <c r="A376" s="35"/>
      <c r="B376" s="35"/>
      <c r="C376" s="35"/>
      <c r="D376" s="35"/>
      <c r="E376" s="35"/>
      <c r="F376" s="122"/>
      <c r="G376" s="123"/>
      <c r="H376" s="122"/>
      <c r="I376" s="122"/>
      <c r="J376" s="122"/>
      <c r="K376" s="122"/>
      <c r="L376" s="124"/>
      <c r="M376" s="124"/>
      <c r="N376" s="124"/>
      <c r="O376" s="122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</row>
    <row r="377" spans="1:27" x14ac:dyDescent="0.25">
      <c r="A377" s="35"/>
      <c r="B377" s="35"/>
      <c r="C377" s="35"/>
      <c r="D377" s="35"/>
      <c r="E377" s="35"/>
      <c r="F377" s="122"/>
      <c r="G377" s="123"/>
      <c r="H377" s="122"/>
      <c r="I377" s="122"/>
      <c r="J377" s="122"/>
      <c r="K377" s="122"/>
      <c r="L377" s="124"/>
      <c r="M377" s="124"/>
      <c r="N377" s="124"/>
      <c r="O377" s="122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</row>
    <row r="378" spans="1:27" x14ac:dyDescent="0.25">
      <c r="A378" s="35"/>
      <c r="B378" s="35"/>
      <c r="C378" s="35"/>
      <c r="D378" s="35"/>
      <c r="E378" s="35"/>
      <c r="F378" s="122"/>
      <c r="G378" s="123"/>
      <c r="H378" s="122"/>
      <c r="I378" s="122"/>
      <c r="J378" s="122"/>
      <c r="K378" s="122"/>
      <c r="L378" s="124"/>
      <c r="M378" s="124"/>
      <c r="N378" s="124"/>
      <c r="O378" s="122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</row>
    <row r="379" spans="1:27" x14ac:dyDescent="0.25">
      <c r="A379" s="35"/>
      <c r="B379" s="35"/>
      <c r="C379" s="35"/>
      <c r="D379" s="35"/>
      <c r="E379" s="35"/>
      <c r="F379" s="122"/>
      <c r="G379" s="123"/>
      <c r="H379" s="122"/>
      <c r="I379" s="122"/>
      <c r="J379" s="122"/>
      <c r="K379" s="122"/>
      <c r="L379" s="124"/>
      <c r="M379" s="124"/>
      <c r="N379" s="124"/>
      <c r="O379" s="122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</row>
    <row r="380" spans="1:27" x14ac:dyDescent="0.25">
      <c r="A380" s="35"/>
      <c r="B380" s="35"/>
      <c r="C380" s="35"/>
      <c r="D380" s="35"/>
      <c r="E380" s="35"/>
      <c r="F380" s="122"/>
      <c r="G380" s="123"/>
      <c r="H380" s="122"/>
      <c r="I380" s="122"/>
      <c r="J380" s="122"/>
      <c r="K380" s="122"/>
      <c r="L380" s="124"/>
      <c r="M380" s="124"/>
      <c r="N380" s="124"/>
      <c r="O380" s="122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</row>
    <row r="381" spans="1:27" x14ac:dyDescent="0.25">
      <c r="A381" s="35"/>
      <c r="B381" s="35"/>
      <c r="C381" s="35"/>
      <c r="D381" s="35"/>
      <c r="E381" s="35"/>
      <c r="F381" s="122"/>
      <c r="G381" s="123"/>
      <c r="H381" s="122"/>
      <c r="I381" s="122"/>
      <c r="J381" s="122"/>
      <c r="K381" s="122"/>
      <c r="L381" s="124"/>
      <c r="M381" s="124"/>
      <c r="N381" s="124"/>
      <c r="O381" s="122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</row>
    <row r="382" spans="1:27" x14ac:dyDescent="0.25">
      <c r="A382" s="35"/>
      <c r="B382" s="35"/>
      <c r="C382" s="35"/>
      <c r="D382" s="35"/>
      <c r="E382" s="35"/>
      <c r="F382" s="122"/>
      <c r="G382" s="123"/>
      <c r="H382" s="122"/>
      <c r="I382" s="122"/>
      <c r="J382" s="122"/>
      <c r="K382" s="122"/>
      <c r="L382" s="124"/>
      <c r="M382" s="124"/>
      <c r="N382" s="124"/>
      <c r="O382" s="122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</row>
    <row r="383" spans="1:27" x14ac:dyDescent="0.25">
      <c r="A383" s="35"/>
      <c r="B383" s="35"/>
      <c r="C383" s="35"/>
      <c r="D383" s="35"/>
      <c r="E383" s="35"/>
      <c r="F383" s="122"/>
      <c r="G383" s="123"/>
      <c r="H383" s="122"/>
      <c r="I383" s="122"/>
      <c r="J383" s="122"/>
      <c r="K383" s="122"/>
      <c r="L383" s="124"/>
      <c r="M383" s="124"/>
      <c r="N383" s="124"/>
      <c r="O383" s="122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</row>
    <row r="384" spans="1:27" x14ac:dyDescent="0.25">
      <c r="A384" s="35"/>
      <c r="B384" s="35"/>
      <c r="C384" s="35"/>
      <c r="D384" s="35"/>
      <c r="E384" s="35"/>
      <c r="F384" s="122"/>
      <c r="G384" s="123"/>
      <c r="H384" s="122"/>
      <c r="I384" s="122"/>
      <c r="J384" s="122"/>
      <c r="K384" s="122"/>
      <c r="L384" s="124"/>
      <c r="M384" s="124"/>
      <c r="N384" s="124"/>
      <c r="O384" s="122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</row>
    <row r="385" spans="1:27" x14ac:dyDescent="0.25">
      <c r="A385" s="35"/>
      <c r="B385" s="35"/>
      <c r="C385" s="35"/>
      <c r="D385" s="35"/>
      <c r="E385" s="35"/>
      <c r="F385" s="122"/>
      <c r="G385" s="123"/>
      <c r="H385" s="122"/>
      <c r="I385" s="122"/>
      <c r="J385" s="122"/>
      <c r="K385" s="122"/>
      <c r="L385" s="124"/>
      <c r="M385" s="124"/>
      <c r="N385" s="124"/>
      <c r="O385" s="122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</row>
    <row r="386" spans="1:27" x14ac:dyDescent="0.25">
      <c r="A386" s="35"/>
      <c r="B386" s="35"/>
      <c r="C386" s="35"/>
      <c r="D386" s="35"/>
      <c r="E386" s="35"/>
      <c r="F386" s="122"/>
      <c r="G386" s="123"/>
      <c r="H386" s="122"/>
      <c r="I386" s="122"/>
      <c r="J386" s="122"/>
      <c r="K386" s="122"/>
      <c r="L386" s="124"/>
      <c r="M386" s="124"/>
      <c r="N386" s="124"/>
      <c r="O386" s="122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</row>
    <row r="387" spans="1:27" x14ac:dyDescent="0.25">
      <c r="A387" s="35"/>
      <c r="B387" s="35"/>
      <c r="C387" s="35"/>
      <c r="D387" s="35"/>
      <c r="E387" s="35"/>
      <c r="F387" s="122"/>
      <c r="G387" s="123"/>
      <c r="H387" s="122"/>
      <c r="I387" s="122"/>
      <c r="J387" s="122"/>
      <c r="K387" s="122"/>
      <c r="L387" s="124"/>
      <c r="M387" s="124"/>
      <c r="N387" s="124"/>
      <c r="O387" s="122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</row>
    <row r="388" spans="1:27" x14ac:dyDescent="0.25">
      <c r="A388" s="35"/>
      <c r="B388" s="35"/>
      <c r="C388" s="35"/>
      <c r="D388" s="35"/>
      <c r="E388" s="35"/>
      <c r="F388" s="122"/>
      <c r="G388" s="123"/>
      <c r="H388" s="122"/>
      <c r="I388" s="122"/>
      <c r="J388" s="122"/>
      <c r="K388" s="122"/>
      <c r="L388" s="124"/>
      <c r="M388" s="124"/>
      <c r="N388" s="124"/>
      <c r="O388" s="122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</row>
    <row r="389" spans="1:27" x14ac:dyDescent="0.25">
      <c r="A389" s="35"/>
      <c r="B389" s="35"/>
      <c r="C389" s="35"/>
      <c r="D389" s="35"/>
      <c r="E389" s="35"/>
      <c r="F389" s="122"/>
      <c r="G389" s="123"/>
      <c r="H389" s="122"/>
      <c r="I389" s="122"/>
      <c r="J389" s="122"/>
      <c r="K389" s="122"/>
      <c r="L389" s="124"/>
      <c r="M389" s="124"/>
      <c r="N389" s="124"/>
      <c r="O389" s="122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</row>
    <row r="390" spans="1:27" x14ac:dyDescent="0.25">
      <c r="A390" s="35"/>
      <c r="B390" s="35"/>
      <c r="C390" s="35"/>
      <c r="D390" s="35"/>
      <c r="E390" s="35"/>
      <c r="F390" s="122"/>
      <c r="G390" s="123"/>
      <c r="H390" s="122"/>
      <c r="I390" s="122"/>
      <c r="J390" s="122"/>
      <c r="K390" s="122"/>
      <c r="L390" s="124"/>
      <c r="M390" s="124"/>
      <c r="N390" s="124"/>
      <c r="O390" s="122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</row>
    <row r="391" spans="1:27" x14ac:dyDescent="0.25">
      <c r="A391" s="35"/>
      <c r="B391" s="35"/>
      <c r="C391" s="35"/>
      <c r="D391" s="35"/>
      <c r="E391" s="35"/>
      <c r="F391" s="122"/>
      <c r="G391" s="123"/>
      <c r="H391" s="122"/>
      <c r="I391" s="122"/>
      <c r="J391" s="122"/>
      <c r="K391" s="122"/>
      <c r="L391" s="124"/>
      <c r="M391" s="124"/>
      <c r="N391" s="124"/>
      <c r="O391" s="122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</row>
    <row r="392" spans="1:27" x14ac:dyDescent="0.25">
      <c r="A392" s="35"/>
      <c r="B392" s="35"/>
      <c r="C392" s="35"/>
      <c r="D392" s="35"/>
      <c r="E392" s="35"/>
      <c r="F392" s="122"/>
      <c r="G392" s="123"/>
      <c r="H392" s="122"/>
      <c r="I392" s="122"/>
      <c r="J392" s="122"/>
      <c r="K392" s="122"/>
      <c r="L392" s="124"/>
      <c r="M392" s="124"/>
      <c r="N392" s="124"/>
      <c r="O392" s="122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</row>
    <row r="393" spans="1:27" x14ac:dyDescent="0.25">
      <c r="A393" s="35"/>
      <c r="B393" s="35"/>
      <c r="C393" s="35"/>
      <c r="D393" s="35"/>
      <c r="E393" s="35"/>
      <c r="F393" s="122"/>
      <c r="G393" s="123"/>
      <c r="H393" s="122"/>
      <c r="I393" s="122"/>
      <c r="J393" s="122"/>
      <c r="K393" s="122"/>
      <c r="L393" s="124"/>
      <c r="M393" s="124"/>
      <c r="N393" s="124"/>
      <c r="O393" s="122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</row>
    <row r="394" spans="1:27" x14ac:dyDescent="0.25">
      <c r="A394" s="35"/>
      <c r="B394" s="35"/>
      <c r="C394" s="35"/>
      <c r="D394" s="35"/>
      <c r="E394" s="35"/>
      <c r="F394" s="122"/>
      <c r="G394" s="123"/>
      <c r="H394" s="122"/>
      <c r="I394" s="122"/>
      <c r="J394" s="122"/>
      <c r="K394" s="122"/>
      <c r="L394" s="124"/>
      <c r="M394" s="124"/>
      <c r="N394" s="124"/>
      <c r="O394" s="122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</row>
    <row r="395" spans="1:27" x14ac:dyDescent="0.25">
      <c r="A395" s="35"/>
      <c r="B395" s="35"/>
      <c r="C395" s="35"/>
      <c r="D395" s="35"/>
      <c r="E395" s="35"/>
      <c r="F395" s="122"/>
      <c r="G395" s="123"/>
      <c r="H395" s="122"/>
      <c r="I395" s="122"/>
      <c r="J395" s="122"/>
      <c r="K395" s="122"/>
      <c r="L395" s="124"/>
      <c r="M395" s="124"/>
      <c r="N395" s="124"/>
      <c r="O395" s="122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</row>
    <row r="396" spans="1:27" x14ac:dyDescent="0.25">
      <c r="A396" s="35"/>
      <c r="B396" s="35"/>
      <c r="C396" s="35"/>
      <c r="D396" s="35"/>
      <c r="E396" s="35"/>
      <c r="F396" s="122"/>
      <c r="G396" s="123"/>
      <c r="H396" s="122"/>
      <c r="I396" s="122"/>
      <c r="J396" s="122"/>
      <c r="K396" s="122"/>
      <c r="L396" s="124"/>
      <c r="M396" s="124"/>
      <c r="N396" s="124"/>
      <c r="O396" s="122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</row>
    <row r="397" spans="1:27" x14ac:dyDescent="0.25">
      <c r="A397" s="35"/>
      <c r="B397" s="35"/>
      <c r="C397" s="35"/>
      <c r="D397" s="35"/>
      <c r="E397" s="35"/>
      <c r="F397" s="122"/>
      <c r="G397" s="123"/>
      <c r="H397" s="122"/>
      <c r="I397" s="122"/>
      <c r="J397" s="122"/>
      <c r="K397" s="122"/>
      <c r="L397" s="124"/>
      <c r="M397" s="124"/>
      <c r="N397" s="124"/>
      <c r="O397" s="122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</row>
    <row r="398" spans="1:27" x14ac:dyDescent="0.25">
      <c r="A398" s="35"/>
      <c r="B398" s="35"/>
      <c r="C398" s="35"/>
      <c r="D398" s="35"/>
      <c r="E398" s="35"/>
      <c r="F398" s="122"/>
      <c r="G398" s="123"/>
      <c r="H398" s="122"/>
      <c r="I398" s="122"/>
      <c r="J398" s="122"/>
      <c r="K398" s="122"/>
      <c r="L398" s="124"/>
      <c r="M398" s="124"/>
      <c r="N398" s="124"/>
      <c r="O398" s="122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</row>
    <row r="399" spans="1:27" x14ac:dyDescent="0.25">
      <c r="A399" s="35"/>
      <c r="B399" s="35"/>
      <c r="C399" s="35"/>
      <c r="D399" s="35"/>
      <c r="E399" s="35"/>
      <c r="F399" s="122"/>
      <c r="G399" s="123"/>
      <c r="H399" s="122"/>
      <c r="I399" s="122"/>
      <c r="J399" s="122"/>
      <c r="K399" s="122"/>
      <c r="L399" s="124"/>
      <c r="M399" s="124"/>
      <c r="N399" s="124"/>
      <c r="O399" s="122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</row>
    <row r="400" spans="1:27" x14ac:dyDescent="0.25">
      <c r="A400" s="35"/>
      <c r="B400" s="35"/>
      <c r="C400" s="35"/>
      <c r="D400" s="35"/>
      <c r="E400" s="35"/>
      <c r="F400" s="122"/>
      <c r="G400" s="123"/>
      <c r="H400" s="122"/>
      <c r="I400" s="122"/>
      <c r="J400" s="122"/>
      <c r="K400" s="122"/>
      <c r="L400" s="124"/>
      <c r="M400" s="124"/>
      <c r="N400" s="124"/>
      <c r="O400" s="122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</row>
    <row r="401" spans="1:27" x14ac:dyDescent="0.25">
      <c r="A401" s="35"/>
      <c r="B401" s="35"/>
      <c r="C401" s="35"/>
      <c r="D401" s="35"/>
      <c r="E401" s="35"/>
      <c r="F401" s="122"/>
      <c r="G401" s="123"/>
      <c r="H401" s="122"/>
      <c r="I401" s="122"/>
      <c r="J401" s="122"/>
      <c r="K401" s="122"/>
      <c r="L401" s="124"/>
      <c r="M401" s="124"/>
      <c r="N401" s="124"/>
      <c r="O401" s="122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</row>
    <row r="402" spans="1:27" x14ac:dyDescent="0.25">
      <c r="A402" s="35"/>
      <c r="B402" s="35"/>
      <c r="C402" s="35"/>
      <c r="D402" s="35"/>
      <c r="E402" s="35"/>
      <c r="F402" s="122"/>
      <c r="G402" s="123"/>
      <c r="H402" s="122"/>
      <c r="I402" s="122"/>
      <c r="J402" s="122"/>
      <c r="K402" s="122"/>
      <c r="L402" s="124"/>
      <c r="M402" s="124"/>
      <c r="N402" s="124"/>
      <c r="O402" s="122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</row>
    <row r="403" spans="1:27" x14ac:dyDescent="0.25">
      <c r="A403" s="35"/>
      <c r="B403" s="35"/>
      <c r="C403" s="35"/>
      <c r="D403" s="35"/>
      <c r="E403" s="35"/>
      <c r="F403" s="122"/>
      <c r="G403" s="123"/>
      <c r="H403" s="122"/>
      <c r="I403" s="122"/>
      <c r="J403" s="122"/>
      <c r="K403" s="122"/>
      <c r="L403" s="124"/>
      <c r="M403" s="124"/>
      <c r="N403" s="124"/>
      <c r="O403" s="122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</row>
    <row r="404" spans="1:27" x14ac:dyDescent="0.25">
      <c r="A404" s="35"/>
      <c r="B404" s="35"/>
      <c r="C404" s="35"/>
      <c r="D404" s="35"/>
      <c r="E404" s="35"/>
      <c r="F404" s="122"/>
      <c r="G404" s="123"/>
      <c r="H404" s="122"/>
      <c r="I404" s="122"/>
      <c r="J404" s="122"/>
      <c r="K404" s="122"/>
      <c r="L404" s="124"/>
      <c r="M404" s="124"/>
      <c r="N404" s="124"/>
      <c r="O404" s="122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</row>
    <row r="405" spans="1:27" x14ac:dyDescent="0.25">
      <c r="A405" s="35"/>
      <c r="B405" s="35"/>
      <c r="C405" s="35"/>
      <c r="D405" s="35"/>
      <c r="E405" s="35"/>
      <c r="F405" s="122"/>
      <c r="G405" s="123"/>
      <c r="H405" s="122"/>
      <c r="I405" s="122"/>
      <c r="J405" s="122"/>
      <c r="K405" s="122"/>
      <c r="L405" s="124"/>
      <c r="M405" s="124"/>
      <c r="N405" s="124"/>
      <c r="O405" s="122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</row>
    <row r="406" spans="1:27" x14ac:dyDescent="0.25">
      <c r="A406" s="35"/>
      <c r="B406" s="35"/>
      <c r="C406" s="35"/>
      <c r="D406" s="35"/>
      <c r="E406" s="35"/>
      <c r="F406" s="122"/>
      <c r="G406" s="123"/>
      <c r="H406" s="122"/>
      <c r="I406" s="122"/>
      <c r="J406" s="122"/>
      <c r="K406" s="122"/>
      <c r="L406" s="124"/>
      <c r="M406" s="124"/>
      <c r="N406" s="124"/>
      <c r="O406" s="122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</row>
    <row r="407" spans="1:27" x14ac:dyDescent="0.25">
      <c r="A407" s="35"/>
      <c r="B407" s="35"/>
      <c r="C407" s="35"/>
      <c r="D407" s="35"/>
      <c r="E407" s="35"/>
      <c r="F407" s="122"/>
      <c r="G407" s="123"/>
      <c r="H407" s="122"/>
      <c r="I407" s="122"/>
      <c r="J407" s="122"/>
      <c r="K407" s="122"/>
      <c r="L407" s="124"/>
      <c r="M407" s="124"/>
      <c r="N407" s="124"/>
      <c r="O407" s="122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</row>
    <row r="408" spans="1:27" x14ac:dyDescent="0.25">
      <c r="A408" s="35"/>
      <c r="B408" s="35"/>
      <c r="C408" s="35"/>
      <c r="D408" s="35"/>
      <c r="E408" s="35"/>
      <c r="F408" s="122"/>
      <c r="G408" s="123"/>
      <c r="H408" s="122"/>
      <c r="I408" s="122"/>
      <c r="J408" s="122"/>
      <c r="K408" s="122"/>
      <c r="L408" s="124"/>
      <c r="M408" s="124"/>
      <c r="N408" s="124"/>
      <c r="O408" s="122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</row>
    <row r="409" spans="1:27" x14ac:dyDescent="0.25">
      <c r="A409" s="35"/>
      <c r="B409" s="35"/>
      <c r="C409" s="35"/>
      <c r="D409" s="35"/>
      <c r="E409" s="35"/>
      <c r="F409" s="122"/>
      <c r="G409" s="123"/>
      <c r="H409" s="122"/>
      <c r="I409" s="122"/>
      <c r="J409" s="122"/>
      <c r="K409" s="122"/>
      <c r="L409" s="124"/>
      <c r="M409" s="124"/>
      <c r="N409" s="124"/>
      <c r="O409" s="122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</row>
    <row r="410" spans="1:27" x14ac:dyDescent="0.25">
      <c r="A410" s="35"/>
      <c r="B410" s="35"/>
      <c r="C410" s="35"/>
      <c r="D410" s="35"/>
      <c r="E410" s="35"/>
      <c r="F410" s="122"/>
      <c r="G410" s="123"/>
      <c r="H410" s="122"/>
      <c r="I410" s="122"/>
      <c r="J410" s="122"/>
      <c r="K410" s="122"/>
      <c r="L410" s="124"/>
      <c r="M410" s="124"/>
      <c r="N410" s="124"/>
      <c r="O410" s="122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</row>
    <row r="411" spans="1:27" x14ac:dyDescent="0.25">
      <c r="A411" s="35"/>
      <c r="B411" s="35"/>
      <c r="C411" s="35"/>
      <c r="D411" s="35"/>
      <c r="E411" s="35"/>
      <c r="F411" s="122"/>
      <c r="G411" s="123"/>
      <c r="H411" s="122"/>
      <c r="I411" s="122"/>
      <c r="J411" s="122"/>
      <c r="K411" s="122"/>
      <c r="L411" s="124"/>
      <c r="M411" s="124"/>
      <c r="N411" s="124"/>
      <c r="O411" s="122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</row>
    <row r="412" spans="1:27" x14ac:dyDescent="0.25">
      <c r="A412" s="35"/>
      <c r="B412" s="35"/>
      <c r="C412" s="35"/>
      <c r="D412" s="35"/>
      <c r="E412" s="35"/>
      <c r="F412" s="122"/>
      <c r="G412" s="123"/>
      <c r="H412" s="122"/>
      <c r="I412" s="122"/>
      <c r="J412" s="122"/>
      <c r="K412" s="122"/>
      <c r="L412" s="124"/>
      <c r="M412" s="124"/>
      <c r="N412" s="124"/>
      <c r="O412" s="122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</row>
    <row r="413" spans="1:27" x14ac:dyDescent="0.25">
      <c r="A413" s="35"/>
      <c r="B413" s="35"/>
      <c r="C413" s="35"/>
      <c r="D413" s="35"/>
      <c r="E413" s="35"/>
      <c r="F413" s="122"/>
      <c r="G413" s="123"/>
      <c r="H413" s="122"/>
      <c r="I413" s="122"/>
      <c r="J413" s="122"/>
      <c r="K413" s="122"/>
      <c r="L413" s="124"/>
      <c r="M413" s="124"/>
      <c r="N413" s="124"/>
      <c r="O413" s="122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</row>
    <row r="414" spans="1:27" x14ac:dyDescent="0.25">
      <c r="A414" s="35"/>
      <c r="B414" s="35"/>
      <c r="C414" s="35"/>
      <c r="D414" s="35"/>
      <c r="E414" s="35"/>
      <c r="F414" s="122"/>
      <c r="G414" s="123"/>
      <c r="H414" s="122"/>
      <c r="I414" s="122"/>
      <c r="J414" s="122"/>
      <c r="K414" s="122"/>
      <c r="L414" s="124"/>
      <c r="M414" s="124"/>
      <c r="N414" s="124"/>
      <c r="O414" s="122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</row>
    <row r="415" spans="1:27" x14ac:dyDescent="0.25">
      <c r="A415" s="35"/>
      <c r="B415" s="35"/>
      <c r="C415" s="35"/>
      <c r="D415" s="35"/>
      <c r="E415" s="35"/>
      <c r="F415" s="122"/>
      <c r="G415" s="123"/>
      <c r="H415" s="122"/>
      <c r="I415" s="122"/>
      <c r="J415" s="122"/>
      <c r="K415" s="122"/>
      <c r="L415" s="124"/>
      <c r="M415" s="124"/>
      <c r="N415" s="124"/>
      <c r="O415" s="122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</row>
    <row r="416" spans="1:27" x14ac:dyDescent="0.25">
      <c r="A416" s="35"/>
      <c r="B416" s="35"/>
      <c r="C416" s="35"/>
      <c r="D416" s="35"/>
      <c r="E416" s="35"/>
      <c r="F416" s="122"/>
      <c r="G416" s="123"/>
      <c r="H416" s="122"/>
      <c r="I416" s="122"/>
      <c r="J416" s="122"/>
      <c r="K416" s="122"/>
      <c r="L416" s="124"/>
      <c r="M416" s="124"/>
      <c r="N416" s="124"/>
      <c r="O416" s="122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</row>
    <row r="417" spans="1:27" x14ac:dyDescent="0.25">
      <c r="A417" s="35"/>
      <c r="B417" s="35"/>
      <c r="C417" s="35"/>
      <c r="D417" s="35"/>
      <c r="E417" s="35"/>
      <c r="F417" s="122"/>
      <c r="G417" s="123"/>
      <c r="H417" s="122"/>
      <c r="I417" s="122"/>
      <c r="J417" s="122"/>
      <c r="K417" s="122"/>
      <c r="L417" s="124"/>
      <c r="M417" s="124"/>
      <c r="N417" s="124"/>
      <c r="O417" s="122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</row>
    <row r="418" spans="1:27" x14ac:dyDescent="0.25">
      <c r="A418" s="35"/>
      <c r="B418" s="35"/>
      <c r="C418" s="35"/>
      <c r="D418" s="35"/>
      <c r="E418" s="35"/>
      <c r="F418" s="122"/>
      <c r="G418" s="123"/>
      <c r="H418" s="122"/>
      <c r="I418" s="122"/>
      <c r="J418" s="122"/>
      <c r="K418" s="122"/>
      <c r="L418" s="124"/>
      <c r="M418" s="124"/>
      <c r="N418" s="124"/>
      <c r="O418" s="122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</row>
    <row r="419" spans="1:27" x14ac:dyDescent="0.25">
      <c r="A419" s="35"/>
      <c r="B419" s="35"/>
      <c r="C419" s="35"/>
      <c r="D419" s="35"/>
      <c r="E419" s="35"/>
      <c r="F419" s="122"/>
      <c r="G419" s="123"/>
      <c r="H419" s="122"/>
      <c r="I419" s="122"/>
      <c r="J419" s="122"/>
      <c r="K419" s="122"/>
      <c r="L419" s="124"/>
      <c r="M419" s="124"/>
      <c r="N419" s="124"/>
      <c r="O419" s="122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</row>
    <row r="420" spans="1:27" x14ac:dyDescent="0.25">
      <c r="A420" s="35"/>
      <c r="B420" s="35"/>
      <c r="C420" s="35"/>
      <c r="D420" s="35"/>
      <c r="E420" s="35"/>
      <c r="F420" s="122"/>
      <c r="G420" s="123"/>
      <c r="H420" s="122"/>
      <c r="I420" s="122"/>
      <c r="J420" s="122"/>
      <c r="K420" s="122"/>
      <c r="L420" s="124"/>
      <c r="M420" s="124"/>
      <c r="N420" s="124"/>
      <c r="O420" s="122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</row>
    <row r="421" spans="1:27" x14ac:dyDescent="0.25">
      <c r="A421" s="35"/>
      <c r="B421" s="35"/>
      <c r="C421" s="35"/>
      <c r="D421" s="35"/>
      <c r="E421" s="35"/>
      <c r="F421" s="122"/>
      <c r="G421" s="123"/>
      <c r="H421" s="122"/>
      <c r="I421" s="122"/>
      <c r="J421" s="122"/>
      <c r="K421" s="122"/>
      <c r="L421" s="124"/>
      <c r="M421" s="124"/>
      <c r="N421" s="124"/>
      <c r="O421" s="122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</row>
    <row r="422" spans="1:27" x14ac:dyDescent="0.25">
      <c r="A422" s="35"/>
      <c r="B422" s="35"/>
      <c r="C422" s="35"/>
      <c r="D422" s="35"/>
      <c r="E422" s="35"/>
      <c r="F422" s="122"/>
      <c r="G422" s="123"/>
      <c r="H422" s="122"/>
      <c r="I422" s="122"/>
      <c r="J422" s="122"/>
      <c r="K422" s="122"/>
      <c r="L422" s="124"/>
      <c r="M422" s="124"/>
      <c r="N422" s="124"/>
      <c r="O422" s="122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</row>
    <row r="423" spans="1:27" x14ac:dyDescent="0.25">
      <c r="A423" s="35"/>
      <c r="B423" s="35"/>
      <c r="C423" s="35"/>
      <c r="D423" s="35"/>
      <c r="E423" s="35"/>
      <c r="F423" s="122"/>
      <c r="G423" s="123"/>
      <c r="H423" s="122"/>
      <c r="I423" s="122"/>
      <c r="J423" s="122"/>
      <c r="K423" s="122"/>
      <c r="L423" s="124"/>
      <c r="M423" s="124"/>
      <c r="N423" s="124"/>
      <c r="O423" s="122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</row>
    <row r="424" spans="1:27" x14ac:dyDescent="0.25">
      <c r="A424" s="35"/>
      <c r="B424" s="35"/>
      <c r="C424" s="35"/>
      <c r="D424" s="35"/>
      <c r="E424" s="35"/>
      <c r="F424" s="122"/>
      <c r="G424" s="123"/>
      <c r="H424" s="122"/>
      <c r="I424" s="122"/>
      <c r="J424" s="122"/>
      <c r="K424" s="122"/>
      <c r="L424" s="124"/>
      <c r="M424" s="124"/>
      <c r="N424" s="124"/>
      <c r="O424" s="122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</row>
    <row r="425" spans="1:27" x14ac:dyDescent="0.25">
      <c r="A425" s="35"/>
      <c r="B425" s="35"/>
      <c r="C425" s="35"/>
      <c r="D425" s="35"/>
      <c r="E425" s="35"/>
      <c r="F425" s="122"/>
      <c r="G425" s="123"/>
      <c r="H425" s="122"/>
      <c r="I425" s="122"/>
      <c r="J425" s="122"/>
      <c r="K425" s="122"/>
      <c r="L425" s="124"/>
      <c r="M425" s="124"/>
      <c r="N425" s="124"/>
      <c r="O425" s="122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</row>
    <row r="426" spans="1:27" x14ac:dyDescent="0.25">
      <c r="A426" s="35"/>
      <c r="B426" s="35"/>
      <c r="C426" s="35"/>
      <c r="D426" s="35"/>
      <c r="E426" s="35"/>
      <c r="F426" s="122"/>
      <c r="G426" s="123"/>
      <c r="H426" s="122"/>
      <c r="I426" s="122"/>
      <c r="J426" s="122"/>
      <c r="K426" s="122"/>
      <c r="L426" s="124"/>
      <c r="M426" s="124"/>
      <c r="N426" s="124"/>
      <c r="O426" s="122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</row>
    <row r="427" spans="1:27" x14ac:dyDescent="0.25">
      <c r="A427" s="35"/>
      <c r="B427" s="35"/>
      <c r="C427" s="35"/>
      <c r="D427" s="35"/>
      <c r="E427" s="35"/>
      <c r="F427" s="122"/>
      <c r="G427" s="123"/>
      <c r="H427" s="122"/>
      <c r="I427" s="122"/>
      <c r="J427" s="122"/>
      <c r="K427" s="122"/>
      <c r="L427" s="124"/>
      <c r="M427" s="124"/>
      <c r="N427" s="124"/>
      <c r="O427" s="122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</row>
    <row r="428" spans="1:27" x14ac:dyDescent="0.25">
      <c r="A428" s="35"/>
      <c r="B428" s="35"/>
      <c r="C428" s="35"/>
      <c r="D428" s="35"/>
      <c r="E428" s="35"/>
      <c r="F428" s="122"/>
      <c r="G428" s="123"/>
      <c r="H428" s="122"/>
      <c r="I428" s="122"/>
      <c r="J428" s="122"/>
      <c r="K428" s="122"/>
      <c r="L428" s="124"/>
      <c r="M428" s="124"/>
      <c r="N428" s="124"/>
      <c r="O428" s="122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</row>
    <row r="429" spans="1:27" x14ac:dyDescent="0.25">
      <c r="A429" s="35"/>
      <c r="B429" s="35"/>
      <c r="C429" s="35"/>
      <c r="D429" s="35"/>
      <c r="E429" s="35"/>
      <c r="F429" s="122"/>
      <c r="G429" s="123"/>
      <c r="H429" s="122"/>
      <c r="I429" s="122"/>
      <c r="J429" s="122"/>
      <c r="K429" s="122"/>
      <c r="L429" s="124"/>
      <c r="M429" s="124"/>
      <c r="N429" s="124"/>
      <c r="O429" s="122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</row>
    <row r="430" spans="1:27" x14ac:dyDescent="0.25">
      <c r="A430" s="35"/>
      <c r="B430" s="35"/>
      <c r="C430" s="35"/>
      <c r="D430" s="35"/>
      <c r="E430" s="35"/>
      <c r="F430" s="122"/>
      <c r="G430" s="123"/>
      <c r="H430" s="122"/>
      <c r="I430" s="122"/>
      <c r="J430" s="122"/>
      <c r="K430" s="122"/>
      <c r="L430" s="124"/>
      <c r="M430" s="124"/>
      <c r="N430" s="124"/>
      <c r="O430" s="122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</row>
    <row r="431" spans="1:27" x14ac:dyDescent="0.25">
      <c r="A431" s="35"/>
      <c r="B431" s="35"/>
      <c r="C431" s="35"/>
      <c r="D431" s="35"/>
      <c r="E431" s="35"/>
      <c r="F431" s="122"/>
      <c r="G431" s="123"/>
      <c r="H431" s="122"/>
      <c r="I431" s="122"/>
      <c r="J431" s="122"/>
      <c r="K431" s="122"/>
      <c r="L431" s="124"/>
      <c r="M431" s="124"/>
      <c r="N431" s="124"/>
      <c r="O431" s="122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</row>
    <row r="432" spans="1:27" x14ac:dyDescent="0.25">
      <c r="A432" s="35"/>
      <c r="B432" s="35"/>
      <c r="C432" s="35"/>
      <c r="D432" s="35"/>
      <c r="E432" s="35"/>
      <c r="F432" s="122"/>
      <c r="G432" s="123"/>
      <c r="H432" s="122"/>
      <c r="I432" s="122"/>
      <c r="J432" s="122"/>
      <c r="K432" s="122"/>
      <c r="L432" s="124"/>
      <c r="M432" s="124"/>
      <c r="N432" s="124"/>
      <c r="O432" s="122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</row>
    <row r="433" spans="1:27" x14ac:dyDescent="0.25">
      <c r="A433" s="35"/>
      <c r="B433" s="35"/>
      <c r="C433" s="35"/>
      <c r="D433" s="35"/>
      <c r="E433" s="35"/>
      <c r="F433" s="122"/>
      <c r="G433" s="123"/>
      <c r="H433" s="122"/>
      <c r="I433" s="122"/>
      <c r="J433" s="122"/>
      <c r="K433" s="122"/>
      <c r="L433" s="124"/>
      <c r="M433" s="124"/>
      <c r="N433" s="124"/>
      <c r="O433" s="122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</row>
    <row r="434" spans="1:27" x14ac:dyDescent="0.25">
      <c r="A434" s="35"/>
      <c r="B434" s="35"/>
      <c r="C434" s="35"/>
      <c r="D434" s="35"/>
      <c r="E434" s="35"/>
      <c r="F434" s="122"/>
      <c r="G434" s="123"/>
      <c r="H434" s="122"/>
      <c r="I434" s="122"/>
      <c r="J434" s="122"/>
      <c r="K434" s="122"/>
      <c r="L434" s="124"/>
      <c r="M434" s="124"/>
      <c r="N434" s="124"/>
      <c r="O434" s="122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</row>
    <row r="435" spans="1:27" x14ac:dyDescent="0.25">
      <c r="A435" s="35"/>
      <c r="B435" s="35"/>
      <c r="C435" s="35"/>
      <c r="D435" s="35"/>
      <c r="E435" s="35"/>
      <c r="F435" s="122"/>
      <c r="G435" s="123"/>
      <c r="H435" s="122"/>
      <c r="I435" s="122"/>
      <c r="J435" s="122"/>
      <c r="K435" s="122"/>
      <c r="L435" s="124"/>
      <c r="M435" s="124"/>
      <c r="N435" s="124"/>
      <c r="O435" s="122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</row>
    <row r="436" spans="1:27" x14ac:dyDescent="0.25">
      <c r="A436" s="35"/>
      <c r="B436" s="35"/>
      <c r="C436" s="35"/>
      <c r="D436" s="35"/>
      <c r="E436" s="35"/>
      <c r="F436" s="122"/>
      <c r="G436" s="123"/>
      <c r="H436" s="122"/>
      <c r="I436" s="122"/>
      <c r="J436" s="122"/>
      <c r="K436" s="122"/>
      <c r="L436" s="124"/>
      <c r="M436" s="124"/>
      <c r="N436" s="124"/>
      <c r="O436" s="122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</row>
    <row r="437" spans="1:27" x14ac:dyDescent="0.25">
      <c r="A437" s="35"/>
      <c r="B437" s="35"/>
      <c r="C437" s="35"/>
      <c r="D437" s="35"/>
      <c r="E437" s="35"/>
      <c r="F437" s="122"/>
      <c r="G437" s="123"/>
      <c r="H437" s="122"/>
      <c r="I437" s="122"/>
      <c r="J437" s="122"/>
      <c r="K437" s="122"/>
      <c r="L437" s="124"/>
      <c r="M437" s="124"/>
      <c r="N437" s="124"/>
      <c r="O437" s="122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</row>
    <row r="438" spans="1:27" x14ac:dyDescent="0.25">
      <c r="A438" s="35"/>
      <c r="B438" s="35"/>
      <c r="C438" s="35"/>
      <c r="D438" s="35"/>
      <c r="E438" s="35"/>
      <c r="F438" s="122"/>
      <c r="G438" s="123"/>
      <c r="H438" s="122"/>
      <c r="I438" s="122"/>
      <c r="J438" s="122"/>
      <c r="K438" s="122"/>
      <c r="L438" s="124"/>
      <c r="M438" s="124"/>
      <c r="N438" s="124"/>
      <c r="O438" s="122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</row>
    <row r="439" spans="1:27" x14ac:dyDescent="0.25">
      <c r="A439" s="35"/>
      <c r="B439" s="35"/>
      <c r="C439" s="35"/>
      <c r="D439" s="35"/>
      <c r="E439" s="35"/>
      <c r="F439" s="122"/>
      <c r="G439" s="123"/>
      <c r="H439" s="122"/>
      <c r="I439" s="122"/>
      <c r="J439" s="122"/>
      <c r="K439" s="122"/>
      <c r="L439" s="124"/>
      <c r="M439" s="124"/>
      <c r="N439" s="124"/>
      <c r="O439" s="122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</row>
    <row r="440" spans="1:27" x14ac:dyDescent="0.25">
      <c r="A440" s="35"/>
      <c r="B440" s="35"/>
      <c r="C440" s="35"/>
      <c r="D440" s="35"/>
      <c r="E440" s="35"/>
      <c r="F440" s="122"/>
      <c r="G440" s="123"/>
      <c r="H440" s="122"/>
      <c r="I440" s="122"/>
      <c r="J440" s="122"/>
      <c r="K440" s="122"/>
      <c r="L440" s="124"/>
      <c r="M440" s="124"/>
      <c r="N440" s="124"/>
      <c r="O440" s="122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</row>
    <row r="441" spans="1:27" x14ac:dyDescent="0.25">
      <c r="A441" s="35"/>
      <c r="B441" s="35"/>
      <c r="C441" s="35"/>
      <c r="D441" s="35"/>
      <c r="E441" s="35"/>
      <c r="F441" s="122"/>
      <c r="G441" s="123"/>
      <c r="H441" s="122"/>
      <c r="I441" s="122"/>
      <c r="J441" s="122"/>
      <c r="K441" s="122"/>
      <c r="L441" s="124"/>
      <c r="M441" s="124"/>
      <c r="N441" s="124"/>
      <c r="O441" s="122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</row>
    <row r="442" spans="1:27" x14ac:dyDescent="0.25">
      <c r="A442" s="35"/>
      <c r="B442" s="35"/>
      <c r="C442" s="35"/>
      <c r="D442" s="35"/>
      <c r="E442" s="35"/>
      <c r="F442" s="122"/>
      <c r="G442" s="123"/>
      <c r="H442" s="122"/>
      <c r="I442" s="122"/>
      <c r="J442" s="122"/>
      <c r="K442" s="122"/>
      <c r="L442" s="124"/>
      <c r="M442" s="124"/>
      <c r="N442" s="124"/>
      <c r="O442" s="122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</row>
    <row r="443" spans="1:27" x14ac:dyDescent="0.25">
      <c r="A443" s="35"/>
      <c r="B443" s="35"/>
      <c r="C443" s="35"/>
      <c r="D443" s="35"/>
      <c r="E443" s="35"/>
      <c r="F443" s="122"/>
      <c r="G443" s="123"/>
      <c r="H443" s="122"/>
      <c r="I443" s="122"/>
      <c r="J443" s="122"/>
      <c r="K443" s="122"/>
      <c r="L443" s="124"/>
      <c r="M443" s="124"/>
      <c r="N443" s="124"/>
      <c r="O443" s="122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</row>
    <row r="444" spans="1:27" x14ac:dyDescent="0.25">
      <c r="A444" s="35"/>
      <c r="B444" s="35"/>
      <c r="C444" s="35"/>
      <c r="D444" s="35"/>
      <c r="E444" s="35"/>
      <c r="F444" s="122"/>
      <c r="G444" s="123"/>
      <c r="H444" s="122"/>
      <c r="I444" s="122"/>
      <c r="J444" s="122"/>
      <c r="K444" s="122"/>
      <c r="L444" s="124"/>
      <c r="M444" s="124"/>
      <c r="N444" s="124"/>
      <c r="O444" s="122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</row>
    <row r="445" spans="1:27" x14ac:dyDescent="0.25">
      <c r="A445" s="35"/>
      <c r="B445" s="35"/>
      <c r="C445" s="35"/>
      <c r="D445" s="35"/>
      <c r="E445" s="35"/>
      <c r="F445" s="122"/>
      <c r="G445" s="123"/>
      <c r="H445" s="122"/>
      <c r="I445" s="122"/>
      <c r="J445" s="122"/>
      <c r="K445" s="122"/>
      <c r="L445" s="124"/>
      <c r="M445" s="124"/>
      <c r="N445" s="124"/>
      <c r="O445" s="122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</row>
    <row r="446" spans="1:27" x14ac:dyDescent="0.25">
      <c r="A446" s="35"/>
      <c r="B446" s="35"/>
      <c r="C446" s="35"/>
      <c r="D446" s="35"/>
      <c r="E446" s="35"/>
      <c r="F446" s="122"/>
      <c r="G446" s="123"/>
      <c r="H446" s="122"/>
      <c r="I446" s="122"/>
      <c r="J446" s="122"/>
      <c r="K446" s="122"/>
      <c r="L446" s="124"/>
      <c r="M446" s="124"/>
      <c r="N446" s="124"/>
      <c r="O446" s="122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</row>
    <row r="447" spans="1:27" x14ac:dyDescent="0.25">
      <c r="A447" s="35"/>
      <c r="B447" s="35"/>
      <c r="C447" s="35"/>
      <c r="D447" s="35"/>
      <c r="E447" s="35"/>
      <c r="F447" s="122"/>
      <c r="G447" s="123"/>
      <c r="H447" s="122"/>
      <c r="I447" s="122"/>
      <c r="J447" s="122"/>
      <c r="K447" s="122"/>
      <c r="L447" s="124"/>
      <c r="M447" s="124"/>
      <c r="N447" s="124"/>
      <c r="O447" s="122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</row>
    <row r="448" spans="1:27" x14ac:dyDescent="0.25">
      <c r="A448" s="35"/>
      <c r="B448" s="35"/>
      <c r="C448" s="35"/>
      <c r="D448" s="35"/>
      <c r="E448" s="35"/>
      <c r="F448" s="122"/>
      <c r="G448" s="123"/>
      <c r="H448" s="122"/>
      <c r="I448" s="122"/>
      <c r="J448" s="122"/>
      <c r="K448" s="122"/>
      <c r="L448" s="124"/>
      <c r="M448" s="124"/>
      <c r="N448" s="124"/>
      <c r="O448" s="122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</row>
    <row r="449" spans="1:27" x14ac:dyDescent="0.25">
      <c r="A449" s="35"/>
      <c r="B449" s="35"/>
      <c r="C449" s="35"/>
      <c r="D449" s="35"/>
      <c r="E449" s="35"/>
      <c r="F449" s="122"/>
      <c r="G449" s="123"/>
      <c r="H449" s="122"/>
      <c r="I449" s="122"/>
      <c r="J449" s="122"/>
      <c r="K449" s="122"/>
      <c r="L449" s="124"/>
      <c r="M449" s="124"/>
      <c r="N449" s="124"/>
      <c r="O449" s="122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</row>
    <row r="450" spans="1:27" x14ac:dyDescent="0.25">
      <c r="A450" s="35"/>
      <c r="B450" s="35"/>
      <c r="C450" s="35"/>
      <c r="D450" s="35"/>
      <c r="E450" s="35"/>
      <c r="F450" s="122"/>
      <c r="G450" s="123"/>
      <c r="H450" s="122"/>
      <c r="I450" s="122"/>
      <c r="J450" s="122"/>
      <c r="K450" s="122"/>
      <c r="L450" s="124"/>
      <c r="M450" s="124"/>
      <c r="N450" s="124"/>
      <c r="O450" s="122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</row>
    <row r="451" spans="1:27" x14ac:dyDescent="0.25">
      <c r="A451" s="35"/>
      <c r="B451" s="35"/>
      <c r="C451" s="35"/>
      <c r="D451" s="35"/>
      <c r="E451" s="35"/>
      <c r="F451" s="122"/>
      <c r="G451" s="123"/>
      <c r="H451" s="122"/>
      <c r="I451" s="122"/>
      <c r="J451" s="122"/>
      <c r="K451" s="122"/>
      <c r="L451" s="124"/>
      <c r="M451" s="124"/>
      <c r="N451" s="124"/>
      <c r="O451" s="122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</row>
    <row r="452" spans="1:27" x14ac:dyDescent="0.25">
      <c r="A452" s="35"/>
      <c r="B452" s="35"/>
      <c r="C452" s="35"/>
      <c r="D452" s="35"/>
      <c r="E452" s="35"/>
      <c r="F452" s="122"/>
      <c r="G452" s="123"/>
      <c r="H452" s="122"/>
      <c r="I452" s="122"/>
      <c r="J452" s="122"/>
      <c r="K452" s="122"/>
      <c r="L452" s="124"/>
      <c r="M452" s="124"/>
      <c r="N452" s="124"/>
      <c r="O452" s="122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</row>
    <row r="453" spans="1:27" x14ac:dyDescent="0.25">
      <c r="A453" s="35"/>
      <c r="B453" s="35"/>
      <c r="C453" s="35"/>
      <c r="D453" s="35"/>
      <c r="E453" s="35"/>
      <c r="F453" s="122"/>
      <c r="G453" s="123"/>
      <c r="H453" s="122"/>
      <c r="I453" s="122"/>
      <c r="J453" s="122"/>
      <c r="K453" s="122"/>
      <c r="L453" s="124"/>
      <c r="M453" s="124"/>
      <c r="N453" s="124"/>
      <c r="O453" s="122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</row>
    <row r="454" spans="1:27" x14ac:dyDescent="0.25">
      <c r="A454" s="35"/>
      <c r="B454" s="35"/>
      <c r="C454" s="35"/>
      <c r="D454" s="35"/>
      <c r="E454" s="35"/>
      <c r="F454" s="122"/>
      <c r="G454" s="123"/>
      <c r="H454" s="122"/>
      <c r="I454" s="122"/>
      <c r="J454" s="122"/>
      <c r="K454" s="122"/>
      <c r="L454" s="124"/>
      <c r="M454" s="124"/>
      <c r="N454" s="124"/>
      <c r="O454" s="122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</row>
    <row r="455" spans="1:27" x14ac:dyDescent="0.25">
      <c r="A455" s="35"/>
      <c r="B455" s="35"/>
      <c r="C455" s="35"/>
      <c r="D455" s="35"/>
      <c r="E455" s="35"/>
      <c r="F455" s="122"/>
      <c r="G455" s="123"/>
      <c r="H455" s="122"/>
      <c r="I455" s="122"/>
      <c r="J455" s="122"/>
      <c r="K455" s="122"/>
      <c r="L455" s="124"/>
      <c r="M455" s="124"/>
      <c r="N455" s="124"/>
      <c r="O455" s="122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</row>
    <row r="456" spans="1:27" x14ac:dyDescent="0.25">
      <c r="A456" s="35"/>
      <c r="B456" s="35"/>
      <c r="C456" s="35"/>
      <c r="D456" s="35"/>
      <c r="E456" s="35"/>
      <c r="F456" s="122"/>
      <c r="G456" s="123"/>
      <c r="H456" s="122"/>
      <c r="I456" s="122"/>
      <c r="J456" s="122"/>
      <c r="K456" s="122"/>
      <c r="L456" s="124"/>
      <c r="M456" s="124"/>
      <c r="N456" s="124"/>
      <c r="O456" s="122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</row>
    <row r="457" spans="1:27" x14ac:dyDescent="0.25">
      <c r="A457" s="35"/>
      <c r="B457" s="35"/>
      <c r="C457" s="35"/>
      <c r="D457" s="35"/>
      <c r="E457" s="35"/>
      <c r="F457" s="122"/>
      <c r="G457" s="123"/>
      <c r="H457" s="122"/>
      <c r="I457" s="122"/>
      <c r="J457" s="122"/>
      <c r="K457" s="122"/>
      <c r="L457" s="124"/>
      <c r="M457" s="124"/>
      <c r="N457" s="124"/>
      <c r="O457" s="122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</row>
    <row r="458" spans="1:27" x14ac:dyDescent="0.25">
      <c r="A458" s="35"/>
      <c r="B458" s="35"/>
      <c r="C458" s="35"/>
      <c r="D458" s="35"/>
      <c r="E458" s="35"/>
      <c r="F458" s="122"/>
      <c r="G458" s="123"/>
      <c r="H458" s="122"/>
      <c r="I458" s="122"/>
      <c r="J458" s="122"/>
      <c r="K458" s="122"/>
      <c r="L458" s="124"/>
      <c r="M458" s="124"/>
      <c r="N458" s="124"/>
      <c r="O458" s="122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</row>
    <row r="459" spans="1:27" x14ac:dyDescent="0.25">
      <c r="A459" s="35"/>
      <c r="B459" s="35"/>
      <c r="C459" s="35"/>
      <c r="D459" s="35"/>
      <c r="E459" s="35"/>
      <c r="F459" s="122"/>
      <c r="G459" s="123"/>
      <c r="H459" s="122"/>
      <c r="I459" s="122"/>
      <c r="J459" s="122"/>
      <c r="K459" s="122"/>
      <c r="L459" s="124"/>
      <c r="M459" s="124"/>
      <c r="N459" s="124"/>
      <c r="O459" s="122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</row>
    <row r="460" spans="1:27" x14ac:dyDescent="0.25">
      <c r="A460" s="35"/>
      <c r="B460" s="35"/>
      <c r="C460" s="35"/>
      <c r="D460" s="35"/>
      <c r="E460" s="35"/>
      <c r="F460" s="122"/>
      <c r="G460" s="123"/>
      <c r="H460" s="122"/>
      <c r="I460" s="122"/>
      <c r="J460" s="122"/>
      <c r="K460" s="122"/>
      <c r="L460" s="124"/>
      <c r="M460" s="124"/>
      <c r="N460" s="124"/>
      <c r="O460" s="122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</row>
    <row r="461" spans="1:27" x14ac:dyDescent="0.25">
      <c r="A461" s="35"/>
      <c r="B461" s="35"/>
      <c r="C461" s="35"/>
      <c r="D461" s="35"/>
      <c r="E461" s="35"/>
      <c r="F461" s="122"/>
      <c r="G461" s="123"/>
      <c r="H461" s="122"/>
      <c r="I461" s="122"/>
      <c r="J461" s="122"/>
      <c r="K461" s="122"/>
      <c r="L461" s="124"/>
      <c r="M461" s="124"/>
      <c r="N461" s="124"/>
      <c r="O461" s="122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</row>
    <row r="462" spans="1:27" x14ac:dyDescent="0.25">
      <c r="A462" s="35"/>
      <c r="B462" s="35"/>
      <c r="C462" s="35"/>
      <c r="D462" s="35"/>
      <c r="E462" s="35"/>
      <c r="F462" s="122"/>
      <c r="G462" s="123"/>
      <c r="H462" s="122"/>
      <c r="I462" s="122"/>
      <c r="J462" s="122"/>
      <c r="K462" s="122"/>
      <c r="L462" s="124"/>
      <c r="M462" s="124"/>
      <c r="N462" s="124"/>
      <c r="O462" s="122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</row>
    <row r="463" spans="1:27" x14ac:dyDescent="0.25">
      <c r="A463" s="35"/>
      <c r="B463" s="35"/>
      <c r="C463" s="35"/>
      <c r="D463" s="35"/>
      <c r="E463" s="35"/>
      <c r="F463" s="122"/>
      <c r="G463" s="123"/>
      <c r="H463" s="122"/>
      <c r="I463" s="122"/>
      <c r="J463" s="122"/>
      <c r="K463" s="122"/>
      <c r="L463" s="124"/>
      <c r="M463" s="124"/>
      <c r="N463" s="124"/>
      <c r="O463" s="122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</row>
    <row r="464" spans="1:27" x14ac:dyDescent="0.25">
      <c r="A464" s="35"/>
      <c r="B464" s="35"/>
      <c r="C464" s="35"/>
      <c r="D464" s="35"/>
      <c r="E464" s="35"/>
      <c r="F464" s="122"/>
      <c r="G464" s="123"/>
      <c r="H464" s="122"/>
      <c r="I464" s="122"/>
      <c r="J464" s="122"/>
      <c r="K464" s="122"/>
      <c r="L464" s="124"/>
      <c r="M464" s="124"/>
      <c r="N464" s="124"/>
      <c r="O464" s="122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</row>
    <row r="465" spans="1:27" x14ac:dyDescent="0.25">
      <c r="A465" s="35"/>
      <c r="B465" s="35"/>
      <c r="C465" s="35"/>
      <c r="D465" s="35"/>
      <c r="E465" s="35"/>
      <c r="F465" s="122"/>
      <c r="G465" s="123"/>
      <c r="H465" s="122"/>
      <c r="I465" s="122"/>
      <c r="J465" s="122"/>
      <c r="K465" s="122"/>
      <c r="L465" s="124"/>
      <c r="M465" s="124"/>
      <c r="N465" s="124"/>
      <c r="O465" s="122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</row>
    <row r="466" spans="1:27" x14ac:dyDescent="0.25">
      <c r="A466" s="35"/>
      <c r="B466" s="35"/>
      <c r="C466" s="35"/>
      <c r="D466" s="35"/>
      <c r="E466" s="35"/>
      <c r="F466" s="122"/>
      <c r="G466" s="123"/>
      <c r="H466" s="122"/>
      <c r="I466" s="122"/>
      <c r="J466" s="122"/>
      <c r="K466" s="122"/>
      <c r="L466" s="124"/>
      <c r="M466" s="124"/>
      <c r="N466" s="124"/>
      <c r="O466" s="122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</row>
    <row r="467" spans="1:27" x14ac:dyDescent="0.25">
      <c r="A467" s="35"/>
      <c r="B467" s="35"/>
      <c r="C467" s="35"/>
      <c r="D467" s="35"/>
      <c r="E467" s="35"/>
      <c r="F467" s="122"/>
      <c r="G467" s="123"/>
      <c r="H467" s="122"/>
      <c r="I467" s="122"/>
      <c r="J467" s="122"/>
      <c r="K467" s="122"/>
      <c r="L467" s="124"/>
      <c r="M467" s="124"/>
      <c r="N467" s="124"/>
      <c r="O467" s="122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</row>
    <row r="468" spans="1:27" x14ac:dyDescent="0.25">
      <c r="A468" s="35"/>
      <c r="B468" s="35"/>
      <c r="C468" s="35"/>
      <c r="D468" s="35"/>
      <c r="E468" s="35"/>
      <c r="F468" s="122"/>
      <c r="G468" s="123"/>
      <c r="H468" s="122"/>
      <c r="I468" s="122"/>
      <c r="J468" s="122"/>
      <c r="K468" s="122"/>
      <c r="L468" s="124"/>
      <c r="M468" s="124"/>
      <c r="N468" s="124"/>
      <c r="O468" s="122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</row>
    <row r="469" spans="1:27" x14ac:dyDescent="0.25">
      <c r="A469" s="35"/>
      <c r="B469" s="35"/>
      <c r="C469" s="35"/>
      <c r="D469" s="35"/>
      <c r="E469" s="35"/>
      <c r="F469" s="122"/>
      <c r="G469" s="123"/>
      <c r="H469" s="122"/>
      <c r="I469" s="122"/>
      <c r="J469" s="122"/>
      <c r="K469" s="122"/>
      <c r="L469" s="124"/>
      <c r="M469" s="124"/>
      <c r="N469" s="124"/>
      <c r="O469" s="122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</row>
    <row r="470" spans="1:27" x14ac:dyDescent="0.25">
      <c r="A470" s="35"/>
      <c r="B470" s="35"/>
      <c r="C470" s="35"/>
      <c r="D470" s="35"/>
      <c r="E470" s="35"/>
      <c r="F470" s="122"/>
      <c r="G470" s="123"/>
      <c r="H470" s="122"/>
      <c r="I470" s="122"/>
      <c r="J470" s="122"/>
      <c r="K470" s="122"/>
      <c r="L470" s="124"/>
      <c r="M470" s="124"/>
      <c r="N470" s="124"/>
      <c r="O470" s="122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</row>
    <row r="471" spans="1:27" x14ac:dyDescent="0.25">
      <c r="A471" s="35"/>
      <c r="B471" s="35"/>
      <c r="C471" s="35"/>
      <c r="D471" s="35"/>
      <c r="E471" s="35"/>
      <c r="F471" s="122"/>
      <c r="G471" s="123"/>
      <c r="H471" s="122"/>
      <c r="I471" s="122"/>
      <c r="J471" s="122"/>
      <c r="K471" s="122"/>
      <c r="L471" s="124"/>
      <c r="M471" s="124"/>
      <c r="N471" s="124"/>
      <c r="O471" s="122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</row>
    <row r="472" spans="1:27" x14ac:dyDescent="0.25">
      <c r="A472" s="35"/>
      <c r="B472" s="35"/>
      <c r="C472" s="35"/>
      <c r="D472" s="35"/>
      <c r="E472" s="35"/>
      <c r="F472" s="122"/>
      <c r="G472" s="123"/>
      <c r="H472" s="122"/>
      <c r="I472" s="122"/>
      <c r="J472" s="122"/>
      <c r="K472" s="122"/>
      <c r="L472" s="124"/>
      <c r="M472" s="124"/>
      <c r="N472" s="124"/>
      <c r="O472" s="122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</row>
    <row r="473" spans="1:27" x14ac:dyDescent="0.25">
      <c r="A473" s="35"/>
      <c r="B473" s="35"/>
      <c r="C473" s="35"/>
      <c r="D473" s="35"/>
      <c r="E473" s="35"/>
      <c r="F473" s="122"/>
      <c r="G473" s="123"/>
      <c r="H473" s="122"/>
      <c r="I473" s="122"/>
      <c r="J473" s="122"/>
      <c r="K473" s="122"/>
      <c r="L473" s="124"/>
      <c r="M473" s="124"/>
      <c r="N473" s="124"/>
      <c r="O473" s="122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</row>
    <row r="474" spans="1:27" x14ac:dyDescent="0.25">
      <c r="A474" s="35"/>
      <c r="B474" s="35"/>
      <c r="C474" s="35"/>
      <c r="D474" s="35"/>
      <c r="E474" s="35"/>
      <c r="F474" s="122"/>
      <c r="G474" s="123"/>
      <c r="H474" s="122"/>
      <c r="I474" s="122"/>
      <c r="J474" s="122"/>
      <c r="K474" s="122"/>
      <c r="L474" s="124"/>
      <c r="M474" s="124"/>
      <c r="N474" s="124"/>
      <c r="O474" s="122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</row>
    <row r="475" spans="1:27" x14ac:dyDescent="0.25">
      <c r="A475" s="35"/>
      <c r="B475" s="35"/>
      <c r="C475" s="35"/>
      <c r="D475" s="35"/>
      <c r="E475" s="35"/>
      <c r="F475" s="122"/>
      <c r="G475" s="123"/>
      <c r="H475" s="122"/>
      <c r="I475" s="122"/>
      <c r="J475" s="122"/>
      <c r="K475" s="122"/>
      <c r="L475" s="124"/>
      <c r="M475" s="124"/>
      <c r="N475" s="124"/>
      <c r="O475" s="122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</row>
    <row r="476" spans="1:27" x14ac:dyDescent="0.25">
      <c r="A476" s="35"/>
      <c r="B476" s="35"/>
      <c r="C476" s="35"/>
      <c r="D476" s="35"/>
      <c r="E476" s="35"/>
      <c r="F476" s="122"/>
      <c r="G476" s="123"/>
      <c r="H476" s="122"/>
      <c r="I476" s="122"/>
      <c r="J476" s="122"/>
      <c r="K476" s="122"/>
      <c r="L476" s="124"/>
      <c r="M476" s="124"/>
      <c r="N476" s="124"/>
      <c r="O476" s="122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</row>
    <row r="477" spans="1:27" x14ac:dyDescent="0.25">
      <c r="A477" s="35"/>
      <c r="B477" s="35"/>
      <c r="C477" s="35"/>
      <c r="D477" s="35"/>
      <c r="E477" s="35"/>
      <c r="F477" s="122"/>
      <c r="G477" s="123"/>
      <c r="H477" s="122"/>
      <c r="I477" s="122"/>
      <c r="J477" s="122"/>
      <c r="K477" s="122"/>
      <c r="L477" s="124"/>
      <c r="M477" s="124"/>
      <c r="N477" s="124"/>
      <c r="O477" s="122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</row>
    <row r="478" spans="1:27" x14ac:dyDescent="0.25">
      <c r="A478" s="35"/>
      <c r="B478" s="35"/>
      <c r="C478" s="35"/>
      <c r="D478" s="35"/>
      <c r="E478" s="35"/>
      <c r="F478" s="122"/>
      <c r="G478" s="123"/>
      <c r="H478" s="122"/>
      <c r="I478" s="122"/>
      <c r="J478" s="122"/>
      <c r="K478" s="122"/>
      <c r="L478" s="124"/>
      <c r="M478" s="124"/>
      <c r="N478" s="124"/>
      <c r="O478" s="122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</row>
    <row r="479" spans="1:27" x14ac:dyDescent="0.25">
      <c r="A479" s="35"/>
      <c r="B479" s="35"/>
      <c r="C479" s="35"/>
      <c r="D479" s="35"/>
      <c r="E479" s="35"/>
      <c r="F479" s="122"/>
      <c r="G479" s="123"/>
      <c r="H479" s="122"/>
      <c r="I479" s="122"/>
      <c r="J479" s="122"/>
      <c r="K479" s="122"/>
      <c r="L479" s="124"/>
      <c r="M479" s="124"/>
      <c r="N479" s="124"/>
      <c r="O479" s="122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</row>
    <row r="480" spans="1:27" x14ac:dyDescent="0.25">
      <c r="A480" s="35"/>
      <c r="B480" s="35"/>
      <c r="C480" s="35"/>
      <c r="D480" s="35"/>
      <c r="E480" s="35"/>
      <c r="F480" s="122"/>
      <c r="G480" s="123"/>
      <c r="H480" s="122"/>
      <c r="I480" s="122"/>
      <c r="J480" s="122"/>
      <c r="K480" s="122"/>
      <c r="L480" s="124"/>
      <c r="M480" s="124"/>
      <c r="N480" s="124"/>
      <c r="O480" s="122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</row>
    <row r="481" spans="1:27" x14ac:dyDescent="0.25">
      <c r="A481" s="35"/>
      <c r="B481" s="35"/>
      <c r="C481" s="35"/>
      <c r="D481" s="35"/>
      <c r="E481" s="35"/>
      <c r="F481" s="122"/>
      <c r="G481" s="123"/>
      <c r="H481" s="122"/>
      <c r="I481" s="122"/>
      <c r="J481" s="122"/>
      <c r="K481" s="122"/>
      <c r="L481" s="124"/>
      <c r="M481" s="124"/>
      <c r="N481" s="124"/>
      <c r="O481" s="122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</row>
    <row r="482" spans="1:27" x14ac:dyDescent="0.25">
      <c r="A482" s="35"/>
      <c r="B482" s="35"/>
      <c r="C482" s="35"/>
      <c r="D482" s="35"/>
      <c r="E482" s="35"/>
      <c r="F482" s="122"/>
      <c r="G482" s="123"/>
      <c r="H482" s="122"/>
      <c r="I482" s="122"/>
      <c r="J482" s="122"/>
      <c r="K482" s="122"/>
      <c r="L482" s="124"/>
      <c r="M482" s="124"/>
      <c r="N482" s="124"/>
      <c r="O482" s="122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</row>
    <row r="483" spans="1:27" x14ac:dyDescent="0.25">
      <c r="A483" s="35"/>
      <c r="B483" s="35"/>
      <c r="C483" s="35"/>
      <c r="D483" s="35"/>
      <c r="E483" s="35"/>
      <c r="F483" s="122"/>
      <c r="G483" s="123"/>
      <c r="H483" s="122"/>
      <c r="I483" s="122"/>
      <c r="J483" s="122"/>
      <c r="K483" s="122"/>
      <c r="L483" s="124"/>
      <c r="M483" s="124"/>
      <c r="N483" s="124"/>
      <c r="O483" s="122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</row>
    <row r="484" spans="1:27" x14ac:dyDescent="0.25">
      <c r="A484" s="35"/>
      <c r="B484" s="35"/>
      <c r="C484" s="35"/>
      <c r="D484" s="35"/>
      <c r="E484" s="35"/>
      <c r="F484" s="122"/>
      <c r="G484" s="123"/>
      <c r="H484" s="122"/>
      <c r="I484" s="122"/>
      <c r="J484" s="122"/>
      <c r="K484" s="122"/>
      <c r="L484" s="124"/>
      <c r="M484" s="124"/>
      <c r="N484" s="124"/>
      <c r="O484" s="122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</row>
    <row r="485" spans="1:27" x14ac:dyDescent="0.25">
      <c r="A485" s="35"/>
      <c r="B485" s="35"/>
      <c r="C485" s="35"/>
      <c r="D485" s="35"/>
      <c r="E485" s="35"/>
      <c r="F485" s="122"/>
      <c r="G485" s="123"/>
      <c r="H485" s="122"/>
      <c r="I485" s="122"/>
      <c r="J485" s="122"/>
      <c r="K485" s="122"/>
      <c r="L485" s="124"/>
      <c r="M485" s="124"/>
      <c r="N485" s="124"/>
      <c r="O485" s="122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</row>
    <row r="486" spans="1:27" x14ac:dyDescent="0.25">
      <c r="A486" s="35"/>
      <c r="B486" s="35"/>
      <c r="C486" s="35"/>
      <c r="D486" s="35"/>
      <c r="E486" s="35"/>
      <c r="F486" s="122"/>
      <c r="G486" s="123"/>
      <c r="H486" s="122"/>
      <c r="I486" s="122"/>
      <c r="J486" s="122"/>
      <c r="K486" s="122"/>
      <c r="L486" s="124"/>
      <c r="M486" s="124"/>
      <c r="N486" s="124"/>
      <c r="O486" s="122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</row>
    <row r="487" spans="1:27" x14ac:dyDescent="0.25">
      <c r="A487" s="35"/>
      <c r="B487" s="35"/>
      <c r="C487" s="35"/>
      <c r="D487" s="35"/>
      <c r="E487" s="35"/>
      <c r="F487" s="122"/>
      <c r="G487" s="123"/>
      <c r="H487" s="122"/>
      <c r="I487" s="122"/>
      <c r="J487" s="122"/>
      <c r="K487" s="122"/>
      <c r="L487" s="124"/>
      <c r="M487" s="124"/>
      <c r="N487" s="124"/>
      <c r="O487" s="122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</row>
    <row r="488" spans="1:27" x14ac:dyDescent="0.25">
      <c r="A488" s="35"/>
      <c r="B488" s="35"/>
      <c r="C488" s="35"/>
      <c r="D488" s="35"/>
      <c r="E488" s="35"/>
      <c r="F488" s="122"/>
      <c r="G488" s="123"/>
      <c r="H488" s="122"/>
      <c r="I488" s="122"/>
      <c r="J488" s="122"/>
      <c r="K488" s="122"/>
      <c r="L488" s="124"/>
      <c r="M488" s="124"/>
      <c r="N488" s="124"/>
      <c r="O488" s="122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</row>
    <row r="489" spans="1:27" x14ac:dyDescent="0.25">
      <c r="A489" s="35"/>
      <c r="B489" s="35"/>
      <c r="C489" s="35"/>
      <c r="D489" s="35"/>
      <c r="E489" s="35"/>
      <c r="F489" s="122"/>
      <c r="G489" s="123"/>
      <c r="H489" s="122"/>
      <c r="I489" s="122"/>
      <c r="J489" s="122"/>
      <c r="K489" s="122"/>
      <c r="L489" s="124"/>
      <c r="M489" s="124"/>
      <c r="N489" s="124"/>
      <c r="O489" s="122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</row>
    <row r="490" spans="1:27" x14ac:dyDescent="0.25">
      <c r="A490" s="35"/>
      <c r="B490" s="35"/>
      <c r="C490" s="35"/>
      <c r="D490" s="35"/>
      <c r="E490" s="35"/>
      <c r="F490" s="122"/>
      <c r="G490" s="123"/>
      <c r="H490" s="122"/>
      <c r="I490" s="122"/>
      <c r="J490" s="122"/>
      <c r="K490" s="122"/>
      <c r="L490" s="124"/>
      <c r="M490" s="124"/>
      <c r="N490" s="124"/>
      <c r="O490" s="122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</row>
    <row r="491" spans="1:27" x14ac:dyDescent="0.25">
      <c r="A491" s="35"/>
      <c r="B491" s="35"/>
      <c r="C491" s="35"/>
      <c r="D491" s="35"/>
      <c r="E491" s="35"/>
      <c r="F491" s="122"/>
      <c r="G491" s="123"/>
      <c r="H491" s="122"/>
      <c r="I491" s="122"/>
      <c r="J491" s="122"/>
      <c r="K491" s="122"/>
      <c r="L491" s="124"/>
      <c r="M491" s="124"/>
      <c r="N491" s="124"/>
      <c r="O491" s="122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</row>
    <row r="492" spans="1:27" x14ac:dyDescent="0.25">
      <c r="A492" s="35"/>
      <c r="B492" s="35"/>
      <c r="C492" s="35"/>
      <c r="D492" s="35"/>
      <c r="E492" s="35"/>
      <c r="F492" s="122"/>
      <c r="G492" s="123"/>
      <c r="H492" s="122"/>
      <c r="I492" s="122"/>
      <c r="J492" s="122"/>
      <c r="K492" s="122"/>
      <c r="L492" s="124"/>
      <c r="M492" s="124"/>
      <c r="N492" s="124"/>
      <c r="O492" s="122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</row>
    <row r="493" spans="1:27" x14ac:dyDescent="0.25">
      <c r="A493" s="35"/>
      <c r="B493" s="35"/>
      <c r="C493" s="35"/>
      <c r="D493" s="35"/>
      <c r="E493" s="35"/>
      <c r="F493" s="122"/>
      <c r="G493" s="123"/>
      <c r="H493" s="122"/>
      <c r="I493" s="122"/>
      <c r="J493" s="122"/>
      <c r="K493" s="122"/>
      <c r="L493" s="124"/>
      <c r="M493" s="124"/>
      <c r="N493" s="124"/>
      <c r="O493" s="122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</row>
    <row r="494" spans="1:27" x14ac:dyDescent="0.25">
      <c r="A494" s="35"/>
      <c r="B494" s="35"/>
      <c r="C494" s="35"/>
      <c r="D494" s="35"/>
      <c r="E494" s="35"/>
      <c r="F494" s="122"/>
      <c r="G494" s="123"/>
      <c r="H494" s="122"/>
      <c r="I494" s="122"/>
      <c r="J494" s="122"/>
      <c r="K494" s="122"/>
      <c r="L494" s="124"/>
      <c r="M494" s="124"/>
      <c r="N494" s="124"/>
      <c r="O494" s="122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</row>
    <row r="495" spans="1:27" x14ac:dyDescent="0.25">
      <c r="A495" s="35"/>
      <c r="B495" s="35"/>
      <c r="C495" s="35"/>
      <c r="D495" s="35"/>
      <c r="E495" s="35"/>
      <c r="F495" s="122"/>
      <c r="G495" s="123"/>
      <c r="H495" s="122"/>
      <c r="I495" s="122"/>
      <c r="J495" s="122"/>
      <c r="K495" s="122"/>
      <c r="L495" s="124"/>
      <c r="M495" s="124"/>
      <c r="N495" s="124"/>
      <c r="O495" s="122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</row>
    <row r="496" spans="1:27" x14ac:dyDescent="0.25">
      <c r="A496" s="35"/>
      <c r="B496" s="35"/>
      <c r="C496" s="35"/>
      <c r="D496" s="35"/>
      <c r="E496" s="35"/>
      <c r="F496" s="122"/>
      <c r="G496" s="123"/>
      <c r="H496" s="122"/>
      <c r="I496" s="122"/>
      <c r="J496" s="122"/>
      <c r="K496" s="122"/>
      <c r="L496" s="124"/>
      <c r="M496" s="124"/>
      <c r="N496" s="124"/>
      <c r="O496" s="122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</row>
    <row r="497" spans="1:27" x14ac:dyDescent="0.25">
      <c r="A497" s="35"/>
      <c r="B497" s="35"/>
      <c r="C497" s="35"/>
      <c r="D497" s="35"/>
      <c r="E497" s="35"/>
      <c r="F497" s="122"/>
      <c r="G497" s="123"/>
      <c r="H497" s="122"/>
      <c r="I497" s="122"/>
      <c r="J497" s="122"/>
      <c r="K497" s="122"/>
      <c r="L497" s="124"/>
      <c r="M497" s="124"/>
      <c r="N497" s="124"/>
      <c r="O497" s="122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</row>
    <row r="498" spans="1:27" x14ac:dyDescent="0.25">
      <c r="A498" s="35"/>
      <c r="B498" s="35"/>
      <c r="C498" s="35"/>
      <c r="D498" s="35"/>
      <c r="E498" s="35"/>
      <c r="F498" s="122"/>
      <c r="G498" s="123"/>
      <c r="H498" s="122"/>
      <c r="I498" s="122"/>
      <c r="J498" s="122"/>
      <c r="K498" s="122"/>
      <c r="L498" s="124"/>
      <c r="M498" s="124"/>
      <c r="N498" s="124"/>
      <c r="O498" s="122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</row>
    <row r="499" spans="1:27" x14ac:dyDescent="0.25">
      <c r="A499" s="35"/>
      <c r="B499" s="35"/>
      <c r="C499" s="35"/>
      <c r="D499" s="35"/>
      <c r="E499" s="35"/>
      <c r="F499" s="122"/>
      <c r="G499" s="123"/>
      <c r="H499" s="122"/>
      <c r="I499" s="122"/>
      <c r="J499" s="122"/>
      <c r="K499" s="122"/>
      <c r="L499" s="124"/>
      <c r="M499" s="124"/>
      <c r="N499" s="124"/>
      <c r="O499" s="122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</row>
    <row r="500" spans="1:27" x14ac:dyDescent="0.25">
      <c r="A500" s="35"/>
      <c r="B500" s="35"/>
      <c r="C500" s="35"/>
      <c r="D500" s="35"/>
      <c r="E500" s="35"/>
      <c r="F500" s="122"/>
      <c r="G500" s="123"/>
      <c r="H500" s="122"/>
      <c r="I500" s="122"/>
      <c r="J500" s="122"/>
      <c r="K500" s="122"/>
      <c r="L500" s="124"/>
      <c r="M500" s="124"/>
      <c r="N500" s="124"/>
      <c r="O500" s="122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</row>
    <row r="501" spans="1:27" x14ac:dyDescent="0.25">
      <c r="A501" s="35"/>
      <c r="B501" s="35"/>
      <c r="C501" s="35"/>
      <c r="D501" s="35"/>
      <c r="E501" s="35"/>
      <c r="F501" s="122"/>
      <c r="G501" s="123"/>
      <c r="H501" s="122"/>
      <c r="I501" s="122"/>
      <c r="J501" s="122"/>
      <c r="K501" s="122"/>
      <c r="L501" s="124"/>
      <c r="M501" s="124"/>
      <c r="N501" s="124"/>
      <c r="O501" s="122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</row>
    <row r="502" spans="1:27" x14ac:dyDescent="0.25">
      <c r="A502" s="35"/>
      <c r="B502" s="35"/>
      <c r="C502" s="35"/>
      <c r="D502" s="35"/>
      <c r="E502" s="35"/>
      <c r="F502" s="122"/>
      <c r="G502" s="123"/>
      <c r="H502" s="122"/>
      <c r="I502" s="122"/>
      <c r="J502" s="122"/>
      <c r="K502" s="122"/>
      <c r="L502" s="124"/>
      <c r="M502" s="124"/>
      <c r="N502" s="124"/>
      <c r="O502" s="122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</row>
    <row r="503" spans="1:27" x14ac:dyDescent="0.25">
      <c r="A503" s="35"/>
      <c r="B503" s="35"/>
      <c r="C503" s="35"/>
      <c r="D503" s="35"/>
      <c r="E503" s="35"/>
      <c r="F503" s="122"/>
      <c r="G503" s="123"/>
      <c r="H503" s="122"/>
      <c r="I503" s="122"/>
      <c r="J503" s="122"/>
      <c r="K503" s="122"/>
      <c r="L503" s="124"/>
      <c r="M503" s="124"/>
      <c r="N503" s="124"/>
      <c r="O503" s="122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</row>
    <row r="504" spans="1:27" x14ac:dyDescent="0.25">
      <c r="A504" s="35"/>
      <c r="B504" s="35"/>
      <c r="C504" s="35"/>
      <c r="D504" s="35"/>
      <c r="E504" s="35"/>
      <c r="F504" s="122"/>
      <c r="G504" s="123"/>
      <c r="H504" s="122"/>
      <c r="I504" s="122"/>
      <c r="J504" s="122"/>
      <c r="K504" s="122"/>
      <c r="L504" s="124"/>
      <c r="M504" s="124"/>
      <c r="N504" s="124"/>
      <c r="O504" s="122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</row>
    <row r="505" spans="1:27" x14ac:dyDescent="0.25">
      <c r="A505" s="35"/>
      <c r="B505" s="35"/>
      <c r="C505" s="35"/>
      <c r="D505" s="35"/>
      <c r="E505" s="35"/>
      <c r="F505" s="122"/>
      <c r="G505" s="123"/>
      <c r="H505" s="122"/>
      <c r="I505" s="122"/>
      <c r="J505" s="122"/>
      <c r="K505" s="122"/>
      <c r="L505" s="124"/>
      <c r="M505" s="124"/>
      <c r="N505" s="124"/>
      <c r="O505" s="122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</row>
    <row r="506" spans="1:27" x14ac:dyDescent="0.25">
      <c r="A506" s="35"/>
      <c r="B506" s="35"/>
      <c r="C506" s="35"/>
      <c r="D506" s="35"/>
      <c r="E506" s="35"/>
      <c r="F506" s="122"/>
      <c r="G506" s="123"/>
      <c r="H506" s="122"/>
      <c r="I506" s="122"/>
      <c r="J506" s="122"/>
      <c r="K506" s="122"/>
      <c r="L506" s="124"/>
      <c r="M506" s="124"/>
      <c r="N506" s="124"/>
      <c r="O506" s="122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</row>
    <row r="507" spans="1:27" x14ac:dyDescent="0.25">
      <c r="A507" s="35"/>
      <c r="B507" s="35"/>
      <c r="C507" s="35"/>
      <c r="D507" s="35"/>
      <c r="E507" s="35"/>
      <c r="F507" s="122"/>
      <c r="G507" s="123"/>
      <c r="H507" s="122"/>
      <c r="I507" s="122"/>
      <c r="J507" s="122"/>
      <c r="K507" s="122"/>
      <c r="L507" s="124"/>
      <c r="M507" s="124"/>
      <c r="N507" s="124"/>
      <c r="O507" s="122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</row>
    <row r="508" spans="1:27" x14ac:dyDescent="0.25">
      <c r="A508" s="35"/>
      <c r="B508" s="35"/>
      <c r="C508" s="35"/>
      <c r="D508" s="35"/>
      <c r="E508" s="35"/>
      <c r="F508" s="122"/>
      <c r="G508" s="123"/>
      <c r="H508" s="122"/>
      <c r="I508" s="122"/>
      <c r="J508" s="122"/>
      <c r="K508" s="122"/>
      <c r="L508" s="124"/>
      <c r="M508" s="124"/>
      <c r="N508" s="124"/>
      <c r="O508" s="122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</row>
    <row r="509" spans="1:27" x14ac:dyDescent="0.25">
      <c r="A509" s="35"/>
      <c r="B509" s="35"/>
      <c r="C509" s="35"/>
      <c r="D509" s="35"/>
      <c r="E509" s="35"/>
      <c r="F509" s="122"/>
      <c r="G509" s="123"/>
      <c r="H509" s="122"/>
      <c r="I509" s="122"/>
      <c r="J509" s="122"/>
      <c r="K509" s="122"/>
      <c r="L509" s="124"/>
      <c r="M509" s="124"/>
      <c r="N509" s="124"/>
      <c r="O509" s="122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</row>
    <row r="510" spans="1:27" x14ac:dyDescent="0.25">
      <c r="A510" s="35"/>
      <c r="B510" s="35"/>
      <c r="C510" s="35"/>
      <c r="D510" s="35"/>
      <c r="E510" s="35"/>
      <c r="F510" s="122"/>
      <c r="G510" s="123"/>
      <c r="H510" s="122"/>
      <c r="I510" s="122"/>
      <c r="J510" s="122"/>
      <c r="K510" s="122"/>
      <c r="L510" s="124"/>
      <c r="M510" s="124"/>
      <c r="N510" s="124"/>
      <c r="O510" s="122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</row>
    <row r="511" spans="1:27" x14ac:dyDescent="0.25">
      <c r="A511" s="35"/>
      <c r="B511" s="35"/>
      <c r="C511" s="35"/>
      <c r="D511" s="35"/>
      <c r="E511" s="35"/>
      <c r="F511" s="122"/>
      <c r="G511" s="123"/>
      <c r="H511" s="122"/>
      <c r="I511" s="122"/>
      <c r="J511" s="122"/>
      <c r="K511" s="122"/>
      <c r="L511" s="124"/>
      <c r="M511" s="124"/>
      <c r="N511" s="124"/>
      <c r="O511" s="122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</row>
    <row r="512" spans="1:27" x14ac:dyDescent="0.25">
      <c r="A512" s="35"/>
      <c r="B512" s="35"/>
      <c r="C512" s="35"/>
      <c r="D512" s="35"/>
      <c r="E512" s="35"/>
      <c r="F512" s="122"/>
      <c r="G512" s="123"/>
      <c r="H512" s="122"/>
      <c r="I512" s="122"/>
      <c r="J512" s="122"/>
      <c r="K512" s="122"/>
      <c r="L512" s="124"/>
      <c r="M512" s="124"/>
      <c r="N512" s="124"/>
      <c r="O512" s="122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</row>
    <row r="513" spans="1:27" x14ac:dyDescent="0.25">
      <c r="A513" s="35"/>
      <c r="B513" s="35"/>
      <c r="C513" s="35"/>
      <c r="D513" s="35"/>
      <c r="E513" s="35"/>
      <c r="F513" s="122"/>
      <c r="G513" s="123"/>
      <c r="H513" s="122"/>
      <c r="I513" s="122"/>
      <c r="J513" s="122"/>
      <c r="K513" s="122"/>
      <c r="L513" s="124"/>
      <c r="M513" s="124"/>
      <c r="N513" s="124"/>
      <c r="O513" s="122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</row>
    <row r="514" spans="1:27" x14ac:dyDescent="0.25">
      <c r="A514" s="35"/>
      <c r="B514" s="35"/>
      <c r="C514" s="35"/>
      <c r="D514" s="35"/>
      <c r="E514" s="35"/>
      <c r="F514" s="122"/>
      <c r="G514" s="123"/>
      <c r="H514" s="122"/>
      <c r="I514" s="122"/>
      <c r="J514" s="122"/>
      <c r="K514" s="122"/>
      <c r="L514" s="124"/>
      <c r="M514" s="124"/>
      <c r="N514" s="124"/>
      <c r="O514" s="122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</row>
    <row r="515" spans="1:27" x14ac:dyDescent="0.25">
      <c r="A515" s="35"/>
      <c r="B515" s="35"/>
      <c r="C515" s="35"/>
      <c r="D515" s="35"/>
      <c r="E515" s="35"/>
      <c r="F515" s="122"/>
      <c r="G515" s="123"/>
      <c r="H515" s="122"/>
      <c r="I515" s="122"/>
      <c r="J515" s="122"/>
      <c r="K515" s="122"/>
      <c r="L515" s="124"/>
      <c r="M515" s="124"/>
      <c r="N515" s="124"/>
      <c r="O515" s="122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</row>
    <row r="516" spans="1:27" x14ac:dyDescent="0.25">
      <c r="A516" s="35"/>
      <c r="B516" s="35"/>
      <c r="C516" s="35"/>
      <c r="D516" s="35"/>
      <c r="E516" s="35"/>
      <c r="F516" s="122"/>
      <c r="G516" s="123"/>
      <c r="H516" s="122"/>
      <c r="I516" s="122"/>
      <c r="J516" s="122"/>
      <c r="K516" s="122"/>
      <c r="L516" s="124"/>
      <c r="M516" s="124"/>
      <c r="N516" s="124"/>
      <c r="O516" s="122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</row>
    <row r="517" spans="1:27" x14ac:dyDescent="0.25">
      <c r="A517" s="35"/>
      <c r="B517" s="35"/>
      <c r="C517" s="35"/>
      <c r="D517" s="35"/>
      <c r="E517" s="35"/>
      <c r="F517" s="122"/>
      <c r="G517" s="123"/>
      <c r="H517" s="122"/>
      <c r="I517" s="122"/>
      <c r="J517" s="122"/>
      <c r="K517" s="122"/>
      <c r="L517" s="124"/>
      <c r="M517" s="124"/>
      <c r="N517" s="124"/>
      <c r="O517" s="122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</row>
    <row r="518" spans="1:27" x14ac:dyDescent="0.25">
      <c r="A518" s="35"/>
      <c r="B518" s="35"/>
      <c r="C518" s="35"/>
      <c r="D518" s="35"/>
      <c r="E518" s="35"/>
      <c r="F518" s="122"/>
      <c r="G518" s="123"/>
      <c r="H518" s="122"/>
      <c r="I518" s="122"/>
      <c r="J518" s="122"/>
      <c r="K518" s="122"/>
      <c r="L518" s="124"/>
      <c r="M518" s="124"/>
      <c r="N518" s="124"/>
      <c r="O518" s="122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</row>
    <row r="519" spans="1:27" x14ac:dyDescent="0.25">
      <c r="A519" s="35"/>
      <c r="B519" s="35"/>
      <c r="C519" s="35"/>
      <c r="D519" s="35"/>
      <c r="E519" s="35"/>
      <c r="F519" s="122"/>
      <c r="G519" s="123"/>
      <c r="H519" s="122"/>
      <c r="I519" s="122"/>
      <c r="J519" s="122"/>
      <c r="K519" s="122"/>
      <c r="L519" s="124"/>
      <c r="M519" s="124"/>
      <c r="N519" s="124"/>
      <c r="O519" s="122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</row>
    <row r="520" spans="1:27" x14ac:dyDescent="0.25">
      <c r="A520" s="35"/>
      <c r="B520" s="35"/>
      <c r="C520" s="35"/>
      <c r="D520" s="35"/>
      <c r="E520" s="35"/>
      <c r="F520" s="122"/>
      <c r="G520" s="123"/>
      <c r="H520" s="122"/>
      <c r="I520" s="122"/>
      <c r="J520" s="122"/>
      <c r="K520" s="122"/>
      <c r="L520" s="124"/>
      <c r="M520" s="124"/>
      <c r="N520" s="124"/>
      <c r="O520" s="122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</row>
    <row r="521" spans="1:27" x14ac:dyDescent="0.25">
      <c r="A521" s="35"/>
      <c r="B521" s="35"/>
      <c r="C521" s="35"/>
      <c r="D521" s="35"/>
      <c r="E521" s="35"/>
      <c r="F521" s="122"/>
      <c r="G521" s="123"/>
      <c r="H521" s="122"/>
      <c r="I521" s="122"/>
      <c r="J521" s="122"/>
      <c r="K521" s="122"/>
      <c r="L521" s="124"/>
      <c r="M521" s="124"/>
      <c r="N521" s="124"/>
      <c r="O521" s="122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</row>
    <row r="522" spans="1:27" x14ac:dyDescent="0.25">
      <c r="A522" s="35"/>
      <c r="B522" s="35"/>
      <c r="C522" s="35"/>
      <c r="D522" s="35"/>
      <c r="E522" s="35"/>
      <c r="F522" s="122"/>
      <c r="G522" s="123"/>
      <c r="H522" s="122"/>
      <c r="I522" s="122"/>
      <c r="J522" s="122"/>
      <c r="K522" s="122"/>
      <c r="L522" s="124"/>
      <c r="M522" s="124"/>
      <c r="N522" s="124"/>
      <c r="O522" s="122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</row>
    <row r="523" spans="1:27" x14ac:dyDescent="0.25">
      <c r="A523" s="35"/>
      <c r="B523" s="35"/>
      <c r="C523" s="35"/>
      <c r="D523" s="35"/>
      <c r="E523" s="35"/>
      <c r="F523" s="122"/>
      <c r="G523" s="123"/>
      <c r="H523" s="122"/>
      <c r="I523" s="122"/>
      <c r="J523" s="122"/>
      <c r="K523" s="122"/>
      <c r="L523" s="124"/>
      <c r="M523" s="124"/>
      <c r="N523" s="124"/>
      <c r="O523" s="122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</row>
    <row r="524" spans="1:27" x14ac:dyDescent="0.25">
      <c r="A524" s="35"/>
      <c r="B524" s="35"/>
      <c r="C524" s="35"/>
      <c r="D524" s="35"/>
      <c r="E524" s="35"/>
      <c r="F524" s="122"/>
      <c r="G524" s="123"/>
      <c r="H524" s="122"/>
      <c r="I524" s="122"/>
      <c r="J524" s="122"/>
      <c r="K524" s="122"/>
      <c r="L524" s="124"/>
      <c r="M524" s="124"/>
      <c r="N524" s="124"/>
      <c r="O524" s="122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</row>
    <row r="525" spans="1:27" x14ac:dyDescent="0.25">
      <c r="A525" s="35"/>
      <c r="B525" s="35"/>
      <c r="C525" s="35"/>
      <c r="D525" s="35"/>
      <c r="E525" s="35"/>
      <c r="F525" s="122"/>
      <c r="G525" s="123"/>
      <c r="H525" s="122"/>
      <c r="I525" s="122"/>
      <c r="J525" s="122"/>
      <c r="K525" s="122"/>
      <c r="L525" s="124"/>
      <c r="M525" s="124"/>
      <c r="N525" s="124"/>
      <c r="O525" s="122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</row>
    <row r="526" spans="1:27" x14ac:dyDescent="0.25">
      <c r="A526" s="35"/>
      <c r="B526" s="35"/>
      <c r="C526" s="35"/>
      <c r="D526" s="35"/>
      <c r="E526" s="35"/>
      <c r="F526" s="122"/>
      <c r="G526" s="123"/>
      <c r="H526" s="122"/>
      <c r="I526" s="122"/>
      <c r="J526" s="122"/>
      <c r="K526" s="122"/>
      <c r="L526" s="124"/>
      <c r="M526" s="124"/>
      <c r="N526" s="124"/>
      <c r="O526" s="122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</row>
    <row r="527" spans="1:27" x14ac:dyDescent="0.25">
      <c r="A527" s="35"/>
      <c r="B527" s="35"/>
      <c r="C527" s="35"/>
      <c r="D527" s="35"/>
      <c r="E527" s="35"/>
      <c r="F527" s="122"/>
      <c r="G527" s="123"/>
      <c r="H527" s="122"/>
      <c r="I527" s="122"/>
      <c r="J527" s="122"/>
      <c r="K527" s="122"/>
      <c r="L527" s="124"/>
      <c r="M527" s="124"/>
      <c r="N527" s="124"/>
      <c r="O527" s="122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</row>
    <row r="528" spans="1:27" x14ac:dyDescent="0.25">
      <c r="A528" s="35"/>
      <c r="B528" s="35"/>
      <c r="C528" s="35"/>
      <c r="D528" s="35"/>
      <c r="E528" s="35"/>
      <c r="F528" s="122"/>
      <c r="G528" s="123"/>
      <c r="H528" s="122"/>
      <c r="I528" s="122"/>
      <c r="J528" s="122"/>
      <c r="K528" s="122"/>
      <c r="L528" s="124"/>
      <c r="M528" s="124"/>
      <c r="N528" s="124"/>
      <c r="O528" s="122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</row>
    <row r="529" spans="1:27" x14ac:dyDescent="0.25">
      <c r="A529" s="35"/>
      <c r="B529" s="35"/>
      <c r="C529" s="35"/>
      <c r="D529" s="35"/>
      <c r="E529" s="35"/>
      <c r="F529" s="122"/>
      <c r="G529" s="123"/>
      <c r="H529" s="122"/>
      <c r="I529" s="122"/>
      <c r="J529" s="122"/>
      <c r="K529" s="122"/>
      <c r="L529" s="124"/>
      <c r="M529" s="124"/>
      <c r="N529" s="124"/>
      <c r="O529" s="122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</row>
    <row r="530" spans="1:27" x14ac:dyDescent="0.25">
      <c r="A530" s="35"/>
      <c r="B530" s="35"/>
      <c r="C530" s="35"/>
      <c r="D530" s="35"/>
      <c r="E530" s="35"/>
      <c r="F530" s="122"/>
      <c r="G530" s="123"/>
      <c r="H530" s="122"/>
      <c r="I530" s="122"/>
      <c r="J530" s="122"/>
      <c r="K530" s="122"/>
      <c r="L530" s="124"/>
      <c r="M530" s="124"/>
      <c r="N530" s="124"/>
      <c r="O530" s="122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</row>
    <row r="531" spans="1:27" x14ac:dyDescent="0.25">
      <c r="A531" s="35"/>
      <c r="B531" s="35"/>
      <c r="C531" s="35"/>
      <c r="D531" s="35"/>
      <c r="E531" s="35"/>
      <c r="F531" s="122"/>
      <c r="G531" s="123"/>
      <c r="H531" s="122"/>
      <c r="I531" s="122"/>
      <c r="J531" s="122"/>
      <c r="K531" s="122"/>
      <c r="L531" s="124"/>
      <c r="M531" s="124"/>
      <c r="N531" s="124"/>
      <c r="O531" s="122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</row>
    <row r="532" spans="1:27" x14ac:dyDescent="0.25">
      <c r="A532" s="35"/>
      <c r="B532" s="35"/>
      <c r="C532" s="35"/>
      <c r="D532" s="35"/>
      <c r="E532" s="35"/>
      <c r="F532" s="122"/>
      <c r="G532" s="123"/>
      <c r="H532" s="122"/>
      <c r="I532" s="122"/>
      <c r="J532" s="122"/>
      <c r="K532" s="122"/>
      <c r="L532" s="124"/>
      <c r="M532" s="124"/>
      <c r="N532" s="124"/>
      <c r="O532" s="122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</row>
    <row r="533" spans="1:27" x14ac:dyDescent="0.25">
      <c r="A533" s="35"/>
      <c r="B533" s="35"/>
      <c r="C533" s="35"/>
      <c r="D533" s="35"/>
      <c r="E533" s="35"/>
      <c r="F533" s="122"/>
      <c r="G533" s="123"/>
      <c r="H533" s="122"/>
      <c r="I533" s="122"/>
      <c r="J533" s="122"/>
      <c r="K533" s="122"/>
      <c r="L533" s="124"/>
      <c r="M533" s="124"/>
      <c r="N533" s="124"/>
      <c r="O533" s="122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</row>
    <row r="534" spans="1:27" x14ac:dyDescent="0.25">
      <c r="A534" s="35"/>
      <c r="B534" s="35"/>
      <c r="C534" s="35"/>
      <c r="D534" s="35"/>
      <c r="E534" s="35"/>
      <c r="F534" s="122"/>
      <c r="G534" s="123"/>
      <c r="H534" s="122"/>
      <c r="I534" s="122"/>
      <c r="J534" s="122"/>
      <c r="K534" s="122"/>
      <c r="L534" s="124"/>
      <c r="M534" s="124"/>
      <c r="N534" s="124"/>
      <c r="O534" s="122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</row>
    <row r="535" spans="1:27" x14ac:dyDescent="0.25">
      <c r="A535" s="35"/>
      <c r="B535" s="35"/>
      <c r="C535" s="35"/>
      <c r="D535" s="35"/>
      <c r="E535" s="35"/>
      <c r="F535" s="122"/>
      <c r="G535" s="123"/>
      <c r="H535" s="122"/>
      <c r="I535" s="122"/>
      <c r="J535" s="122"/>
      <c r="K535" s="122"/>
      <c r="L535" s="124"/>
      <c r="M535" s="124"/>
      <c r="N535" s="124"/>
      <c r="O535" s="122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</row>
    <row r="536" spans="1:27" x14ac:dyDescent="0.25">
      <c r="A536" s="35"/>
      <c r="B536" s="35"/>
      <c r="C536" s="35"/>
      <c r="D536" s="35"/>
      <c r="E536" s="35"/>
      <c r="F536" s="122"/>
      <c r="G536" s="123"/>
      <c r="H536" s="122"/>
      <c r="I536" s="122"/>
      <c r="J536" s="122"/>
      <c r="K536" s="122"/>
      <c r="L536" s="124"/>
      <c r="M536" s="124"/>
      <c r="N536" s="124"/>
      <c r="O536" s="122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</row>
    <row r="537" spans="1:27" x14ac:dyDescent="0.25">
      <c r="A537" s="35"/>
      <c r="B537" s="35"/>
      <c r="C537" s="35"/>
      <c r="D537" s="35"/>
      <c r="E537" s="35"/>
      <c r="F537" s="122"/>
      <c r="G537" s="123"/>
      <c r="H537" s="122"/>
      <c r="I537" s="122"/>
      <c r="J537" s="122"/>
      <c r="K537" s="122"/>
      <c r="L537" s="124"/>
      <c r="M537" s="124"/>
      <c r="N537" s="124"/>
      <c r="O537" s="122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</row>
    <row r="538" spans="1:27" x14ac:dyDescent="0.25">
      <c r="A538" s="35"/>
      <c r="B538" s="35"/>
      <c r="C538" s="35"/>
      <c r="D538" s="35"/>
      <c r="E538" s="35"/>
      <c r="F538" s="122"/>
      <c r="G538" s="123"/>
      <c r="H538" s="122"/>
      <c r="I538" s="122"/>
      <c r="J538" s="122"/>
      <c r="K538" s="122"/>
      <c r="L538" s="124"/>
      <c r="M538" s="124"/>
      <c r="N538" s="124"/>
      <c r="O538" s="122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</row>
    <row r="539" spans="1:27" x14ac:dyDescent="0.25">
      <c r="A539" s="35"/>
      <c r="B539" s="35"/>
      <c r="C539" s="35"/>
      <c r="D539" s="35"/>
      <c r="E539" s="35"/>
      <c r="F539" s="122"/>
      <c r="G539" s="123"/>
      <c r="H539" s="122"/>
      <c r="I539" s="122"/>
      <c r="J539" s="122"/>
      <c r="K539" s="122"/>
      <c r="L539" s="124"/>
      <c r="M539" s="124"/>
      <c r="N539" s="124"/>
      <c r="O539" s="122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</row>
    <row r="540" spans="1:27" x14ac:dyDescent="0.25">
      <c r="A540" s="35"/>
      <c r="B540" s="35"/>
      <c r="C540" s="35"/>
      <c r="D540" s="35"/>
      <c r="E540" s="35"/>
      <c r="F540" s="122"/>
      <c r="G540" s="123"/>
      <c r="H540" s="122"/>
      <c r="I540" s="122"/>
      <c r="J540" s="122"/>
      <c r="K540" s="122"/>
      <c r="L540" s="124"/>
      <c r="M540" s="124"/>
      <c r="N540" s="124"/>
      <c r="O540" s="122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</row>
    <row r="541" spans="1:27" x14ac:dyDescent="0.25">
      <c r="A541" s="35"/>
      <c r="B541" s="35"/>
      <c r="C541" s="35"/>
      <c r="D541" s="35"/>
      <c r="E541" s="35"/>
      <c r="F541" s="122"/>
      <c r="G541" s="123"/>
      <c r="H541" s="122"/>
      <c r="I541" s="122"/>
      <c r="J541" s="122"/>
      <c r="K541" s="122"/>
      <c r="L541" s="124"/>
      <c r="M541" s="124"/>
      <c r="N541" s="124"/>
      <c r="O541" s="122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</row>
    <row r="542" spans="1:27" x14ac:dyDescent="0.25">
      <c r="A542" s="35"/>
      <c r="B542" s="35"/>
      <c r="C542" s="35"/>
      <c r="D542" s="35"/>
      <c r="E542" s="35"/>
      <c r="F542" s="122"/>
      <c r="G542" s="123"/>
      <c r="H542" s="122"/>
      <c r="I542" s="122"/>
      <c r="J542" s="122"/>
      <c r="K542" s="122"/>
      <c r="L542" s="124"/>
      <c r="M542" s="124"/>
      <c r="N542" s="124"/>
      <c r="O542" s="122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</row>
    <row r="543" spans="1:27" x14ac:dyDescent="0.25">
      <c r="A543" s="35"/>
      <c r="B543" s="35"/>
      <c r="C543" s="35"/>
      <c r="D543" s="35"/>
      <c r="E543" s="35"/>
      <c r="F543" s="122"/>
      <c r="G543" s="123"/>
      <c r="H543" s="122"/>
      <c r="I543" s="122"/>
      <c r="J543" s="122"/>
      <c r="K543" s="122"/>
      <c r="L543" s="124"/>
      <c r="M543" s="124"/>
      <c r="N543" s="124"/>
      <c r="O543" s="122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</row>
    <row r="544" spans="1:27" x14ac:dyDescent="0.25">
      <c r="A544" s="35"/>
      <c r="B544" s="35"/>
      <c r="C544" s="35"/>
      <c r="D544" s="35"/>
      <c r="E544" s="35"/>
      <c r="F544" s="122"/>
      <c r="G544" s="123"/>
      <c r="H544" s="122"/>
      <c r="I544" s="122"/>
      <c r="J544" s="122"/>
      <c r="K544" s="122"/>
      <c r="L544" s="124"/>
      <c r="M544" s="124"/>
      <c r="N544" s="124"/>
      <c r="O544" s="122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</row>
    <row r="545" spans="1:27" x14ac:dyDescent="0.25">
      <c r="A545" s="35"/>
      <c r="B545" s="35"/>
      <c r="C545" s="35"/>
      <c r="D545" s="35"/>
      <c r="E545" s="35"/>
      <c r="F545" s="122"/>
      <c r="G545" s="123"/>
      <c r="H545" s="122"/>
      <c r="I545" s="122"/>
      <c r="J545" s="122"/>
      <c r="K545" s="122"/>
      <c r="L545" s="124"/>
      <c r="M545" s="124"/>
      <c r="N545" s="124"/>
      <c r="O545" s="122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</row>
    <row r="546" spans="1:27" x14ac:dyDescent="0.25">
      <c r="A546" s="35"/>
      <c r="B546" s="35"/>
      <c r="C546" s="35"/>
      <c r="D546" s="35"/>
      <c r="E546" s="35"/>
      <c r="F546" s="122"/>
      <c r="G546" s="123"/>
      <c r="H546" s="122"/>
      <c r="I546" s="122"/>
      <c r="J546" s="122"/>
      <c r="K546" s="122"/>
      <c r="L546" s="124"/>
      <c r="M546" s="124"/>
      <c r="N546" s="124"/>
      <c r="O546" s="122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</row>
    <row r="547" spans="1:27" x14ac:dyDescent="0.25">
      <c r="A547" s="35"/>
      <c r="B547" s="35"/>
      <c r="C547" s="35"/>
      <c r="D547" s="35"/>
      <c r="E547" s="35"/>
      <c r="F547" s="122"/>
      <c r="G547" s="123"/>
      <c r="H547" s="122"/>
      <c r="I547" s="122"/>
      <c r="J547" s="122"/>
      <c r="K547" s="122"/>
      <c r="L547" s="124"/>
      <c r="M547" s="124"/>
      <c r="N547" s="124"/>
      <c r="O547" s="122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</row>
    <row r="548" spans="1:27" x14ac:dyDescent="0.25">
      <c r="A548" s="35"/>
      <c r="B548" s="35"/>
      <c r="C548" s="35"/>
      <c r="D548" s="35"/>
      <c r="E548" s="35"/>
      <c r="F548" s="122"/>
      <c r="G548" s="123"/>
      <c r="H548" s="122"/>
      <c r="I548" s="122"/>
      <c r="J548" s="122"/>
      <c r="K548" s="122"/>
      <c r="L548" s="124"/>
      <c r="M548" s="124"/>
      <c r="N548" s="124"/>
      <c r="O548" s="122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</row>
    <row r="549" spans="1:27" x14ac:dyDescent="0.25">
      <c r="A549" s="35"/>
      <c r="B549" s="35"/>
      <c r="C549" s="35"/>
      <c r="D549" s="35"/>
      <c r="E549" s="35"/>
      <c r="F549" s="122"/>
      <c r="G549" s="123"/>
      <c r="H549" s="122"/>
      <c r="I549" s="122"/>
      <c r="J549" s="122"/>
      <c r="K549" s="122"/>
      <c r="L549" s="124"/>
      <c r="M549" s="124"/>
      <c r="N549" s="124"/>
      <c r="O549" s="122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</row>
    <row r="550" spans="1:27" x14ac:dyDescent="0.25">
      <c r="A550" s="35"/>
      <c r="B550" s="35"/>
      <c r="C550" s="35"/>
      <c r="D550" s="35"/>
      <c r="E550" s="35"/>
      <c r="F550" s="122"/>
      <c r="G550" s="123"/>
      <c r="H550" s="122"/>
      <c r="I550" s="122"/>
      <c r="J550" s="122"/>
      <c r="K550" s="122"/>
      <c r="L550" s="124"/>
      <c r="M550" s="124"/>
      <c r="N550" s="124"/>
      <c r="O550" s="122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</row>
    <row r="551" spans="1:27" x14ac:dyDescent="0.25">
      <c r="A551" s="35"/>
      <c r="B551" s="35"/>
      <c r="C551" s="35"/>
      <c r="D551" s="35"/>
      <c r="E551" s="35"/>
      <c r="F551" s="122"/>
      <c r="G551" s="123"/>
      <c r="H551" s="122"/>
      <c r="I551" s="122"/>
      <c r="J551" s="122"/>
      <c r="K551" s="122"/>
      <c r="L551" s="124"/>
      <c r="M551" s="124"/>
      <c r="N551" s="124"/>
      <c r="O551" s="122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</row>
    <row r="552" spans="1:27" x14ac:dyDescent="0.25">
      <c r="A552" s="35"/>
      <c r="B552" s="35"/>
      <c r="C552" s="35"/>
      <c r="D552" s="35"/>
      <c r="E552" s="35"/>
      <c r="F552" s="122"/>
      <c r="G552" s="123"/>
      <c r="H552" s="122"/>
      <c r="I552" s="122"/>
      <c r="J552" s="122"/>
      <c r="K552" s="122"/>
      <c r="L552" s="124"/>
      <c r="M552" s="124"/>
      <c r="N552" s="124"/>
      <c r="O552" s="122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</row>
    <row r="553" spans="1:27" x14ac:dyDescent="0.25">
      <c r="A553" s="35"/>
      <c r="B553" s="35"/>
      <c r="C553" s="35"/>
      <c r="D553" s="35"/>
      <c r="E553" s="35"/>
      <c r="F553" s="122"/>
      <c r="G553" s="123"/>
      <c r="H553" s="122"/>
      <c r="I553" s="122"/>
      <c r="J553" s="122"/>
      <c r="K553" s="122"/>
      <c r="L553" s="124"/>
      <c r="M553" s="124"/>
      <c r="N553" s="124"/>
      <c r="O553" s="122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</row>
    <row r="554" spans="1:27" x14ac:dyDescent="0.25">
      <c r="A554" s="35"/>
      <c r="B554" s="35"/>
      <c r="C554" s="35"/>
      <c r="D554" s="35"/>
      <c r="E554" s="35"/>
      <c r="F554" s="122"/>
      <c r="G554" s="123"/>
      <c r="H554" s="122"/>
      <c r="I554" s="122"/>
      <c r="J554" s="122"/>
      <c r="K554" s="122"/>
      <c r="L554" s="124"/>
      <c r="M554" s="124"/>
      <c r="N554" s="124"/>
      <c r="O554" s="122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</row>
    <row r="555" spans="1:27" x14ac:dyDescent="0.25">
      <c r="A555" s="35"/>
      <c r="B555" s="35"/>
      <c r="C555" s="35"/>
      <c r="D555" s="35"/>
      <c r="E555" s="35"/>
      <c r="F555" s="122"/>
      <c r="G555" s="123"/>
      <c r="H555" s="122"/>
      <c r="I555" s="122"/>
      <c r="J555" s="122"/>
      <c r="K555" s="122"/>
      <c r="L555" s="124"/>
      <c r="M555" s="124"/>
      <c r="N555" s="124"/>
      <c r="O555" s="122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</row>
    <row r="556" spans="1:27" x14ac:dyDescent="0.25">
      <c r="A556" s="35"/>
      <c r="B556" s="35"/>
      <c r="C556" s="35"/>
      <c r="D556" s="35"/>
      <c r="E556" s="35"/>
      <c r="F556" s="122"/>
      <c r="G556" s="123"/>
      <c r="H556" s="122"/>
      <c r="I556" s="122"/>
      <c r="J556" s="122"/>
      <c r="K556" s="122"/>
      <c r="L556" s="124"/>
      <c r="M556" s="124"/>
      <c r="N556" s="124"/>
      <c r="O556" s="122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</row>
    <row r="557" spans="1:27" x14ac:dyDescent="0.25">
      <c r="A557" s="35"/>
      <c r="B557" s="35"/>
      <c r="C557" s="35"/>
      <c r="D557" s="35"/>
      <c r="E557" s="35"/>
      <c r="F557" s="122"/>
      <c r="G557" s="123"/>
      <c r="H557" s="122"/>
      <c r="I557" s="122"/>
      <c r="J557" s="122"/>
      <c r="K557" s="122"/>
      <c r="L557" s="124"/>
      <c r="M557" s="124"/>
      <c r="N557" s="124"/>
      <c r="O557" s="122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</row>
    <row r="558" spans="1:27" x14ac:dyDescent="0.25">
      <c r="A558" s="35"/>
      <c r="B558" s="35"/>
      <c r="C558" s="35"/>
      <c r="D558" s="35"/>
      <c r="E558" s="35"/>
      <c r="F558" s="122"/>
      <c r="G558" s="123"/>
      <c r="H558" s="122"/>
      <c r="I558" s="122"/>
      <c r="J558" s="122"/>
      <c r="K558" s="122"/>
      <c r="L558" s="124"/>
      <c r="M558" s="124"/>
      <c r="N558" s="124"/>
      <c r="O558" s="122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</row>
    <row r="559" spans="1:27" x14ac:dyDescent="0.25">
      <c r="A559" s="35"/>
      <c r="B559" s="35"/>
      <c r="C559" s="35"/>
      <c r="D559" s="35"/>
      <c r="E559" s="35"/>
      <c r="F559" s="122"/>
      <c r="G559" s="123"/>
      <c r="H559" s="122"/>
      <c r="I559" s="122"/>
      <c r="J559" s="122"/>
      <c r="K559" s="122"/>
      <c r="L559" s="124"/>
      <c r="M559" s="124"/>
      <c r="N559" s="124"/>
      <c r="O559" s="122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</row>
    <row r="560" spans="1:27" x14ac:dyDescent="0.25">
      <c r="A560" s="35"/>
      <c r="B560" s="35"/>
      <c r="C560" s="35"/>
      <c r="D560" s="35"/>
      <c r="E560" s="35"/>
      <c r="F560" s="122"/>
      <c r="G560" s="123"/>
      <c r="H560" s="122"/>
      <c r="I560" s="122"/>
      <c r="J560" s="122"/>
      <c r="K560" s="122"/>
      <c r="L560" s="124"/>
      <c r="M560" s="124"/>
      <c r="N560" s="124"/>
      <c r="O560" s="122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</row>
    <row r="561" spans="1:27" x14ac:dyDescent="0.25">
      <c r="A561" s="35"/>
      <c r="B561" s="35"/>
      <c r="C561" s="35"/>
      <c r="D561" s="35"/>
      <c r="E561" s="35"/>
      <c r="F561" s="122"/>
      <c r="G561" s="123"/>
      <c r="H561" s="122"/>
      <c r="I561" s="122"/>
      <c r="J561" s="122"/>
      <c r="K561" s="122"/>
      <c r="L561" s="124"/>
      <c r="M561" s="124"/>
      <c r="N561" s="124"/>
      <c r="O561" s="122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</row>
    <row r="562" spans="1:27" x14ac:dyDescent="0.25">
      <c r="A562" s="35"/>
      <c r="B562" s="35"/>
      <c r="C562" s="35"/>
      <c r="D562" s="35"/>
      <c r="E562" s="35"/>
      <c r="F562" s="122"/>
      <c r="G562" s="123"/>
      <c r="H562" s="122"/>
      <c r="I562" s="122"/>
      <c r="J562" s="122"/>
      <c r="K562" s="122"/>
      <c r="L562" s="124"/>
      <c r="M562" s="124"/>
      <c r="N562" s="124"/>
      <c r="O562" s="122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</row>
    <row r="563" spans="1:27" x14ac:dyDescent="0.25">
      <c r="A563" s="35"/>
      <c r="B563" s="35"/>
      <c r="C563" s="35"/>
      <c r="D563" s="35"/>
      <c r="E563" s="35"/>
      <c r="F563" s="122"/>
      <c r="G563" s="123"/>
      <c r="H563" s="122"/>
      <c r="I563" s="122"/>
      <c r="J563" s="122"/>
      <c r="K563" s="122"/>
      <c r="L563" s="124"/>
      <c r="M563" s="124"/>
      <c r="N563" s="124"/>
      <c r="O563" s="122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</row>
    <row r="564" spans="1:27" x14ac:dyDescent="0.25">
      <c r="A564" s="35"/>
      <c r="B564" s="35"/>
      <c r="C564" s="35"/>
      <c r="D564" s="35"/>
      <c r="E564" s="35"/>
      <c r="F564" s="122"/>
      <c r="G564" s="123"/>
      <c r="H564" s="122"/>
      <c r="I564" s="122"/>
      <c r="J564" s="122"/>
      <c r="K564" s="122"/>
      <c r="L564" s="124"/>
      <c r="M564" s="124"/>
      <c r="N564" s="124"/>
      <c r="O564" s="122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</row>
    <row r="565" spans="1:27" x14ac:dyDescent="0.25">
      <c r="A565" s="35"/>
      <c r="B565" s="35"/>
      <c r="C565" s="35"/>
      <c r="D565" s="35"/>
      <c r="E565" s="35"/>
      <c r="F565" s="122"/>
      <c r="G565" s="123"/>
      <c r="H565" s="122"/>
      <c r="I565" s="122"/>
      <c r="J565" s="122"/>
      <c r="K565" s="122"/>
      <c r="L565" s="124"/>
      <c r="M565" s="124"/>
      <c r="N565" s="124"/>
      <c r="O565" s="122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</row>
    <row r="566" spans="1:27" x14ac:dyDescent="0.25">
      <c r="A566" s="35"/>
      <c r="B566" s="35"/>
      <c r="C566" s="35"/>
      <c r="D566" s="35"/>
      <c r="E566" s="35"/>
      <c r="F566" s="122"/>
      <c r="G566" s="123"/>
      <c r="H566" s="122"/>
      <c r="I566" s="122"/>
      <c r="J566" s="122"/>
      <c r="K566" s="122"/>
      <c r="L566" s="124"/>
      <c r="M566" s="124"/>
      <c r="N566" s="124"/>
      <c r="O566" s="122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</row>
    <row r="567" spans="1:27" x14ac:dyDescent="0.25">
      <c r="A567" s="35"/>
      <c r="B567" s="35"/>
      <c r="C567" s="35"/>
      <c r="D567" s="35"/>
      <c r="E567" s="35"/>
      <c r="F567" s="122"/>
      <c r="G567" s="123"/>
      <c r="H567" s="122"/>
      <c r="I567" s="122"/>
      <c r="J567" s="122"/>
      <c r="K567" s="122"/>
      <c r="L567" s="124"/>
      <c r="M567" s="124"/>
      <c r="N567" s="124"/>
      <c r="O567" s="122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</row>
    <row r="568" spans="1:27" x14ac:dyDescent="0.25">
      <c r="A568" s="35"/>
      <c r="B568" s="35"/>
      <c r="C568" s="35"/>
      <c r="D568" s="35"/>
      <c r="E568" s="35"/>
      <c r="F568" s="122"/>
      <c r="G568" s="123"/>
      <c r="H568" s="122"/>
      <c r="I568" s="122"/>
      <c r="J568" s="122"/>
      <c r="K568" s="122"/>
      <c r="L568" s="124"/>
      <c r="M568" s="124"/>
      <c r="N568" s="124"/>
      <c r="O568" s="122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</row>
    <row r="569" spans="1:27" x14ac:dyDescent="0.25">
      <c r="A569" s="35"/>
      <c r="B569" s="35"/>
      <c r="C569" s="35"/>
      <c r="D569" s="35"/>
      <c r="E569" s="35"/>
      <c r="F569" s="122"/>
      <c r="G569" s="123"/>
      <c r="H569" s="122"/>
      <c r="I569" s="122"/>
      <c r="J569" s="122"/>
      <c r="K569" s="122"/>
      <c r="L569" s="124"/>
      <c r="M569" s="124"/>
      <c r="N569" s="124"/>
      <c r="O569" s="122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</row>
    <row r="570" spans="1:27" x14ac:dyDescent="0.25">
      <c r="A570" s="35"/>
      <c r="B570" s="35"/>
      <c r="C570" s="35"/>
      <c r="D570" s="35"/>
      <c r="E570" s="35"/>
      <c r="F570" s="122"/>
      <c r="G570" s="123"/>
      <c r="H570" s="122"/>
      <c r="I570" s="122"/>
      <c r="J570" s="122"/>
      <c r="K570" s="122"/>
      <c r="L570" s="124"/>
      <c r="M570" s="124"/>
      <c r="N570" s="124"/>
      <c r="O570" s="122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</row>
    <row r="571" spans="1:27" x14ac:dyDescent="0.25">
      <c r="A571" s="35"/>
      <c r="B571" s="35"/>
      <c r="C571" s="35"/>
      <c r="D571" s="35"/>
      <c r="E571" s="35"/>
      <c r="F571" s="122"/>
      <c r="G571" s="123"/>
      <c r="H571" s="122"/>
      <c r="I571" s="122"/>
      <c r="J571" s="122"/>
      <c r="K571" s="122"/>
      <c r="L571" s="124"/>
      <c r="M571" s="124"/>
      <c r="N571" s="124"/>
      <c r="O571" s="122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</row>
    <row r="572" spans="1:27" x14ac:dyDescent="0.25">
      <c r="A572" s="35"/>
      <c r="B572" s="35"/>
      <c r="C572" s="35"/>
      <c r="D572" s="35"/>
      <c r="E572" s="35"/>
      <c r="F572" s="122"/>
      <c r="G572" s="123"/>
      <c r="H572" s="122"/>
      <c r="I572" s="122"/>
      <c r="J572" s="122"/>
      <c r="K572" s="122"/>
      <c r="L572" s="124"/>
      <c r="M572" s="124"/>
      <c r="N572" s="124"/>
      <c r="O572" s="122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</row>
    <row r="573" spans="1:27" x14ac:dyDescent="0.25">
      <c r="A573" s="35"/>
      <c r="B573" s="35"/>
      <c r="C573" s="35"/>
      <c r="D573" s="35"/>
      <c r="E573" s="35"/>
      <c r="F573" s="122"/>
      <c r="G573" s="123"/>
      <c r="H573" s="122"/>
      <c r="I573" s="122"/>
      <c r="J573" s="122"/>
      <c r="K573" s="122"/>
      <c r="L573" s="124"/>
      <c r="M573" s="124"/>
      <c r="N573" s="124"/>
      <c r="O573" s="122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</row>
    <row r="574" spans="1:27" x14ac:dyDescent="0.25">
      <c r="A574" s="35"/>
      <c r="B574" s="35"/>
      <c r="C574" s="35"/>
      <c r="D574" s="35"/>
      <c r="E574" s="35"/>
      <c r="F574" s="122"/>
      <c r="G574" s="123"/>
      <c r="H574" s="122"/>
      <c r="I574" s="122"/>
      <c r="J574" s="122"/>
      <c r="K574" s="122"/>
      <c r="L574" s="124"/>
      <c r="M574" s="124"/>
      <c r="N574" s="124"/>
      <c r="O574" s="122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</row>
    <row r="575" spans="1:27" x14ac:dyDescent="0.25">
      <c r="A575" s="35"/>
      <c r="B575" s="35"/>
      <c r="C575" s="35"/>
      <c r="D575" s="35"/>
      <c r="E575" s="35"/>
      <c r="F575" s="122"/>
      <c r="G575" s="123"/>
      <c r="H575" s="122"/>
      <c r="I575" s="122"/>
      <c r="J575" s="122"/>
      <c r="K575" s="122"/>
      <c r="L575" s="124"/>
      <c r="M575" s="124"/>
      <c r="N575" s="124"/>
      <c r="O575" s="122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</row>
    <row r="576" spans="1:27" x14ac:dyDescent="0.25">
      <c r="A576" s="35"/>
      <c r="B576" s="35"/>
      <c r="C576" s="35"/>
      <c r="D576" s="35"/>
      <c r="E576" s="35"/>
      <c r="F576" s="122"/>
      <c r="G576" s="123"/>
      <c r="H576" s="122"/>
      <c r="I576" s="122"/>
      <c r="J576" s="122"/>
      <c r="K576" s="122"/>
      <c r="L576" s="124"/>
      <c r="M576" s="124"/>
      <c r="N576" s="124"/>
      <c r="O576" s="122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</row>
    <row r="577" spans="1:27" x14ac:dyDescent="0.25">
      <c r="A577" s="35"/>
      <c r="B577" s="35"/>
      <c r="C577" s="35"/>
      <c r="D577" s="35"/>
      <c r="E577" s="35"/>
      <c r="F577" s="122"/>
      <c r="G577" s="123"/>
      <c r="H577" s="122"/>
      <c r="I577" s="122"/>
      <c r="J577" s="122"/>
      <c r="K577" s="122"/>
      <c r="L577" s="124"/>
      <c r="M577" s="124"/>
      <c r="N577" s="124"/>
      <c r="O577" s="122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</row>
    <row r="578" spans="1:27" x14ac:dyDescent="0.25">
      <c r="A578" s="35"/>
      <c r="B578" s="35"/>
      <c r="C578" s="35"/>
      <c r="D578" s="35"/>
      <c r="E578" s="35"/>
      <c r="F578" s="122"/>
      <c r="G578" s="123"/>
      <c r="H578" s="122"/>
      <c r="I578" s="122"/>
      <c r="J578" s="122"/>
      <c r="K578" s="122"/>
      <c r="L578" s="124"/>
      <c r="M578" s="124"/>
      <c r="N578" s="124"/>
      <c r="O578" s="122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</row>
    <row r="579" spans="1:27" x14ac:dyDescent="0.25">
      <c r="A579" s="35"/>
      <c r="B579" s="35"/>
      <c r="C579" s="35"/>
      <c r="D579" s="35"/>
      <c r="E579" s="35"/>
      <c r="F579" s="122"/>
      <c r="G579" s="123"/>
      <c r="H579" s="122"/>
      <c r="I579" s="122"/>
      <c r="J579" s="122"/>
      <c r="K579" s="122"/>
      <c r="L579" s="124"/>
      <c r="M579" s="124"/>
      <c r="N579" s="124"/>
      <c r="O579" s="122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</row>
    <row r="580" spans="1:27" x14ac:dyDescent="0.25">
      <c r="A580" s="35"/>
      <c r="B580" s="35"/>
      <c r="C580" s="35"/>
      <c r="D580" s="35"/>
      <c r="E580" s="35"/>
      <c r="F580" s="122"/>
      <c r="G580" s="123"/>
      <c r="H580" s="122"/>
      <c r="I580" s="122"/>
      <c r="J580" s="122"/>
      <c r="K580" s="122"/>
      <c r="L580" s="124"/>
      <c r="M580" s="124"/>
      <c r="N580" s="124"/>
      <c r="O580" s="122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</row>
    <row r="581" spans="1:27" x14ac:dyDescent="0.25">
      <c r="A581" s="35"/>
      <c r="B581" s="35"/>
      <c r="C581" s="35"/>
      <c r="D581" s="35"/>
      <c r="E581" s="35"/>
      <c r="F581" s="122"/>
      <c r="G581" s="123"/>
      <c r="H581" s="122"/>
      <c r="I581" s="122"/>
      <c r="J581" s="122"/>
      <c r="K581" s="122"/>
      <c r="L581" s="124"/>
      <c r="M581" s="124"/>
      <c r="N581" s="124"/>
      <c r="O581" s="122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</row>
    <row r="582" spans="1:27" x14ac:dyDescent="0.25">
      <c r="A582" s="35"/>
      <c r="B582" s="35"/>
      <c r="C582" s="35"/>
      <c r="D582" s="35"/>
      <c r="E582" s="35"/>
      <c r="F582" s="122"/>
      <c r="G582" s="123"/>
      <c r="H582" s="122"/>
      <c r="I582" s="122"/>
      <c r="J582" s="122"/>
      <c r="K582" s="122"/>
      <c r="L582" s="124"/>
      <c r="M582" s="124"/>
      <c r="N582" s="124"/>
      <c r="O582" s="122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</row>
    <row r="583" spans="1:27" x14ac:dyDescent="0.25">
      <c r="A583" s="35"/>
      <c r="B583" s="35"/>
      <c r="C583" s="35"/>
      <c r="D583" s="35"/>
      <c r="E583" s="35"/>
      <c r="F583" s="122"/>
      <c r="G583" s="123"/>
      <c r="H583" s="122"/>
      <c r="I583" s="122"/>
      <c r="J583" s="122"/>
      <c r="K583" s="122"/>
      <c r="L583" s="124"/>
      <c r="M583" s="124"/>
      <c r="N583" s="124"/>
      <c r="O583" s="122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</row>
    <row r="584" spans="1:27" x14ac:dyDescent="0.25">
      <c r="A584" s="35"/>
      <c r="B584" s="35"/>
      <c r="C584" s="35"/>
      <c r="D584" s="35"/>
      <c r="E584" s="35"/>
      <c r="F584" s="122"/>
      <c r="G584" s="123"/>
      <c r="H584" s="122"/>
      <c r="I584" s="122"/>
      <c r="J584" s="122"/>
      <c r="K584" s="122"/>
      <c r="L584" s="124"/>
      <c r="M584" s="124"/>
      <c r="N584" s="124"/>
      <c r="O584" s="122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</row>
    <row r="585" spans="1:27" x14ac:dyDescent="0.25">
      <c r="A585" s="35"/>
      <c r="B585" s="35"/>
      <c r="C585" s="35"/>
      <c r="D585" s="35"/>
      <c r="E585" s="35"/>
      <c r="F585" s="122"/>
      <c r="G585" s="123"/>
      <c r="H585" s="122"/>
      <c r="I585" s="122"/>
      <c r="J585" s="122"/>
      <c r="K585" s="122"/>
      <c r="L585" s="124"/>
      <c r="M585" s="124"/>
      <c r="N585" s="124"/>
      <c r="O585" s="122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</row>
    <row r="586" spans="1:27" x14ac:dyDescent="0.25">
      <c r="A586" s="35"/>
      <c r="B586" s="35"/>
      <c r="C586" s="35"/>
      <c r="D586" s="35"/>
      <c r="E586" s="35"/>
      <c r="F586" s="122"/>
      <c r="G586" s="123"/>
      <c r="H586" s="122"/>
      <c r="I586" s="122"/>
      <c r="J586" s="122"/>
      <c r="K586" s="122"/>
      <c r="L586" s="124"/>
      <c r="M586" s="124"/>
      <c r="N586" s="124"/>
      <c r="O586" s="122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</row>
    <row r="587" spans="1:27" x14ac:dyDescent="0.25">
      <c r="A587" s="35"/>
      <c r="B587" s="35"/>
      <c r="C587" s="35"/>
      <c r="D587" s="35"/>
      <c r="E587" s="35"/>
      <c r="F587" s="122"/>
      <c r="G587" s="123"/>
      <c r="H587" s="122"/>
      <c r="I587" s="122"/>
      <c r="J587" s="122"/>
      <c r="K587" s="122"/>
      <c r="L587" s="124"/>
      <c r="M587" s="124"/>
      <c r="N587" s="124"/>
      <c r="O587" s="122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</row>
    <row r="588" spans="1:27" x14ac:dyDescent="0.25">
      <c r="A588" s="35"/>
      <c r="B588" s="35"/>
      <c r="C588" s="35"/>
      <c r="D588" s="35"/>
      <c r="E588" s="35"/>
      <c r="F588" s="122"/>
      <c r="G588" s="123"/>
      <c r="H588" s="122"/>
      <c r="I588" s="122"/>
      <c r="J588" s="122"/>
      <c r="K588" s="122"/>
      <c r="L588" s="124"/>
      <c r="M588" s="124"/>
      <c r="N588" s="124"/>
      <c r="O588" s="122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</row>
    <row r="589" spans="1:27" x14ac:dyDescent="0.25">
      <c r="A589" s="35"/>
      <c r="B589" s="35"/>
      <c r="C589" s="35"/>
      <c r="D589" s="35"/>
      <c r="E589" s="35"/>
      <c r="F589" s="122"/>
      <c r="G589" s="123"/>
      <c r="H589" s="122"/>
      <c r="I589" s="122"/>
      <c r="J589" s="122"/>
      <c r="K589" s="122"/>
      <c r="L589" s="124"/>
      <c r="M589" s="124"/>
      <c r="N589" s="124"/>
      <c r="O589" s="122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</row>
    <row r="590" spans="1:27" x14ac:dyDescent="0.25">
      <c r="A590" s="35"/>
      <c r="B590" s="35"/>
      <c r="C590" s="35"/>
      <c r="D590" s="35"/>
      <c r="E590" s="35"/>
      <c r="F590" s="122"/>
      <c r="G590" s="123"/>
      <c r="H590" s="122"/>
      <c r="I590" s="122"/>
      <c r="J590" s="122"/>
      <c r="K590" s="122"/>
      <c r="L590" s="124"/>
      <c r="M590" s="124"/>
      <c r="N590" s="124"/>
      <c r="O590" s="122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</row>
    <row r="591" spans="1:27" x14ac:dyDescent="0.25">
      <c r="A591" s="35"/>
      <c r="B591" s="35"/>
      <c r="C591" s="35"/>
      <c r="D591" s="35"/>
      <c r="E591" s="35"/>
      <c r="F591" s="122"/>
      <c r="G591" s="123"/>
      <c r="H591" s="122"/>
      <c r="I591" s="122"/>
      <c r="J591" s="122"/>
      <c r="K591" s="122"/>
      <c r="L591" s="124"/>
      <c r="M591" s="124"/>
      <c r="N591" s="124"/>
      <c r="O591" s="122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</row>
    <row r="592" spans="1:27" x14ac:dyDescent="0.25">
      <c r="A592" s="35"/>
      <c r="B592" s="35"/>
      <c r="C592" s="35"/>
      <c r="D592" s="35"/>
      <c r="E592" s="35"/>
      <c r="F592" s="122"/>
      <c r="G592" s="123"/>
      <c r="H592" s="122"/>
      <c r="I592" s="122"/>
      <c r="J592" s="122"/>
      <c r="K592" s="122"/>
      <c r="L592" s="124"/>
      <c r="M592" s="124"/>
      <c r="N592" s="124"/>
      <c r="O592" s="122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</row>
    <row r="593" spans="1:27" x14ac:dyDescent="0.25">
      <c r="A593" s="35"/>
      <c r="B593" s="35"/>
      <c r="C593" s="35"/>
      <c r="D593" s="35"/>
      <c r="E593" s="35"/>
      <c r="F593" s="122"/>
      <c r="G593" s="123"/>
      <c r="H593" s="122"/>
      <c r="I593" s="122"/>
      <c r="J593" s="122"/>
      <c r="K593" s="122"/>
      <c r="L593" s="124"/>
      <c r="M593" s="124"/>
      <c r="N593" s="124"/>
      <c r="O593" s="122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</row>
    <row r="594" spans="1:27" x14ac:dyDescent="0.25">
      <c r="A594" s="35"/>
      <c r="B594" s="35"/>
      <c r="C594" s="35"/>
      <c r="D594" s="35"/>
      <c r="E594" s="35"/>
      <c r="F594" s="122"/>
      <c r="G594" s="123"/>
      <c r="H594" s="122"/>
      <c r="I594" s="122"/>
      <c r="J594" s="122"/>
      <c r="K594" s="122"/>
      <c r="L594" s="124"/>
      <c r="M594" s="124"/>
      <c r="N594" s="124"/>
      <c r="O594" s="122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</row>
    <row r="595" spans="1:27" x14ac:dyDescent="0.25">
      <c r="A595" s="35"/>
      <c r="B595" s="35"/>
      <c r="C595" s="35"/>
      <c r="D595" s="35"/>
      <c r="E595" s="35"/>
      <c r="F595" s="122"/>
      <c r="G595" s="123"/>
      <c r="H595" s="122"/>
      <c r="I595" s="122"/>
      <c r="J595" s="122"/>
      <c r="K595" s="122"/>
      <c r="L595" s="124"/>
      <c r="M595" s="124"/>
      <c r="N595" s="124"/>
      <c r="O595" s="122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</row>
    <row r="596" spans="1:27" x14ac:dyDescent="0.25">
      <c r="A596" s="35"/>
      <c r="B596" s="35"/>
      <c r="C596" s="35"/>
      <c r="D596" s="35"/>
      <c r="E596" s="35"/>
      <c r="F596" s="122"/>
      <c r="G596" s="123"/>
      <c r="H596" s="122"/>
      <c r="I596" s="122"/>
      <c r="J596" s="122"/>
      <c r="K596" s="122"/>
      <c r="L596" s="124"/>
      <c r="M596" s="124"/>
      <c r="N596" s="124"/>
      <c r="O596" s="122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</row>
    <row r="597" spans="1:27" x14ac:dyDescent="0.25">
      <c r="A597" s="35"/>
      <c r="B597" s="35"/>
      <c r="C597" s="35"/>
      <c r="D597" s="35"/>
      <c r="E597" s="35"/>
      <c r="F597" s="122"/>
      <c r="G597" s="123"/>
      <c r="H597" s="122"/>
      <c r="I597" s="122"/>
      <c r="J597" s="122"/>
      <c r="K597" s="122"/>
      <c r="L597" s="124"/>
      <c r="M597" s="124"/>
      <c r="N597" s="124"/>
      <c r="O597" s="122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</row>
    <row r="598" spans="1:27" x14ac:dyDescent="0.25">
      <c r="A598" s="35"/>
      <c r="B598" s="35"/>
      <c r="C598" s="35"/>
      <c r="D598" s="35"/>
      <c r="E598" s="35"/>
      <c r="F598" s="122"/>
      <c r="G598" s="123"/>
      <c r="H598" s="122"/>
      <c r="I598" s="122"/>
      <c r="J598" s="122"/>
      <c r="K598" s="122"/>
      <c r="L598" s="124"/>
      <c r="M598" s="124"/>
      <c r="N598" s="124"/>
      <c r="O598" s="122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</row>
    <row r="599" spans="1:27" x14ac:dyDescent="0.25">
      <c r="A599" s="35"/>
      <c r="B599" s="35"/>
      <c r="C599" s="35"/>
      <c r="D599" s="35"/>
      <c r="E599" s="35"/>
      <c r="F599" s="122"/>
      <c r="G599" s="123"/>
      <c r="H599" s="122"/>
      <c r="I599" s="122"/>
      <c r="J599" s="122"/>
      <c r="K599" s="122"/>
      <c r="L599" s="124"/>
      <c r="M599" s="124"/>
      <c r="N599" s="124"/>
      <c r="O599" s="122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</row>
    <row r="600" spans="1:27" x14ac:dyDescent="0.25">
      <c r="A600" s="35"/>
      <c r="B600" s="35"/>
      <c r="C600" s="35"/>
      <c r="D600" s="35"/>
      <c r="E600" s="35"/>
      <c r="F600" s="122"/>
      <c r="G600" s="123"/>
      <c r="H600" s="122"/>
      <c r="I600" s="122"/>
      <c r="J600" s="122"/>
      <c r="K600" s="122"/>
      <c r="L600" s="124"/>
      <c r="M600" s="124"/>
      <c r="N600" s="124"/>
      <c r="O600" s="122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</row>
    <row r="601" spans="1:27" x14ac:dyDescent="0.25">
      <c r="A601" s="35"/>
      <c r="B601" s="35"/>
      <c r="C601" s="35"/>
      <c r="D601" s="35"/>
      <c r="E601" s="35"/>
      <c r="F601" s="122"/>
      <c r="G601" s="123"/>
      <c r="H601" s="122"/>
      <c r="I601" s="122"/>
      <c r="J601" s="122"/>
      <c r="K601" s="122"/>
      <c r="L601" s="124"/>
      <c r="M601" s="124"/>
      <c r="N601" s="124"/>
      <c r="O601" s="122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</row>
    <row r="602" spans="1:27" x14ac:dyDescent="0.25">
      <c r="A602" s="35"/>
      <c r="B602" s="35"/>
      <c r="C602" s="35"/>
      <c r="D602" s="35"/>
      <c r="E602" s="35"/>
      <c r="F602" s="122"/>
      <c r="G602" s="123"/>
      <c r="H602" s="122"/>
      <c r="I602" s="122"/>
      <c r="J602" s="122"/>
      <c r="K602" s="122"/>
      <c r="L602" s="124"/>
      <c r="M602" s="124"/>
      <c r="N602" s="124"/>
      <c r="O602" s="122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</row>
    <row r="603" spans="1:27" x14ac:dyDescent="0.25">
      <c r="A603" s="35"/>
      <c r="B603" s="35"/>
      <c r="C603" s="35"/>
      <c r="D603" s="35"/>
      <c r="E603" s="35"/>
      <c r="F603" s="122"/>
      <c r="G603" s="123"/>
      <c r="H603" s="122"/>
      <c r="I603" s="122"/>
      <c r="J603" s="122"/>
      <c r="K603" s="122"/>
      <c r="L603" s="124"/>
      <c r="M603" s="124"/>
      <c r="N603" s="124"/>
      <c r="O603" s="122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</row>
    <row r="604" spans="1:27" x14ac:dyDescent="0.25">
      <c r="A604" s="35"/>
      <c r="B604" s="35"/>
      <c r="C604" s="35"/>
      <c r="D604" s="35"/>
      <c r="E604" s="35"/>
      <c r="F604" s="122"/>
      <c r="G604" s="123"/>
      <c r="H604" s="122"/>
      <c r="I604" s="122"/>
      <c r="J604" s="122"/>
      <c r="K604" s="122"/>
      <c r="L604" s="124"/>
      <c r="M604" s="124"/>
      <c r="N604" s="124"/>
      <c r="O604" s="122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</row>
    <row r="605" spans="1:27" x14ac:dyDescent="0.25">
      <c r="A605" s="35"/>
      <c r="B605" s="35"/>
      <c r="C605" s="35"/>
      <c r="D605" s="35"/>
      <c r="E605" s="35"/>
      <c r="F605" s="122"/>
      <c r="G605" s="123"/>
      <c r="H605" s="122"/>
      <c r="I605" s="122"/>
      <c r="J605" s="122"/>
      <c r="K605" s="122"/>
      <c r="L605" s="124"/>
      <c r="M605" s="124"/>
      <c r="N605" s="124"/>
      <c r="O605" s="122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</row>
    <row r="606" spans="1:27" x14ac:dyDescent="0.25">
      <c r="A606" s="35"/>
      <c r="B606" s="35"/>
      <c r="C606" s="35"/>
      <c r="D606" s="35"/>
      <c r="E606" s="35"/>
      <c r="F606" s="122"/>
      <c r="G606" s="123"/>
      <c r="H606" s="122"/>
      <c r="I606" s="122"/>
      <c r="J606" s="122"/>
      <c r="K606" s="122"/>
      <c r="L606" s="124"/>
      <c r="M606" s="124"/>
      <c r="N606" s="124"/>
      <c r="O606" s="122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</row>
    <row r="607" spans="1:27" x14ac:dyDescent="0.25">
      <c r="A607" s="35"/>
      <c r="B607" s="35"/>
      <c r="C607" s="35"/>
      <c r="D607" s="35"/>
      <c r="E607" s="35"/>
      <c r="F607" s="122"/>
      <c r="G607" s="123"/>
      <c r="H607" s="122"/>
      <c r="I607" s="122"/>
      <c r="J607" s="122"/>
      <c r="K607" s="122"/>
      <c r="L607" s="124"/>
      <c r="M607" s="124"/>
      <c r="N607" s="124"/>
      <c r="O607" s="122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</row>
    <row r="608" spans="1:27" x14ac:dyDescent="0.25">
      <c r="A608" s="35"/>
      <c r="B608" s="35"/>
      <c r="C608" s="35"/>
      <c r="D608" s="35"/>
      <c r="E608" s="35"/>
      <c r="F608" s="122"/>
      <c r="G608" s="123"/>
      <c r="H608" s="122"/>
      <c r="I608" s="122"/>
      <c r="J608" s="122"/>
      <c r="K608" s="122"/>
      <c r="L608" s="124"/>
      <c r="M608" s="124"/>
      <c r="N608" s="124"/>
      <c r="O608" s="122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</row>
    <row r="609" spans="1:27" x14ac:dyDescent="0.25">
      <c r="A609" s="35"/>
      <c r="B609" s="35"/>
      <c r="C609" s="35"/>
      <c r="D609" s="35"/>
      <c r="E609" s="35"/>
      <c r="F609" s="122"/>
      <c r="G609" s="123"/>
      <c r="H609" s="122"/>
      <c r="I609" s="122"/>
      <c r="J609" s="122"/>
      <c r="K609" s="122"/>
      <c r="L609" s="124"/>
      <c r="M609" s="124"/>
      <c r="N609" s="124"/>
      <c r="O609" s="122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</row>
    <row r="610" spans="1:27" x14ac:dyDescent="0.25">
      <c r="A610" s="35"/>
      <c r="B610" s="35"/>
      <c r="C610" s="35"/>
      <c r="D610" s="35"/>
      <c r="E610" s="35"/>
      <c r="F610" s="122"/>
      <c r="G610" s="123"/>
      <c r="H610" s="122"/>
      <c r="I610" s="122"/>
      <c r="J610" s="122"/>
      <c r="K610" s="122"/>
      <c r="L610" s="124"/>
      <c r="M610" s="124"/>
      <c r="N610" s="124"/>
      <c r="O610" s="122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</row>
    <row r="611" spans="1:27" x14ac:dyDescent="0.25">
      <c r="A611" s="35"/>
      <c r="B611" s="35"/>
      <c r="C611" s="35"/>
      <c r="D611" s="35"/>
      <c r="E611" s="35"/>
      <c r="F611" s="122"/>
      <c r="G611" s="123"/>
      <c r="H611" s="122"/>
      <c r="I611" s="122"/>
      <c r="J611" s="122"/>
      <c r="K611" s="122"/>
      <c r="L611" s="124"/>
      <c r="M611" s="124"/>
      <c r="N611" s="124"/>
      <c r="O611" s="122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</row>
    <row r="612" spans="1:27" x14ac:dyDescent="0.25">
      <c r="A612" s="35"/>
      <c r="B612" s="35"/>
      <c r="C612" s="35"/>
      <c r="D612" s="35"/>
      <c r="E612" s="35"/>
      <c r="F612" s="122"/>
      <c r="G612" s="123"/>
      <c r="H612" s="122"/>
      <c r="I612" s="122"/>
      <c r="J612" s="122"/>
      <c r="K612" s="122"/>
      <c r="L612" s="124"/>
      <c r="M612" s="124"/>
      <c r="N612" s="124"/>
      <c r="O612" s="122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</row>
    <row r="613" spans="1:27" x14ac:dyDescent="0.25">
      <c r="A613" s="35"/>
      <c r="B613" s="35"/>
      <c r="C613" s="35"/>
      <c r="D613" s="35"/>
      <c r="E613" s="35"/>
      <c r="F613" s="122"/>
      <c r="G613" s="123"/>
      <c r="H613" s="122"/>
      <c r="I613" s="122"/>
      <c r="J613" s="122"/>
      <c r="K613" s="122"/>
      <c r="L613" s="124"/>
      <c r="M613" s="124"/>
      <c r="N613" s="124"/>
      <c r="O613" s="122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</row>
    <row r="614" spans="1:27" x14ac:dyDescent="0.25">
      <c r="A614" s="35"/>
      <c r="B614" s="35"/>
      <c r="C614" s="35"/>
      <c r="D614" s="35"/>
      <c r="E614" s="35"/>
      <c r="F614" s="122"/>
      <c r="G614" s="123"/>
      <c r="H614" s="122"/>
      <c r="I614" s="122"/>
      <c r="J614" s="122"/>
      <c r="K614" s="122"/>
      <c r="L614" s="124"/>
      <c r="M614" s="124"/>
      <c r="N614" s="124"/>
      <c r="O614" s="122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</row>
    <row r="615" spans="1:27" x14ac:dyDescent="0.25">
      <c r="A615" s="35"/>
      <c r="B615" s="35"/>
      <c r="C615" s="35"/>
      <c r="D615" s="35"/>
      <c r="E615" s="35"/>
      <c r="F615" s="122"/>
      <c r="G615" s="123"/>
      <c r="H615" s="122"/>
      <c r="I615" s="122"/>
      <c r="J615" s="122"/>
      <c r="K615" s="122"/>
      <c r="L615" s="124"/>
      <c r="M615" s="124"/>
      <c r="N615" s="124"/>
      <c r="O615" s="122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</row>
    <row r="616" spans="1:27" x14ac:dyDescent="0.25">
      <c r="A616" s="35"/>
      <c r="B616" s="35"/>
      <c r="C616" s="35"/>
      <c r="D616" s="35"/>
      <c r="E616" s="35"/>
      <c r="F616" s="122"/>
      <c r="G616" s="123"/>
      <c r="H616" s="122"/>
      <c r="I616" s="122"/>
      <c r="J616" s="122"/>
      <c r="K616" s="122"/>
      <c r="L616" s="124"/>
      <c r="M616" s="124"/>
      <c r="N616" s="124"/>
      <c r="O616" s="122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</row>
    <row r="617" spans="1:27" x14ac:dyDescent="0.25">
      <c r="A617" s="35"/>
      <c r="B617" s="35"/>
      <c r="C617" s="35"/>
      <c r="D617" s="35"/>
      <c r="E617" s="35"/>
      <c r="F617" s="122"/>
      <c r="G617" s="123"/>
      <c r="H617" s="122"/>
      <c r="I617" s="122"/>
      <c r="J617" s="122"/>
      <c r="K617" s="122"/>
      <c r="L617" s="124"/>
      <c r="M617" s="124"/>
      <c r="N617" s="124"/>
      <c r="O617" s="122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</row>
    <row r="618" spans="1:27" x14ac:dyDescent="0.25">
      <c r="A618" s="35"/>
      <c r="B618" s="35"/>
      <c r="C618" s="35"/>
      <c r="D618" s="35"/>
      <c r="E618" s="35"/>
      <c r="F618" s="122"/>
      <c r="G618" s="123"/>
      <c r="H618" s="122"/>
      <c r="I618" s="122"/>
      <c r="J618" s="122"/>
      <c r="K618" s="122"/>
      <c r="L618" s="124"/>
      <c r="M618" s="124"/>
      <c r="N618" s="124"/>
      <c r="O618" s="122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</row>
    <row r="619" spans="1:27" x14ac:dyDescent="0.25">
      <c r="A619" s="35"/>
      <c r="B619" s="35"/>
      <c r="C619" s="35"/>
      <c r="D619" s="35"/>
      <c r="E619" s="35"/>
      <c r="F619" s="122"/>
      <c r="G619" s="123"/>
      <c r="H619" s="122"/>
      <c r="I619" s="122"/>
      <c r="J619" s="122"/>
      <c r="K619" s="122"/>
      <c r="L619" s="124"/>
      <c r="M619" s="124"/>
      <c r="N619" s="124"/>
      <c r="O619" s="122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</row>
    <row r="620" spans="1:27" x14ac:dyDescent="0.25">
      <c r="A620" s="35"/>
      <c r="B620" s="35"/>
      <c r="C620" s="35"/>
      <c r="D620" s="35"/>
      <c r="E620" s="35"/>
      <c r="F620" s="122"/>
      <c r="G620" s="123"/>
      <c r="H620" s="122"/>
      <c r="I620" s="122"/>
      <c r="J620" s="122"/>
      <c r="K620" s="122"/>
      <c r="L620" s="124"/>
      <c r="M620" s="124"/>
      <c r="N620" s="124"/>
      <c r="O620" s="122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</row>
    <row r="621" spans="1:27" x14ac:dyDescent="0.25">
      <c r="A621" s="35"/>
      <c r="B621" s="35"/>
      <c r="C621" s="35"/>
      <c r="D621" s="35"/>
      <c r="E621" s="35"/>
      <c r="F621" s="122"/>
      <c r="G621" s="123"/>
      <c r="H621" s="122"/>
      <c r="I621" s="122"/>
      <c r="J621" s="122"/>
      <c r="K621" s="122"/>
      <c r="L621" s="124"/>
      <c r="M621" s="124"/>
      <c r="N621" s="124"/>
      <c r="O621" s="122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</row>
    <row r="622" spans="1:27" x14ac:dyDescent="0.25">
      <c r="A622" s="35"/>
      <c r="B622" s="35"/>
      <c r="C622" s="35"/>
      <c r="D622" s="35"/>
      <c r="E622" s="35"/>
      <c r="F622" s="122"/>
      <c r="G622" s="123"/>
      <c r="H622" s="122"/>
      <c r="I622" s="122"/>
      <c r="J622" s="122"/>
      <c r="K622" s="122"/>
      <c r="L622" s="124"/>
      <c r="M622" s="124"/>
      <c r="N622" s="124"/>
      <c r="O622" s="122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</row>
    <row r="623" spans="1:27" x14ac:dyDescent="0.25">
      <c r="A623" s="35"/>
      <c r="B623" s="35"/>
      <c r="C623" s="35"/>
      <c r="D623" s="35"/>
      <c r="E623" s="35"/>
      <c r="F623" s="122"/>
      <c r="G623" s="123"/>
      <c r="H623" s="122"/>
      <c r="I623" s="122"/>
      <c r="J623" s="122"/>
      <c r="K623" s="122"/>
      <c r="L623" s="124"/>
      <c r="M623" s="124"/>
      <c r="N623" s="124"/>
      <c r="O623" s="122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</row>
    <row r="624" spans="1:27" x14ac:dyDescent="0.25">
      <c r="A624" s="35"/>
      <c r="B624" s="35"/>
      <c r="C624" s="35"/>
      <c r="D624" s="35"/>
      <c r="E624" s="35"/>
      <c r="F624" s="122"/>
      <c r="G624" s="123"/>
      <c r="H624" s="122"/>
      <c r="I624" s="122"/>
      <c r="J624" s="122"/>
      <c r="K624" s="122"/>
      <c r="L624" s="124"/>
      <c r="M624" s="124"/>
      <c r="N624" s="124"/>
      <c r="O624" s="122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</row>
    <row r="625" spans="1:27" x14ac:dyDescent="0.25">
      <c r="A625" s="35"/>
      <c r="B625" s="35"/>
      <c r="C625" s="35"/>
      <c r="D625" s="35"/>
      <c r="E625" s="35"/>
      <c r="F625" s="122"/>
      <c r="G625" s="123"/>
      <c r="H625" s="122"/>
      <c r="I625" s="122"/>
      <c r="J625" s="122"/>
      <c r="K625" s="122"/>
      <c r="L625" s="124"/>
      <c r="M625" s="124"/>
      <c r="N625" s="124"/>
      <c r="O625" s="122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</row>
    <row r="626" spans="1:27" x14ac:dyDescent="0.25">
      <c r="A626" s="35"/>
      <c r="B626" s="35"/>
      <c r="C626" s="35"/>
      <c r="D626" s="35"/>
      <c r="E626" s="35"/>
      <c r="F626" s="122"/>
      <c r="G626" s="123"/>
      <c r="H626" s="122"/>
      <c r="I626" s="122"/>
      <c r="J626" s="122"/>
      <c r="K626" s="122"/>
      <c r="L626" s="124"/>
      <c r="M626" s="124"/>
      <c r="N626" s="124"/>
      <c r="O626" s="122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</row>
    <row r="627" spans="1:27" x14ac:dyDescent="0.25">
      <c r="A627" s="35"/>
      <c r="B627" s="35"/>
      <c r="C627" s="35"/>
      <c r="D627" s="35"/>
      <c r="E627" s="35"/>
      <c r="F627" s="122"/>
      <c r="G627" s="123"/>
      <c r="H627" s="122"/>
      <c r="I627" s="122"/>
      <c r="J627" s="122"/>
      <c r="K627" s="122"/>
      <c r="L627" s="124"/>
      <c r="M627" s="124"/>
      <c r="N627" s="124"/>
      <c r="O627" s="122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</row>
    <row r="628" spans="1:27" x14ac:dyDescent="0.25">
      <c r="A628" s="35"/>
      <c r="B628" s="35"/>
      <c r="C628" s="35"/>
      <c r="D628" s="35"/>
      <c r="E628" s="35"/>
      <c r="F628" s="122"/>
      <c r="G628" s="123"/>
      <c r="H628" s="122"/>
      <c r="I628" s="122"/>
      <c r="J628" s="122"/>
      <c r="K628" s="122"/>
      <c r="L628" s="124"/>
      <c r="M628" s="124"/>
      <c r="N628" s="124"/>
      <c r="O628" s="122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</row>
    <row r="629" spans="1:27" x14ac:dyDescent="0.25">
      <c r="A629" s="35"/>
      <c r="B629" s="35"/>
      <c r="C629" s="35"/>
      <c r="D629" s="35"/>
      <c r="E629" s="35"/>
      <c r="F629" s="122"/>
      <c r="G629" s="123"/>
      <c r="H629" s="122"/>
      <c r="I629" s="122"/>
      <c r="J629" s="122"/>
      <c r="K629" s="122"/>
      <c r="L629" s="124"/>
      <c r="M629" s="124"/>
      <c r="N629" s="124"/>
      <c r="O629" s="122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</row>
    <row r="630" spans="1:27" x14ac:dyDescent="0.25">
      <c r="A630" s="35"/>
      <c r="B630" s="35"/>
      <c r="C630" s="35"/>
      <c r="D630" s="35"/>
      <c r="E630" s="35"/>
      <c r="F630" s="122"/>
      <c r="G630" s="123"/>
      <c r="H630" s="122"/>
      <c r="I630" s="122"/>
      <c r="J630" s="122"/>
      <c r="K630" s="122"/>
      <c r="L630" s="124"/>
      <c r="M630" s="124"/>
      <c r="N630" s="124"/>
      <c r="O630" s="122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</row>
    <row r="631" spans="1:27" x14ac:dyDescent="0.25">
      <c r="A631" s="35"/>
      <c r="B631" s="35"/>
      <c r="C631" s="35"/>
      <c r="D631" s="35"/>
      <c r="E631" s="35"/>
      <c r="F631" s="122"/>
      <c r="G631" s="123"/>
      <c r="H631" s="122"/>
      <c r="I631" s="122"/>
      <c r="J631" s="122"/>
      <c r="K631" s="122"/>
      <c r="L631" s="124"/>
      <c r="M631" s="124"/>
      <c r="N631" s="124"/>
      <c r="O631" s="122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</row>
    <row r="632" spans="1:27" x14ac:dyDescent="0.25">
      <c r="A632" s="35"/>
      <c r="B632" s="35"/>
      <c r="C632" s="35"/>
      <c r="D632" s="35"/>
      <c r="E632" s="35"/>
      <c r="F632" s="122"/>
      <c r="G632" s="123"/>
      <c r="H632" s="122"/>
      <c r="I632" s="122"/>
      <c r="J632" s="122"/>
      <c r="K632" s="122"/>
      <c r="L632" s="124"/>
      <c r="M632" s="124"/>
      <c r="N632" s="124"/>
      <c r="O632" s="122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</row>
    <row r="633" spans="1:27" x14ac:dyDescent="0.25">
      <c r="A633" s="35"/>
      <c r="B633" s="35"/>
      <c r="C633" s="35"/>
      <c r="D633" s="35"/>
      <c r="E633" s="35"/>
      <c r="F633" s="122"/>
      <c r="G633" s="123"/>
      <c r="H633" s="122"/>
      <c r="I633" s="122"/>
      <c r="J633" s="122"/>
      <c r="K633" s="122"/>
      <c r="L633" s="124"/>
      <c r="M633" s="124"/>
      <c r="N633" s="124"/>
      <c r="O633" s="122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</row>
    <row r="634" spans="1:27" x14ac:dyDescent="0.25">
      <c r="A634" s="35"/>
      <c r="B634" s="35"/>
      <c r="C634" s="35"/>
      <c r="D634" s="35"/>
      <c r="E634" s="35"/>
      <c r="F634" s="122"/>
      <c r="G634" s="123"/>
      <c r="H634" s="122"/>
      <c r="I634" s="122"/>
      <c r="J634" s="122"/>
      <c r="K634" s="122"/>
      <c r="L634" s="124"/>
      <c r="M634" s="124"/>
      <c r="N634" s="124"/>
      <c r="O634" s="122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</row>
    <row r="635" spans="1:27" x14ac:dyDescent="0.25">
      <c r="A635" s="35"/>
      <c r="B635" s="35"/>
      <c r="C635" s="35"/>
      <c r="D635" s="35"/>
      <c r="E635" s="35"/>
      <c r="F635" s="122"/>
      <c r="G635" s="123"/>
      <c r="H635" s="122"/>
      <c r="I635" s="122"/>
      <c r="J635" s="122"/>
      <c r="K635" s="122"/>
      <c r="L635" s="124"/>
      <c r="M635" s="124"/>
      <c r="N635" s="124"/>
      <c r="O635" s="122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</row>
    <row r="636" spans="1:27" x14ac:dyDescent="0.25">
      <c r="A636" s="35"/>
      <c r="B636" s="35"/>
      <c r="C636" s="35"/>
      <c r="D636" s="35"/>
      <c r="E636" s="35"/>
      <c r="F636" s="122"/>
      <c r="G636" s="123"/>
      <c r="H636" s="122"/>
      <c r="I636" s="122"/>
      <c r="J636" s="122"/>
      <c r="K636" s="122"/>
      <c r="L636" s="124"/>
      <c r="M636" s="124"/>
      <c r="N636" s="124"/>
      <c r="O636" s="122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</row>
    <row r="637" spans="1:27" x14ac:dyDescent="0.25">
      <c r="A637" s="35"/>
      <c r="B637" s="35"/>
      <c r="C637" s="35"/>
      <c r="D637" s="35"/>
      <c r="E637" s="35"/>
      <c r="F637" s="122"/>
      <c r="G637" s="123"/>
      <c r="H637" s="122"/>
      <c r="I637" s="122"/>
      <c r="J637" s="122"/>
      <c r="K637" s="122"/>
      <c r="L637" s="124"/>
      <c r="M637" s="124"/>
      <c r="N637" s="124"/>
      <c r="O637" s="122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</row>
    <row r="638" spans="1:27" x14ac:dyDescent="0.25">
      <c r="A638" s="35"/>
      <c r="B638" s="35"/>
      <c r="C638" s="35"/>
      <c r="D638" s="35"/>
      <c r="E638" s="35"/>
      <c r="F638" s="122"/>
      <c r="G638" s="123"/>
      <c r="H638" s="122"/>
      <c r="I638" s="122"/>
      <c r="J638" s="122"/>
      <c r="K638" s="122"/>
      <c r="L638" s="124"/>
      <c r="M638" s="124"/>
      <c r="N638" s="124"/>
      <c r="O638" s="122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</row>
    <row r="639" spans="1:27" x14ac:dyDescent="0.25">
      <c r="A639" s="35"/>
      <c r="B639" s="35"/>
      <c r="C639" s="35"/>
      <c r="D639" s="35"/>
      <c r="E639" s="35"/>
      <c r="F639" s="122"/>
      <c r="G639" s="123"/>
      <c r="H639" s="122"/>
      <c r="I639" s="122"/>
      <c r="J639" s="122"/>
      <c r="K639" s="122"/>
      <c r="L639" s="124"/>
      <c r="M639" s="124"/>
      <c r="N639" s="124"/>
      <c r="O639" s="122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</row>
    <row r="640" spans="1:27" x14ac:dyDescent="0.25">
      <c r="A640" s="35"/>
      <c r="B640" s="35"/>
      <c r="C640" s="35"/>
      <c r="D640" s="35"/>
      <c r="E640" s="35"/>
      <c r="F640" s="122"/>
      <c r="G640" s="123"/>
      <c r="H640" s="122"/>
      <c r="I640" s="122"/>
      <c r="J640" s="122"/>
      <c r="K640" s="122"/>
      <c r="L640" s="124"/>
      <c r="M640" s="124"/>
      <c r="N640" s="124"/>
      <c r="O640" s="122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</row>
    <row r="641" spans="1:27" x14ac:dyDescent="0.25">
      <c r="A641" s="35"/>
      <c r="B641" s="35"/>
      <c r="C641" s="35"/>
      <c r="D641" s="35"/>
      <c r="E641" s="35"/>
      <c r="F641" s="122"/>
      <c r="G641" s="123"/>
      <c r="H641" s="122"/>
      <c r="I641" s="122"/>
      <c r="J641" s="122"/>
      <c r="K641" s="122"/>
      <c r="L641" s="124"/>
      <c r="M641" s="124"/>
      <c r="N641" s="124"/>
      <c r="O641" s="122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</row>
    <row r="642" spans="1:27" x14ac:dyDescent="0.25">
      <c r="A642" s="35"/>
      <c r="B642" s="35"/>
      <c r="C642" s="35"/>
      <c r="D642" s="35"/>
      <c r="E642" s="35"/>
      <c r="F642" s="122"/>
      <c r="G642" s="123"/>
      <c r="H642" s="122"/>
      <c r="I642" s="122"/>
      <c r="J642" s="122"/>
      <c r="K642" s="122"/>
      <c r="L642" s="124"/>
      <c r="M642" s="124"/>
      <c r="N642" s="124"/>
      <c r="O642" s="122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</row>
    <row r="643" spans="1:27" x14ac:dyDescent="0.25">
      <c r="A643" s="35"/>
      <c r="B643" s="35"/>
      <c r="C643" s="35"/>
      <c r="D643" s="35"/>
      <c r="E643" s="35"/>
      <c r="F643" s="122"/>
      <c r="G643" s="123"/>
      <c r="H643" s="122"/>
      <c r="I643" s="122"/>
      <c r="J643" s="122"/>
      <c r="K643" s="122"/>
      <c r="L643" s="124"/>
      <c r="M643" s="124"/>
      <c r="N643" s="124"/>
      <c r="O643" s="122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</row>
    <row r="644" spans="1:27" x14ac:dyDescent="0.25">
      <c r="A644" s="35"/>
      <c r="B644" s="35"/>
      <c r="C644" s="35"/>
      <c r="D644" s="35"/>
      <c r="E644" s="35"/>
      <c r="F644" s="122"/>
      <c r="G644" s="123"/>
      <c r="H644" s="122"/>
      <c r="I644" s="122"/>
      <c r="J644" s="122"/>
      <c r="K644" s="122"/>
      <c r="L644" s="124"/>
      <c r="M644" s="124"/>
      <c r="N644" s="124"/>
      <c r="O644" s="122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</row>
    <row r="645" spans="1:27" x14ac:dyDescent="0.25">
      <c r="A645" s="35"/>
      <c r="B645" s="35"/>
      <c r="C645" s="35"/>
      <c r="D645" s="35"/>
      <c r="E645" s="35"/>
      <c r="F645" s="122"/>
      <c r="G645" s="123"/>
      <c r="H645" s="122"/>
      <c r="I645" s="122"/>
      <c r="J645" s="122"/>
      <c r="K645" s="122"/>
      <c r="L645" s="124"/>
      <c r="M645" s="124"/>
      <c r="N645" s="124"/>
      <c r="O645" s="122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</row>
    <row r="646" spans="1:27" x14ac:dyDescent="0.25">
      <c r="A646" s="35"/>
      <c r="B646" s="35"/>
      <c r="C646" s="35"/>
      <c r="D646" s="35"/>
      <c r="E646" s="35"/>
      <c r="F646" s="122"/>
      <c r="G646" s="123"/>
      <c r="H646" s="122"/>
      <c r="I646" s="122"/>
      <c r="J646" s="122"/>
      <c r="K646" s="122"/>
      <c r="L646" s="124"/>
      <c r="M646" s="124"/>
      <c r="N646" s="124"/>
      <c r="O646" s="122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</row>
    <row r="647" spans="1:27" x14ac:dyDescent="0.25">
      <c r="A647" s="35"/>
      <c r="B647" s="35"/>
      <c r="C647" s="35"/>
      <c r="D647" s="35"/>
      <c r="E647" s="35"/>
      <c r="F647" s="122"/>
      <c r="G647" s="123"/>
      <c r="H647" s="122"/>
      <c r="I647" s="122"/>
      <c r="J647" s="122"/>
      <c r="K647" s="122"/>
      <c r="L647" s="124"/>
      <c r="M647" s="124"/>
      <c r="N647" s="124"/>
      <c r="O647" s="122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</row>
    <row r="648" spans="1:27" x14ac:dyDescent="0.25">
      <c r="A648" s="35"/>
      <c r="B648" s="35"/>
      <c r="C648" s="35"/>
      <c r="D648" s="35"/>
      <c r="E648" s="35"/>
      <c r="F648" s="122"/>
      <c r="G648" s="123"/>
      <c r="H648" s="122"/>
      <c r="I648" s="122"/>
      <c r="J648" s="122"/>
      <c r="K648" s="122"/>
      <c r="L648" s="124"/>
      <c r="M648" s="124"/>
      <c r="N648" s="124"/>
      <c r="O648" s="122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</row>
    <row r="649" spans="1:27" x14ac:dyDescent="0.25">
      <c r="A649" s="35"/>
      <c r="B649" s="35"/>
      <c r="C649" s="35"/>
      <c r="D649" s="35"/>
      <c r="E649" s="35"/>
      <c r="F649" s="122"/>
      <c r="G649" s="123"/>
      <c r="H649" s="122"/>
      <c r="I649" s="122"/>
      <c r="J649" s="122"/>
      <c r="K649" s="122"/>
      <c r="L649" s="124"/>
      <c r="M649" s="124"/>
      <c r="N649" s="124"/>
      <c r="O649" s="122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</row>
    <row r="650" spans="1:27" x14ac:dyDescent="0.25">
      <c r="A650" s="35"/>
      <c r="B650" s="35"/>
      <c r="C650" s="35"/>
      <c r="D650" s="35"/>
      <c r="E650" s="35"/>
      <c r="F650" s="122"/>
      <c r="G650" s="123"/>
      <c r="H650" s="122"/>
      <c r="I650" s="122"/>
      <c r="J650" s="122"/>
      <c r="K650" s="122"/>
      <c r="L650" s="124"/>
      <c r="M650" s="124"/>
      <c r="N650" s="124"/>
      <c r="O650" s="122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</row>
    <row r="651" spans="1:27" x14ac:dyDescent="0.25">
      <c r="A651" s="35"/>
      <c r="B651" s="35"/>
      <c r="C651" s="35"/>
      <c r="D651" s="35"/>
      <c r="E651" s="35"/>
      <c r="F651" s="122"/>
      <c r="G651" s="123"/>
      <c r="H651" s="122"/>
      <c r="I651" s="122"/>
      <c r="J651" s="122"/>
      <c r="K651" s="122"/>
      <c r="L651" s="124"/>
      <c r="M651" s="124"/>
      <c r="N651" s="124"/>
      <c r="O651" s="122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</row>
    <row r="652" spans="1:27" x14ac:dyDescent="0.25">
      <c r="A652" s="35"/>
      <c r="B652" s="35"/>
      <c r="C652" s="35"/>
      <c r="D652" s="35"/>
      <c r="E652" s="35"/>
      <c r="F652" s="122"/>
      <c r="G652" s="123"/>
      <c r="H652" s="122"/>
      <c r="I652" s="122"/>
      <c r="J652" s="122"/>
      <c r="K652" s="122"/>
      <c r="L652" s="124"/>
      <c r="M652" s="124"/>
      <c r="N652" s="124"/>
      <c r="O652" s="122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</row>
    <row r="653" spans="1:27" x14ac:dyDescent="0.25">
      <c r="A653" s="35"/>
      <c r="B653" s="35"/>
      <c r="C653" s="35"/>
      <c r="D653" s="35"/>
      <c r="E653" s="35"/>
      <c r="F653" s="122"/>
      <c r="G653" s="123"/>
      <c r="H653" s="122"/>
      <c r="I653" s="122"/>
      <c r="J653" s="122"/>
      <c r="K653" s="122"/>
      <c r="L653" s="124"/>
      <c r="M653" s="124"/>
      <c r="N653" s="124"/>
      <c r="O653" s="122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</row>
    <row r="654" spans="1:27" x14ac:dyDescent="0.25">
      <c r="A654" s="35"/>
      <c r="B654" s="35"/>
      <c r="C654" s="35"/>
      <c r="D654" s="35"/>
      <c r="E654" s="35"/>
      <c r="F654" s="122"/>
      <c r="G654" s="123"/>
      <c r="H654" s="122"/>
      <c r="I654" s="122"/>
      <c r="J654" s="122"/>
      <c r="K654" s="122"/>
      <c r="L654" s="124"/>
      <c r="M654" s="124"/>
      <c r="N654" s="124"/>
      <c r="O654" s="122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</row>
    <row r="655" spans="1:27" x14ac:dyDescent="0.25">
      <c r="A655" s="35"/>
      <c r="B655" s="35"/>
      <c r="C655" s="35"/>
      <c r="D655" s="35"/>
      <c r="E655" s="35"/>
      <c r="F655" s="122"/>
      <c r="G655" s="123"/>
      <c r="H655" s="122"/>
      <c r="I655" s="122"/>
      <c r="J655" s="122"/>
      <c r="K655" s="122"/>
      <c r="L655" s="124"/>
      <c r="M655" s="124"/>
      <c r="N655" s="124"/>
      <c r="O655" s="122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</row>
    <row r="656" spans="1:27" x14ac:dyDescent="0.25">
      <c r="A656" s="35"/>
      <c r="B656" s="35"/>
      <c r="C656" s="35"/>
      <c r="D656" s="35"/>
      <c r="E656" s="35"/>
      <c r="F656" s="122"/>
      <c r="G656" s="123"/>
      <c r="H656" s="122"/>
      <c r="I656" s="122"/>
      <c r="J656" s="122"/>
      <c r="K656" s="122"/>
      <c r="L656" s="124"/>
      <c r="M656" s="124"/>
      <c r="N656" s="124"/>
      <c r="O656" s="122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</row>
    <row r="657" spans="1:27" x14ac:dyDescent="0.25">
      <c r="A657" s="35"/>
      <c r="B657" s="35"/>
      <c r="C657" s="35"/>
      <c r="D657" s="35"/>
      <c r="E657" s="35"/>
      <c r="F657" s="122"/>
      <c r="G657" s="123"/>
      <c r="H657" s="122"/>
      <c r="I657" s="122"/>
      <c r="J657" s="122"/>
      <c r="K657" s="122"/>
      <c r="L657" s="124"/>
      <c r="M657" s="124"/>
      <c r="N657" s="124"/>
      <c r="O657" s="122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</row>
    <row r="658" spans="1:27" x14ac:dyDescent="0.25">
      <c r="A658" s="35"/>
      <c r="B658" s="35"/>
      <c r="C658" s="35"/>
      <c r="D658" s="35"/>
      <c r="E658" s="35"/>
      <c r="F658" s="122"/>
      <c r="G658" s="123"/>
      <c r="H658" s="122"/>
      <c r="I658" s="122"/>
      <c r="J658" s="122"/>
      <c r="K658" s="122"/>
      <c r="L658" s="124"/>
      <c r="M658" s="124"/>
      <c r="N658" s="124"/>
      <c r="O658" s="122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</row>
    <row r="659" spans="1:27" x14ac:dyDescent="0.25">
      <c r="A659" s="35"/>
      <c r="B659" s="35"/>
      <c r="C659" s="35"/>
      <c r="D659" s="35"/>
      <c r="E659" s="35"/>
      <c r="F659" s="122"/>
      <c r="G659" s="123"/>
      <c r="H659" s="122"/>
      <c r="I659" s="122"/>
      <c r="J659" s="122"/>
      <c r="K659" s="122"/>
      <c r="L659" s="124"/>
      <c r="M659" s="124"/>
      <c r="N659" s="124"/>
      <c r="O659" s="122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</row>
    <row r="660" spans="1:27" x14ac:dyDescent="0.25">
      <c r="A660" s="35"/>
      <c r="B660" s="35"/>
      <c r="C660" s="35"/>
      <c r="D660" s="35"/>
      <c r="E660" s="35"/>
      <c r="F660" s="122"/>
      <c r="G660" s="123"/>
      <c r="H660" s="122"/>
      <c r="I660" s="122"/>
      <c r="J660" s="122"/>
      <c r="K660" s="122"/>
      <c r="L660" s="124"/>
      <c r="M660" s="124"/>
      <c r="N660" s="124"/>
      <c r="O660" s="122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</row>
    <row r="661" spans="1:27" x14ac:dyDescent="0.25">
      <c r="A661" s="35"/>
      <c r="B661" s="35"/>
      <c r="C661" s="35"/>
      <c r="D661" s="35"/>
      <c r="E661" s="35"/>
      <c r="F661" s="122"/>
      <c r="G661" s="123"/>
      <c r="H661" s="122"/>
      <c r="I661" s="122"/>
      <c r="J661" s="122"/>
      <c r="K661" s="122"/>
      <c r="L661" s="124"/>
      <c r="M661" s="124"/>
      <c r="N661" s="124"/>
      <c r="O661" s="122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</row>
    <row r="662" spans="1:27" x14ac:dyDescent="0.25">
      <c r="A662" s="35"/>
      <c r="B662" s="35"/>
      <c r="C662" s="35"/>
      <c r="D662" s="35"/>
      <c r="E662" s="35"/>
      <c r="F662" s="122"/>
      <c r="G662" s="123"/>
      <c r="H662" s="122"/>
      <c r="I662" s="122"/>
      <c r="J662" s="122"/>
      <c r="K662" s="122"/>
      <c r="L662" s="124"/>
      <c r="M662" s="124"/>
      <c r="N662" s="124"/>
      <c r="O662" s="122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</row>
    <row r="663" spans="1:27" x14ac:dyDescent="0.25">
      <c r="A663" s="35"/>
      <c r="B663" s="35"/>
      <c r="C663" s="35"/>
      <c r="D663" s="35"/>
      <c r="E663" s="35"/>
      <c r="F663" s="122"/>
      <c r="G663" s="123"/>
      <c r="H663" s="122"/>
      <c r="I663" s="122"/>
      <c r="J663" s="122"/>
      <c r="K663" s="122"/>
      <c r="L663" s="124"/>
      <c r="M663" s="124"/>
      <c r="N663" s="124"/>
      <c r="O663" s="122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</row>
    <row r="664" spans="1:27" x14ac:dyDescent="0.25">
      <c r="A664" s="35"/>
      <c r="B664" s="35"/>
      <c r="C664" s="35"/>
      <c r="D664" s="35"/>
      <c r="E664" s="35"/>
      <c r="F664" s="122"/>
      <c r="G664" s="123"/>
      <c r="H664" s="122"/>
      <c r="I664" s="122"/>
      <c r="J664" s="122"/>
      <c r="K664" s="122"/>
      <c r="L664" s="124"/>
      <c r="M664" s="124"/>
      <c r="N664" s="124"/>
      <c r="O664" s="122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</row>
    <row r="665" spans="1:27" x14ac:dyDescent="0.25">
      <c r="A665" s="35"/>
      <c r="B665" s="35"/>
      <c r="C665" s="35"/>
      <c r="D665" s="35"/>
      <c r="E665" s="35"/>
      <c r="F665" s="122"/>
      <c r="G665" s="123"/>
      <c r="H665" s="122"/>
      <c r="I665" s="122"/>
      <c r="J665" s="122"/>
      <c r="K665" s="122"/>
      <c r="L665" s="124"/>
      <c r="M665" s="124"/>
      <c r="N665" s="124"/>
      <c r="O665" s="122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</row>
    <row r="666" spans="1:27" x14ac:dyDescent="0.25">
      <c r="A666" s="35"/>
      <c r="B666" s="35"/>
      <c r="C666" s="35"/>
      <c r="D666" s="35"/>
      <c r="E666" s="35"/>
      <c r="F666" s="122"/>
      <c r="G666" s="123"/>
      <c r="H666" s="122"/>
      <c r="I666" s="122"/>
      <c r="J666" s="122"/>
      <c r="K666" s="122"/>
      <c r="L666" s="124"/>
      <c r="M666" s="124"/>
      <c r="N666" s="124"/>
      <c r="O666" s="122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</row>
    <row r="667" spans="1:27" x14ac:dyDescent="0.25">
      <c r="A667" s="35"/>
      <c r="B667" s="35"/>
      <c r="C667" s="35"/>
      <c r="D667" s="35"/>
      <c r="E667" s="35"/>
      <c r="F667" s="122"/>
      <c r="G667" s="123"/>
      <c r="H667" s="122"/>
      <c r="I667" s="122"/>
      <c r="J667" s="122"/>
      <c r="K667" s="122"/>
      <c r="L667" s="124"/>
      <c r="M667" s="124"/>
      <c r="N667" s="124"/>
      <c r="O667" s="122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</row>
    <row r="668" spans="1:27" x14ac:dyDescent="0.25">
      <c r="A668" s="35"/>
      <c r="B668" s="35"/>
      <c r="C668" s="35"/>
      <c r="D668" s="35"/>
      <c r="E668" s="35"/>
      <c r="F668" s="122"/>
      <c r="G668" s="123"/>
      <c r="H668" s="122"/>
      <c r="I668" s="122"/>
      <c r="J668" s="122"/>
      <c r="K668" s="122"/>
      <c r="L668" s="124"/>
      <c r="M668" s="124"/>
      <c r="N668" s="124"/>
      <c r="O668" s="122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</row>
    <row r="669" spans="1:27" x14ac:dyDescent="0.25">
      <c r="A669" s="35"/>
      <c r="B669" s="35"/>
      <c r="C669" s="35"/>
      <c r="D669" s="35"/>
      <c r="E669" s="35"/>
      <c r="F669" s="122"/>
      <c r="G669" s="123"/>
      <c r="H669" s="122"/>
      <c r="I669" s="122"/>
      <c r="J669" s="122"/>
      <c r="K669" s="122"/>
      <c r="L669" s="124"/>
      <c r="M669" s="124"/>
      <c r="N669" s="124"/>
      <c r="O669" s="122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</row>
    <row r="670" spans="1:27" x14ac:dyDescent="0.25">
      <c r="A670" s="35"/>
      <c r="B670" s="35"/>
      <c r="C670" s="35"/>
      <c r="D670" s="35"/>
      <c r="E670" s="35"/>
      <c r="F670" s="122"/>
      <c r="G670" s="123"/>
      <c r="H670" s="122"/>
      <c r="I670" s="122"/>
      <c r="J670" s="122"/>
      <c r="K670" s="122"/>
      <c r="L670" s="124"/>
      <c r="M670" s="124"/>
      <c r="N670" s="124"/>
      <c r="O670" s="122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</row>
    <row r="671" spans="1:27" x14ac:dyDescent="0.25">
      <c r="A671" s="35"/>
      <c r="B671" s="35"/>
      <c r="C671" s="35"/>
      <c r="D671" s="35"/>
      <c r="E671" s="35"/>
      <c r="F671" s="122"/>
      <c r="G671" s="123"/>
      <c r="H671" s="122"/>
      <c r="I671" s="122"/>
      <c r="J671" s="122"/>
      <c r="K671" s="122"/>
      <c r="L671" s="124"/>
      <c r="M671" s="124"/>
      <c r="N671" s="124"/>
      <c r="O671" s="122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</row>
    <row r="672" spans="1:27" x14ac:dyDescent="0.25">
      <c r="A672" s="35"/>
      <c r="B672" s="35"/>
      <c r="C672" s="35"/>
      <c r="D672" s="35"/>
      <c r="E672" s="35"/>
      <c r="F672" s="122"/>
      <c r="G672" s="123"/>
      <c r="H672" s="122"/>
      <c r="I672" s="122"/>
      <c r="J672" s="122"/>
      <c r="K672" s="122"/>
      <c r="L672" s="124"/>
      <c r="M672" s="124"/>
      <c r="N672" s="124"/>
      <c r="O672" s="122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</row>
    <row r="673" spans="1:27" x14ac:dyDescent="0.25">
      <c r="A673" s="35"/>
      <c r="B673" s="35"/>
      <c r="C673" s="35"/>
      <c r="D673" s="35"/>
      <c r="E673" s="35"/>
      <c r="F673" s="122"/>
      <c r="G673" s="123"/>
      <c r="H673" s="122"/>
      <c r="I673" s="122"/>
      <c r="J673" s="122"/>
      <c r="K673" s="122"/>
      <c r="L673" s="124"/>
      <c r="M673" s="124"/>
      <c r="N673" s="124"/>
      <c r="O673" s="122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</row>
    <row r="674" spans="1:27" x14ac:dyDescent="0.25">
      <c r="A674" s="35"/>
      <c r="B674" s="35"/>
      <c r="C674" s="35"/>
      <c r="D674" s="35"/>
      <c r="E674" s="35"/>
      <c r="F674" s="122"/>
      <c r="G674" s="123"/>
      <c r="H674" s="122"/>
      <c r="I674" s="122"/>
      <c r="J674" s="122"/>
      <c r="K674" s="122"/>
      <c r="L674" s="124"/>
      <c r="M674" s="124"/>
      <c r="N674" s="124"/>
      <c r="O674" s="122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</row>
    <row r="675" spans="1:27" x14ac:dyDescent="0.25">
      <c r="A675" s="35"/>
      <c r="B675" s="35"/>
      <c r="C675" s="35"/>
      <c r="D675" s="35"/>
      <c r="E675" s="35"/>
      <c r="F675" s="122"/>
      <c r="G675" s="123"/>
      <c r="H675" s="122"/>
      <c r="I675" s="122"/>
      <c r="J675" s="122"/>
      <c r="K675" s="122"/>
      <c r="L675" s="124"/>
      <c r="M675" s="124"/>
      <c r="N675" s="124"/>
      <c r="O675" s="122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</row>
    <row r="676" spans="1:27" x14ac:dyDescent="0.25">
      <c r="A676" s="35"/>
      <c r="B676" s="35"/>
      <c r="C676" s="35"/>
      <c r="D676" s="35"/>
      <c r="E676" s="35"/>
      <c r="F676" s="122"/>
      <c r="G676" s="123"/>
      <c r="H676" s="122"/>
      <c r="I676" s="122"/>
      <c r="J676" s="122"/>
      <c r="K676" s="122"/>
      <c r="L676" s="124"/>
      <c r="M676" s="124"/>
      <c r="N676" s="124"/>
      <c r="O676" s="122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</row>
    <row r="677" spans="1:27" x14ac:dyDescent="0.25">
      <c r="A677" s="35"/>
      <c r="B677" s="35"/>
      <c r="C677" s="35"/>
      <c r="D677" s="35"/>
      <c r="E677" s="35"/>
      <c r="F677" s="122"/>
      <c r="G677" s="123"/>
      <c r="H677" s="122"/>
      <c r="I677" s="122"/>
      <c r="J677" s="122"/>
      <c r="K677" s="122"/>
      <c r="L677" s="124"/>
      <c r="M677" s="124"/>
      <c r="N677" s="124"/>
      <c r="O677" s="122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</row>
    <row r="678" spans="1:27" x14ac:dyDescent="0.25">
      <c r="A678" s="35"/>
      <c r="B678" s="35"/>
      <c r="C678" s="35"/>
      <c r="D678" s="35"/>
      <c r="E678" s="35"/>
      <c r="F678" s="122"/>
      <c r="G678" s="123"/>
      <c r="H678" s="122"/>
      <c r="I678" s="122"/>
      <c r="J678" s="122"/>
      <c r="K678" s="122"/>
      <c r="L678" s="124"/>
      <c r="M678" s="124"/>
      <c r="N678" s="124"/>
      <c r="O678" s="122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</row>
    <row r="679" spans="1:27" x14ac:dyDescent="0.25">
      <c r="A679" s="35"/>
      <c r="B679" s="35"/>
      <c r="C679" s="35"/>
      <c r="D679" s="35"/>
      <c r="E679" s="35"/>
      <c r="F679" s="122"/>
      <c r="G679" s="123"/>
      <c r="H679" s="122"/>
      <c r="I679" s="122"/>
      <c r="J679" s="122"/>
      <c r="K679" s="122"/>
      <c r="L679" s="124"/>
      <c r="M679" s="124"/>
      <c r="N679" s="124"/>
      <c r="O679" s="122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</row>
    <row r="680" spans="1:27" x14ac:dyDescent="0.25">
      <c r="A680" s="35"/>
      <c r="B680" s="35"/>
      <c r="C680" s="35"/>
      <c r="D680" s="35"/>
      <c r="E680" s="35"/>
      <c r="F680" s="122"/>
      <c r="G680" s="123"/>
      <c r="H680" s="122"/>
      <c r="I680" s="122"/>
      <c r="J680" s="122"/>
      <c r="K680" s="122"/>
      <c r="L680" s="124"/>
      <c r="M680" s="124"/>
      <c r="N680" s="124"/>
      <c r="O680" s="122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</row>
    <row r="681" spans="1:27" x14ac:dyDescent="0.25">
      <c r="A681" s="35"/>
      <c r="B681" s="35"/>
      <c r="C681" s="35"/>
      <c r="D681" s="35"/>
      <c r="E681" s="35"/>
      <c r="F681" s="122"/>
      <c r="G681" s="123"/>
      <c r="H681" s="122"/>
      <c r="I681" s="122"/>
      <c r="J681" s="122"/>
      <c r="K681" s="122"/>
      <c r="L681" s="124"/>
      <c r="M681" s="124"/>
      <c r="N681" s="124"/>
      <c r="O681" s="122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</row>
    <row r="682" spans="1:27" x14ac:dyDescent="0.25">
      <c r="A682" s="35"/>
      <c r="B682" s="35"/>
      <c r="C682" s="35"/>
      <c r="D682" s="35"/>
      <c r="E682" s="35"/>
      <c r="F682" s="122"/>
      <c r="G682" s="123"/>
      <c r="H682" s="122"/>
      <c r="I682" s="122"/>
      <c r="J682" s="122"/>
      <c r="K682" s="122"/>
      <c r="L682" s="124"/>
      <c r="M682" s="124"/>
      <c r="N682" s="124"/>
      <c r="O682" s="122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</row>
    <row r="683" spans="1:27" x14ac:dyDescent="0.25">
      <c r="A683" s="35"/>
      <c r="B683" s="35"/>
      <c r="C683" s="35"/>
      <c r="D683" s="35"/>
      <c r="E683" s="35"/>
      <c r="F683" s="122"/>
      <c r="G683" s="123"/>
      <c r="H683" s="122"/>
      <c r="I683" s="122"/>
      <c r="J683" s="122"/>
      <c r="K683" s="122"/>
      <c r="L683" s="124"/>
      <c r="M683" s="124"/>
      <c r="N683" s="124"/>
      <c r="O683" s="122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</row>
    <row r="684" spans="1:27" x14ac:dyDescent="0.25">
      <c r="A684" s="35"/>
      <c r="B684" s="35"/>
      <c r="C684" s="35"/>
      <c r="D684" s="35"/>
      <c r="E684" s="35"/>
      <c r="F684" s="122"/>
      <c r="G684" s="123"/>
      <c r="H684" s="122"/>
      <c r="I684" s="122"/>
      <c r="J684" s="122"/>
      <c r="K684" s="122"/>
      <c r="L684" s="124"/>
      <c r="M684" s="124"/>
      <c r="N684" s="124"/>
      <c r="O684" s="122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</row>
    <row r="685" spans="1:27" x14ac:dyDescent="0.25">
      <c r="A685" s="35"/>
      <c r="B685" s="35"/>
      <c r="C685" s="35"/>
      <c r="D685" s="35"/>
      <c r="E685" s="35"/>
      <c r="F685" s="122"/>
      <c r="G685" s="123"/>
      <c r="H685" s="122"/>
      <c r="I685" s="122"/>
      <c r="J685" s="122"/>
      <c r="K685" s="122"/>
      <c r="L685" s="124"/>
      <c r="M685" s="124"/>
      <c r="N685" s="124"/>
      <c r="O685" s="122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</row>
    <row r="686" spans="1:27" x14ac:dyDescent="0.25">
      <c r="A686" s="35"/>
      <c r="B686" s="35"/>
      <c r="C686" s="35"/>
      <c r="D686" s="35"/>
      <c r="E686" s="35"/>
      <c r="F686" s="122"/>
      <c r="G686" s="123"/>
      <c r="H686" s="122"/>
      <c r="I686" s="122"/>
      <c r="J686" s="122"/>
      <c r="K686" s="122"/>
      <c r="L686" s="124"/>
      <c r="M686" s="124"/>
      <c r="N686" s="124"/>
      <c r="O686" s="122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</row>
    <row r="687" spans="1:27" x14ac:dyDescent="0.25">
      <c r="A687" s="35"/>
      <c r="B687" s="35"/>
      <c r="C687" s="35"/>
      <c r="D687" s="35"/>
      <c r="E687" s="35"/>
      <c r="F687" s="122"/>
      <c r="G687" s="123"/>
      <c r="H687" s="122"/>
      <c r="I687" s="122"/>
      <c r="J687" s="122"/>
      <c r="K687" s="122"/>
      <c r="L687" s="124"/>
      <c r="M687" s="124"/>
      <c r="N687" s="124"/>
      <c r="O687" s="122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</row>
    <row r="688" spans="1:27" x14ac:dyDescent="0.25">
      <c r="A688" s="35"/>
      <c r="B688" s="35"/>
      <c r="C688" s="35"/>
      <c r="D688" s="35"/>
      <c r="E688" s="35"/>
      <c r="F688" s="122"/>
      <c r="G688" s="123"/>
      <c r="H688" s="122"/>
      <c r="I688" s="122"/>
      <c r="J688" s="122"/>
      <c r="K688" s="122"/>
      <c r="L688" s="124"/>
      <c r="M688" s="124"/>
      <c r="N688" s="124"/>
      <c r="O688" s="122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</row>
    <row r="689" spans="1:27" x14ac:dyDescent="0.25">
      <c r="A689" s="35"/>
      <c r="B689" s="35"/>
      <c r="C689" s="35"/>
      <c r="D689" s="35"/>
      <c r="E689" s="35"/>
      <c r="F689" s="122"/>
      <c r="G689" s="123"/>
      <c r="H689" s="122"/>
      <c r="I689" s="122"/>
      <c r="J689" s="122"/>
      <c r="K689" s="122"/>
      <c r="L689" s="124"/>
      <c r="M689" s="124"/>
      <c r="N689" s="124"/>
      <c r="O689" s="122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</row>
    <row r="690" spans="1:27" x14ac:dyDescent="0.25">
      <c r="A690" s="35"/>
      <c r="B690" s="35"/>
      <c r="C690" s="35"/>
      <c r="D690" s="35"/>
      <c r="E690" s="35"/>
      <c r="F690" s="122"/>
      <c r="G690" s="123"/>
      <c r="H690" s="122"/>
      <c r="I690" s="122"/>
      <c r="J690" s="122"/>
      <c r="K690" s="122"/>
      <c r="L690" s="124"/>
      <c r="M690" s="124"/>
      <c r="N690" s="124"/>
      <c r="O690" s="122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</row>
    <row r="691" spans="1:27" x14ac:dyDescent="0.25">
      <c r="A691" s="35"/>
      <c r="B691" s="35"/>
      <c r="C691" s="35"/>
      <c r="D691" s="35"/>
      <c r="E691" s="35"/>
      <c r="F691" s="122"/>
      <c r="G691" s="123"/>
      <c r="H691" s="122"/>
      <c r="I691" s="122"/>
      <c r="J691" s="122"/>
      <c r="K691" s="122"/>
      <c r="L691" s="124"/>
      <c r="M691" s="124"/>
      <c r="N691" s="124"/>
      <c r="O691" s="122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</row>
    <row r="692" spans="1:27" x14ac:dyDescent="0.25">
      <c r="A692" s="35"/>
      <c r="B692" s="35"/>
      <c r="C692" s="35"/>
      <c r="D692" s="35"/>
      <c r="E692" s="35"/>
      <c r="F692" s="122"/>
      <c r="G692" s="123"/>
      <c r="H692" s="122"/>
      <c r="I692" s="122"/>
      <c r="J692" s="122"/>
      <c r="K692" s="122"/>
      <c r="L692" s="124"/>
      <c r="M692" s="124"/>
      <c r="N692" s="124"/>
      <c r="O692" s="122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</row>
    <row r="693" spans="1:27" x14ac:dyDescent="0.25">
      <c r="A693" s="35"/>
      <c r="B693" s="35"/>
      <c r="C693" s="35"/>
      <c r="D693" s="35"/>
      <c r="E693" s="35"/>
      <c r="F693" s="122"/>
      <c r="G693" s="123"/>
      <c r="H693" s="122"/>
      <c r="I693" s="122"/>
      <c r="J693" s="122"/>
      <c r="K693" s="122"/>
      <c r="L693" s="124"/>
      <c r="M693" s="124"/>
      <c r="N693" s="124"/>
      <c r="O693" s="122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</row>
    <row r="694" spans="1:27" x14ac:dyDescent="0.25">
      <c r="A694" s="35"/>
      <c r="B694" s="35"/>
      <c r="C694" s="35"/>
      <c r="D694" s="35"/>
      <c r="E694" s="35"/>
      <c r="F694" s="122"/>
      <c r="G694" s="123"/>
      <c r="H694" s="122"/>
      <c r="I694" s="122"/>
      <c r="J694" s="122"/>
      <c r="K694" s="122"/>
      <c r="L694" s="124"/>
      <c r="M694" s="124"/>
      <c r="N694" s="124"/>
      <c r="O694" s="122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</row>
    <row r="695" spans="1:27" x14ac:dyDescent="0.25">
      <c r="A695" s="35"/>
      <c r="B695" s="35"/>
      <c r="C695" s="35"/>
      <c r="D695" s="35"/>
      <c r="E695" s="35"/>
      <c r="F695" s="122"/>
      <c r="G695" s="123"/>
      <c r="H695" s="122"/>
      <c r="I695" s="122"/>
      <c r="J695" s="122"/>
      <c r="K695" s="122"/>
      <c r="L695" s="124"/>
      <c r="M695" s="124"/>
      <c r="N695" s="124"/>
      <c r="O695" s="122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</row>
    <row r="696" spans="1:27" x14ac:dyDescent="0.25">
      <c r="A696" s="35"/>
      <c r="B696" s="35"/>
      <c r="C696" s="35"/>
      <c r="D696" s="35"/>
      <c r="E696" s="35"/>
      <c r="F696" s="122"/>
      <c r="G696" s="123"/>
      <c r="H696" s="122"/>
      <c r="I696" s="122"/>
      <c r="J696" s="122"/>
      <c r="K696" s="122"/>
      <c r="L696" s="124"/>
      <c r="M696" s="124"/>
      <c r="N696" s="124"/>
      <c r="O696" s="122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</row>
    <row r="697" spans="1:27" x14ac:dyDescent="0.25">
      <c r="A697" s="35"/>
      <c r="B697" s="35"/>
      <c r="C697" s="35"/>
      <c r="D697" s="35"/>
      <c r="E697" s="35"/>
      <c r="F697" s="122"/>
      <c r="G697" s="123"/>
      <c r="H697" s="122"/>
      <c r="I697" s="122"/>
      <c r="J697" s="122"/>
      <c r="K697" s="122"/>
      <c r="L697" s="124"/>
      <c r="M697" s="124"/>
      <c r="N697" s="124"/>
      <c r="O697" s="122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</row>
    <row r="698" spans="1:27" x14ac:dyDescent="0.25">
      <c r="A698" s="35"/>
      <c r="B698" s="35"/>
      <c r="C698" s="35"/>
      <c r="D698" s="35"/>
      <c r="E698" s="35"/>
      <c r="F698" s="122"/>
      <c r="G698" s="123"/>
      <c r="H698" s="122"/>
      <c r="I698" s="122"/>
      <c r="J698" s="122"/>
      <c r="K698" s="122"/>
      <c r="L698" s="124"/>
      <c r="M698" s="124"/>
      <c r="N698" s="124"/>
      <c r="O698" s="122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</row>
    <row r="699" spans="1:27" x14ac:dyDescent="0.25">
      <c r="A699" s="35"/>
      <c r="B699" s="35"/>
      <c r="C699" s="35"/>
      <c r="D699" s="35"/>
      <c r="E699" s="35"/>
      <c r="F699" s="122"/>
      <c r="G699" s="123"/>
      <c r="H699" s="122"/>
      <c r="I699" s="122"/>
      <c r="J699" s="122"/>
      <c r="K699" s="122"/>
      <c r="L699" s="124"/>
      <c r="M699" s="124"/>
      <c r="N699" s="124"/>
      <c r="O699" s="122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</row>
    <row r="700" spans="1:27" x14ac:dyDescent="0.25">
      <c r="A700" s="35"/>
      <c r="B700" s="35"/>
      <c r="C700" s="35"/>
      <c r="D700" s="35"/>
      <c r="E700" s="35"/>
      <c r="F700" s="122"/>
      <c r="G700" s="123"/>
      <c r="H700" s="122"/>
      <c r="I700" s="122"/>
      <c r="J700" s="122"/>
      <c r="K700" s="122"/>
      <c r="L700" s="124"/>
      <c r="M700" s="124"/>
      <c r="N700" s="124"/>
      <c r="O700" s="122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</row>
    <row r="701" spans="1:27" x14ac:dyDescent="0.25">
      <c r="A701" s="35"/>
      <c r="B701" s="35"/>
      <c r="C701" s="35"/>
      <c r="D701" s="35"/>
      <c r="E701" s="35"/>
      <c r="F701" s="122"/>
      <c r="G701" s="123"/>
      <c r="H701" s="122"/>
      <c r="I701" s="122"/>
      <c r="J701" s="122"/>
      <c r="K701" s="122"/>
      <c r="L701" s="124"/>
      <c r="M701" s="124"/>
      <c r="N701" s="124"/>
      <c r="O701" s="122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</row>
    <row r="702" spans="1:27" x14ac:dyDescent="0.25">
      <c r="A702" s="35"/>
      <c r="B702" s="35"/>
      <c r="C702" s="35"/>
      <c r="D702" s="35"/>
      <c r="E702" s="35"/>
      <c r="F702" s="122"/>
      <c r="G702" s="123"/>
      <c r="H702" s="122"/>
      <c r="I702" s="122"/>
      <c r="J702" s="122"/>
      <c r="K702" s="122"/>
      <c r="L702" s="124"/>
      <c r="M702" s="124"/>
      <c r="N702" s="124"/>
      <c r="O702" s="122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</row>
    <row r="703" spans="1:27" x14ac:dyDescent="0.25">
      <c r="A703" s="35"/>
      <c r="B703" s="35"/>
      <c r="C703" s="35"/>
      <c r="D703" s="35"/>
      <c r="E703" s="35"/>
      <c r="F703" s="122"/>
      <c r="G703" s="123"/>
      <c r="H703" s="122"/>
      <c r="I703" s="122"/>
      <c r="J703" s="122"/>
      <c r="K703" s="122"/>
      <c r="L703" s="124"/>
      <c r="M703" s="124"/>
      <c r="N703" s="124"/>
      <c r="O703" s="122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</row>
    <row r="704" spans="1:27" x14ac:dyDescent="0.25">
      <c r="A704" s="35"/>
      <c r="B704" s="35"/>
      <c r="C704" s="35"/>
      <c r="D704" s="35"/>
      <c r="E704" s="35"/>
      <c r="F704" s="122"/>
      <c r="G704" s="123"/>
      <c r="H704" s="122"/>
      <c r="I704" s="122"/>
      <c r="J704" s="122"/>
      <c r="K704" s="122"/>
      <c r="L704" s="124"/>
      <c r="M704" s="124"/>
      <c r="N704" s="124"/>
      <c r="O704" s="122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</row>
    <row r="705" spans="1:27" x14ac:dyDescent="0.25">
      <c r="A705" s="35"/>
      <c r="B705" s="35"/>
      <c r="C705" s="35"/>
      <c r="D705" s="35"/>
      <c r="E705" s="35"/>
      <c r="F705" s="122"/>
      <c r="G705" s="123"/>
      <c r="H705" s="122"/>
      <c r="I705" s="122"/>
      <c r="J705" s="122"/>
      <c r="K705" s="122"/>
      <c r="L705" s="124"/>
      <c r="M705" s="124"/>
      <c r="N705" s="124"/>
      <c r="O705" s="122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</row>
    <row r="706" spans="1:27" x14ac:dyDescent="0.25">
      <c r="A706" s="35"/>
      <c r="B706" s="35"/>
      <c r="C706" s="35"/>
      <c r="D706" s="35"/>
      <c r="E706" s="35"/>
      <c r="F706" s="122"/>
      <c r="G706" s="123"/>
      <c r="H706" s="122"/>
      <c r="I706" s="122"/>
      <c r="J706" s="122"/>
      <c r="K706" s="122"/>
      <c r="L706" s="124"/>
      <c r="M706" s="124"/>
      <c r="N706" s="124"/>
      <c r="O706" s="122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</row>
    <row r="707" spans="1:27" x14ac:dyDescent="0.25">
      <c r="A707" s="35"/>
      <c r="B707" s="35"/>
      <c r="C707" s="35"/>
      <c r="D707" s="35"/>
      <c r="E707" s="35"/>
      <c r="F707" s="122"/>
      <c r="G707" s="123"/>
      <c r="H707" s="122"/>
      <c r="I707" s="122"/>
      <c r="J707" s="122"/>
      <c r="K707" s="122"/>
      <c r="L707" s="124"/>
      <c r="M707" s="124"/>
      <c r="N707" s="124"/>
      <c r="O707" s="122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</row>
    <row r="708" spans="1:27" x14ac:dyDescent="0.25">
      <c r="A708" s="35"/>
      <c r="B708" s="35"/>
      <c r="C708" s="35"/>
      <c r="D708" s="35"/>
      <c r="E708" s="35"/>
      <c r="F708" s="122"/>
      <c r="G708" s="123"/>
      <c r="H708" s="122"/>
      <c r="I708" s="122"/>
      <c r="J708" s="122"/>
      <c r="K708" s="122"/>
      <c r="L708" s="124"/>
      <c r="M708" s="124"/>
      <c r="N708" s="124"/>
      <c r="O708" s="122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</row>
    <row r="709" spans="1:27" x14ac:dyDescent="0.25">
      <c r="A709" s="35"/>
      <c r="B709" s="35"/>
      <c r="C709" s="35"/>
      <c r="D709" s="35"/>
      <c r="E709" s="35"/>
      <c r="F709" s="122"/>
      <c r="G709" s="123"/>
      <c r="H709" s="122"/>
      <c r="I709" s="122"/>
      <c r="J709" s="122"/>
      <c r="K709" s="122"/>
      <c r="L709" s="124"/>
      <c r="M709" s="124"/>
      <c r="N709" s="124"/>
      <c r="O709" s="122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</row>
    <row r="710" spans="1:27" x14ac:dyDescent="0.25">
      <c r="A710" s="35"/>
      <c r="B710" s="35"/>
      <c r="C710" s="35"/>
      <c r="D710" s="35"/>
      <c r="E710" s="35"/>
      <c r="F710" s="122"/>
      <c r="G710" s="123"/>
      <c r="H710" s="122"/>
      <c r="I710" s="122"/>
      <c r="J710" s="122"/>
      <c r="K710" s="122"/>
      <c r="L710" s="124"/>
      <c r="M710" s="124"/>
      <c r="N710" s="124"/>
      <c r="O710" s="122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</row>
    <row r="711" spans="1:27" x14ac:dyDescent="0.25">
      <c r="A711" s="35"/>
      <c r="B711" s="35"/>
      <c r="C711" s="35"/>
      <c r="D711" s="35"/>
      <c r="E711" s="35"/>
      <c r="F711" s="122"/>
      <c r="G711" s="123"/>
      <c r="H711" s="122"/>
      <c r="I711" s="122"/>
      <c r="J711" s="122"/>
      <c r="K711" s="122"/>
      <c r="L711" s="124"/>
      <c r="M711" s="124"/>
      <c r="N711" s="124"/>
      <c r="O711" s="122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</row>
    <row r="712" spans="1:27" x14ac:dyDescent="0.25">
      <c r="A712" s="35"/>
      <c r="B712" s="35"/>
      <c r="C712" s="35"/>
      <c r="D712" s="35"/>
      <c r="E712" s="35"/>
      <c r="F712" s="122"/>
      <c r="G712" s="123"/>
      <c r="H712" s="122"/>
      <c r="I712" s="122"/>
      <c r="J712" s="122"/>
      <c r="K712" s="122"/>
      <c r="L712" s="124"/>
      <c r="M712" s="124"/>
      <c r="N712" s="124"/>
      <c r="O712" s="122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</row>
    <row r="713" spans="1:27" x14ac:dyDescent="0.25">
      <c r="A713" s="35"/>
      <c r="B713" s="35"/>
      <c r="C713" s="35"/>
      <c r="D713" s="35"/>
      <c r="E713" s="35"/>
      <c r="F713" s="122"/>
      <c r="G713" s="123"/>
      <c r="H713" s="122"/>
      <c r="I713" s="122"/>
      <c r="J713" s="122"/>
      <c r="K713" s="122"/>
      <c r="L713" s="124"/>
      <c r="M713" s="124"/>
      <c r="N713" s="124"/>
      <c r="O713" s="122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</row>
    <row r="714" spans="1:27" x14ac:dyDescent="0.25">
      <c r="A714" s="35"/>
      <c r="B714" s="35"/>
      <c r="C714" s="35"/>
      <c r="D714" s="35"/>
      <c r="E714" s="35"/>
      <c r="F714" s="122"/>
      <c r="G714" s="123"/>
      <c r="H714" s="122"/>
      <c r="I714" s="122"/>
      <c r="J714" s="122"/>
      <c r="K714" s="122"/>
      <c r="L714" s="124"/>
      <c r="M714" s="124"/>
      <c r="N714" s="124"/>
      <c r="O714" s="122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</row>
    <row r="715" spans="1:27" x14ac:dyDescent="0.25">
      <c r="A715" s="35"/>
      <c r="B715" s="35"/>
      <c r="C715" s="35"/>
      <c r="D715" s="35"/>
      <c r="E715" s="35"/>
      <c r="F715" s="122"/>
      <c r="G715" s="123"/>
      <c r="H715" s="122"/>
      <c r="I715" s="122"/>
      <c r="J715" s="122"/>
      <c r="K715" s="122"/>
      <c r="L715" s="124"/>
      <c r="M715" s="124"/>
      <c r="N715" s="124"/>
      <c r="O715" s="122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</row>
    <row r="716" spans="1:27" x14ac:dyDescent="0.25">
      <c r="A716" s="35"/>
      <c r="B716" s="35"/>
      <c r="C716" s="35"/>
      <c r="D716" s="35"/>
      <c r="E716" s="35"/>
      <c r="F716" s="122"/>
      <c r="G716" s="123"/>
      <c r="H716" s="122"/>
      <c r="I716" s="122"/>
      <c r="J716" s="122"/>
      <c r="K716" s="122"/>
      <c r="L716" s="124"/>
      <c r="M716" s="124"/>
      <c r="N716" s="124"/>
      <c r="O716" s="122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</row>
    <row r="717" spans="1:27" x14ac:dyDescent="0.25">
      <c r="A717" s="35"/>
      <c r="B717" s="35"/>
      <c r="C717" s="35"/>
      <c r="D717" s="35"/>
      <c r="E717" s="35"/>
      <c r="F717" s="122"/>
      <c r="G717" s="123"/>
      <c r="H717" s="122"/>
      <c r="I717" s="122"/>
      <c r="J717" s="122"/>
      <c r="K717" s="122"/>
      <c r="L717" s="124"/>
      <c r="M717" s="124"/>
      <c r="N717" s="124"/>
      <c r="O717" s="122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</row>
    <row r="718" spans="1:27" x14ac:dyDescent="0.25">
      <c r="A718" s="35"/>
      <c r="B718" s="35"/>
      <c r="C718" s="35"/>
      <c r="D718" s="35"/>
      <c r="E718" s="35"/>
      <c r="F718" s="122"/>
      <c r="G718" s="123"/>
      <c r="H718" s="122"/>
      <c r="I718" s="122"/>
      <c r="J718" s="122"/>
      <c r="K718" s="122"/>
      <c r="L718" s="124"/>
      <c r="M718" s="124"/>
      <c r="N718" s="124"/>
      <c r="O718" s="122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</row>
    <row r="719" spans="1:27" x14ac:dyDescent="0.25">
      <c r="A719" s="35"/>
      <c r="B719" s="35"/>
      <c r="C719" s="35"/>
      <c r="D719" s="35"/>
      <c r="E719" s="35"/>
      <c r="F719" s="122"/>
      <c r="G719" s="123"/>
      <c r="H719" s="122"/>
      <c r="I719" s="122"/>
      <c r="J719" s="122"/>
      <c r="K719" s="122"/>
      <c r="L719" s="124"/>
      <c r="M719" s="124"/>
      <c r="N719" s="124"/>
      <c r="O719" s="122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</row>
    <row r="720" spans="1:27" x14ac:dyDescent="0.25">
      <c r="A720" s="35"/>
      <c r="B720" s="35"/>
      <c r="C720" s="35"/>
      <c r="D720" s="35"/>
      <c r="E720" s="35"/>
      <c r="F720" s="122"/>
      <c r="G720" s="123"/>
      <c r="H720" s="122"/>
      <c r="I720" s="122"/>
      <c r="J720" s="122"/>
      <c r="K720" s="122"/>
      <c r="L720" s="124"/>
      <c r="M720" s="124"/>
      <c r="N720" s="124"/>
      <c r="O720" s="122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</row>
    <row r="721" spans="1:27" x14ac:dyDescent="0.25">
      <c r="A721" s="35"/>
      <c r="B721" s="35"/>
      <c r="C721" s="35"/>
      <c r="D721" s="35"/>
      <c r="E721" s="35"/>
      <c r="F721" s="122"/>
      <c r="G721" s="123"/>
      <c r="H721" s="122"/>
      <c r="I721" s="122"/>
      <c r="J721" s="122"/>
      <c r="K721" s="122"/>
      <c r="L721" s="124"/>
      <c r="M721" s="124"/>
      <c r="N721" s="124"/>
      <c r="O721" s="122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</row>
    <row r="722" spans="1:27" x14ac:dyDescent="0.25">
      <c r="A722" s="35"/>
      <c r="B722" s="35"/>
      <c r="C722" s="35"/>
      <c r="D722" s="35"/>
      <c r="E722" s="35"/>
      <c r="F722" s="122"/>
      <c r="G722" s="123"/>
      <c r="H722" s="122"/>
      <c r="I722" s="122"/>
      <c r="J722" s="122"/>
      <c r="K722" s="122"/>
      <c r="L722" s="124"/>
      <c r="M722" s="124"/>
      <c r="N722" s="124"/>
      <c r="O722" s="122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</row>
    <row r="723" spans="1:27" x14ac:dyDescent="0.25">
      <c r="A723" s="35"/>
      <c r="B723" s="35"/>
      <c r="C723" s="35"/>
      <c r="D723" s="35"/>
      <c r="E723" s="35"/>
      <c r="F723" s="122"/>
      <c r="G723" s="123"/>
      <c r="H723" s="122"/>
      <c r="I723" s="122"/>
      <c r="J723" s="122"/>
      <c r="K723" s="122"/>
      <c r="L723" s="124"/>
      <c r="M723" s="124"/>
      <c r="N723" s="124"/>
      <c r="O723" s="122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</row>
    <row r="724" spans="1:27" x14ac:dyDescent="0.25">
      <c r="A724" s="35"/>
      <c r="B724" s="35"/>
      <c r="C724" s="35"/>
      <c r="D724" s="35"/>
      <c r="E724" s="35"/>
      <c r="F724" s="122"/>
      <c r="G724" s="123"/>
      <c r="H724" s="122"/>
      <c r="I724" s="122"/>
      <c r="J724" s="122"/>
      <c r="K724" s="122"/>
      <c r="L724" s="124"/>
      <c r="M724" s="124"/>
      <c r="N724" s="124"/>
      <c r="O724" s="122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</row>
    <row r="725" spans="1:27" x14ac:dyDescent="0.25">
      <c r="A725" s="35"/>
      <c r="B725" s="35"/>
      <c r="C725" s="35"/>
      <c r="D725" s="35"/>
      <c r="E725" s="35"/>
      <c r="F725" s="122"/>
      <c r="G725" s="123"/>
      <c r="H725" s="122"/>
      <c r="I725" s="122"/>
      <c r="J725" s="122"/>
      <c r="K725" s="122"/>
      <c r="L725" s="124"/>
      <c r="M725" s="124"/>
      <c r="N725" s="124"/>
      <c r="O725" s="122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</row>
    <row r="726" spans="1:27" x14ac:dyDescent="0.25">
      <c r="A726" s="35"/>
      <c r="B726" s="35"/>
      <c r="C726" s="35"/>
      <c r="D726" s="35"/>
      <c r="E726" s="35"/>
      <c r="F726" s="122"/>
      <c r="G726" s="123"/>
      <c r="H726" s="122"/>
      <c r="I726" s="122"/>
      <c r="J726" s="122"/>
      <c r="K726" s="122"/>
      <c r="L726" s="124"/>
      <c r="M726" s="124"/>
      <c r="N726" s="124"/>
      <c r="O726" s="122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</row>
    <row r="727" spans="1:27" x14ac:dyDescent="0.25">
      <c r="A727" s="35"/>
      <c r="B727" s="35"/>
      <c r="C727" s="35"/>
      <c r="D727" s="35"/>
      <c r="E727" s="35"/>
      <c r="F727" s="122"/>
      <c r="G727" s="123"/>
      <c r="H727" s="122"/>
      <c r="I727" s="122"/>
      <c r="J727" s="122"/>
      <c r="K727" s="122"/>
      <c r="L727" s="124"/>
      <c r="M727" s="124"/>
      <c r="N727" s="124"/>
      <c r="O727" s="122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</row>
    <row r="728" spans="1:27" x14ac:dyDescent="0.25">
      <c r="A728" s="35"/>
      <c r="B728" s="35"/>
      <c r="C728" s="35"/>
      <c r="D728" s="35"/>
      <c r="E728" s="35"/>
      <c r="F728" s="122"/>
      <c r="G728" s="123"/>
      <c r="H728" s="122"/>
      <c r="I728" s="122"/>
      <c r="J728" s="122"/>
      <c r="K728" s="122"/>
      <c r="L728" s="124"/>
      <c r="M728" s="124"/>
      <c r="N728" s="124"/>
      <c r="O728" s="122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</row>
    <row r="729" spans="1:27" x14ac:dyDescent="0.25">
      <c r="A729" s="35"/>
      <c r="B729" s="35"/>
      <c r="C729" s="35"/>
      <c r="D729" s="35"/>
      <c r="E729" s="35"/>
      <c r="F729" s="122"/>
      <c r="G729" s="123"/>
      <c r="H729" s="122"/>
      <c r="I729" s="122"/>
      <c r="J729" s="122"/>
      <c r="K729" s="122"/>
      <c r="L729" s="124"/>
      <c r="M729" s="124"/>
      <c r="N729" s="124"/>
      <c r="O729" s="122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</row>
    <row r="730" spans="1:27" x14ac:dyDescent="0.25">
      <c r="A730" s="35"/>
      <c r="B730" s="35"/>
      <c r="C730" s="35"/>
      <c r="D730" s="35"/>
      <c r="E730" s="35"/>
      <c r="F730" s="122"/>
      <c r="G730" s="123"/>
      <c r="H730" s="122"/>
      <c r="I730" s="122"/>
      <c r="J730" s="122"/>
      <c r="K730" s="122"/>
      <c r="L730" s="124"/>
      <c r="M730" s="124"/>
      <c r="N730" s="124"/>
      <c r="O730" s="122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</row>
    <row r="731" spans="1:27" x14ac:dyDescent="0.25">
      <c r="A731" s="35"/>
      <c r="B731" s="35"/>
      <c r="C731" s="35"/>
      <c r="D731" s="35"/>
      <c r="E731" s="35"/>
      <c r="F731" s="122"/>
      <c r="G731" s="123"/>
      <c r="H731" s="122"/>
      <c r="I731" s="122"/>
      <c r="J731" s="122"/>
      <c r="K731" s="122"/>
      <c r="L731" s="124"/>
      <c r="M731" s="124"/>
      <c r="N731" s="124"/>
      <c r="O731" s="122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</row>
    <row r="732" spans="1:27" x14ac:dyDescent="0.25">
      <c r="A732" s="35"/>
      <c r="B732" s="35"/>
      <c r="C732" s="35"/>
      <c r="D732" s="35"/>
      <c r="E732" s="35"/>
      <c r="F732" s="122"/>
      <c r="G732" s="123"/>
      <c r="H732" s="122"/>
      <c r="I732" s="122"/>
      <c r="J732" s="122"/>
      <c r="K732" s="122"/>
      <c r="L732" s="124"/>
      <c r="M732" s="124"/>
      <c r="N732" s="124"/>
      <c r="O732" s="122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</row>
    <row r="733" spans="1:27" x14ac:dyDescent="0.25">
      <c r="A733" s="35"/>
      <c r="B733" s="35"/>
      <c r="C733" s="35"/>
      <c r="D733" s="35"/>
      <c r="E733" s="35"/>
      <c r="F733" s="122"/>
      <c r="G733" s="123"/>
      <c r="H733" s="122"/>
      <c r="I733" s="122"/>
      <c r="J733" s="122"/>
      <c r="K733" s="122"/>
      <c r="L733" s="124"/>
      <c r="M733" s="124"/>
      <c r="N733" s="124"/>
      <c r="O733" s="122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</row>
    <row r="734" spans="1:27" x14ac:dyDescent="0.25">
      <c r="A734" s="35"/>
      <c r="B734" s="35"/>
      <c r="C734" s="35"/>
      <c r="D734" s="35"/>
      <c r="E734" s="35"/>
      <c r="F734" s="122"/>
      <c r="G734" s="123"/>
      <c r="H734" s="122"/>
      <c r="I734" s="122"/>
      <c r="J734" s="122"/>
      <c r="K734" s="122"/>
      <c r="L734" s="124"/>
      <c r="M734" s="124"/>
      <c r="N734" s="124"/>
      <c r="O734" s="122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</row>
    <row r="735" spans="1:27" x14ac:dyDescent="0.25">
      <c r="A735" s="35"/>
      <c r="B735" s="35"/>
      <c r="C735" s="35"/>
      <c r="D735" s="35"/>
      <c r="E735" s="35"/>
      <c r="F735" s="122"/>
      <c r="G735" s="123"/>
      <c r="H735" s="122"/>
      <c r="I735" s="122"/>
      <c r="J735" s="122"/>
      <c r="K735" s="122"/>
      <c r="L735" s="124"/>
      <c r="M735" s="124"/>
      <c r="N735" s="124"/>
      <c r="O735" s="122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</row>
    <row r="736" spans="1:27" x14ac:dyDescent="0.25">
      <c r="A736" s="35"/>
      <c r="B736" s="35"/>
      <c r="C736" s="35"/>
      <c r="D736" s="35"/>
      <c r="E736" s="35"/>
      <c r="F736" s="122"/>
      <c r="G736" s="123"/>
      <c r="H736" s="122"/>
      <c r="I736" s="122"/>
      <c r="J736" s="122"/>
      <c r="K736" s="122"/>
      <c r="L736" s="124"/>
      <c r="M736" s="124"/>
      <c r="N736" s="124"/>
      <c r="O736" s="122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</row>
    <row r="737" spans="1:27" x14ac:dyDescent="0.25">
      <c r="A737" s="35"/>
      <c r="B737" s="35"/>
      <c r="C737" s="35"/>
      <c r="D737" s="35"/>
      <c r="E737" s="35"/>
      <c r="F737" s="122"/>
      <c r="G737" s="123"/>
      <c r="H737" s="122"/>
      <c r="I737" s="122"/>
      <c r="J737" s="122"/>
      <c r="K737" s="122"/>
      <c r="L737" s="124"/>
      <c r="M737" s="124"/>
      <c r="N737" s="124"/>
      <c r="O737" s="122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</row>
    <row r="738" spans="1:27" x14ac:dyDescent="0.25">
      <c r="A738" s="35"/>
      <c r="B738" s="35"/>
      <c r="C738" s="35"/>
      <c r="D738" s="35"/>
      <c r="E738" s="35"/>
      <c r="F738" s="122"/>
      <c r="G738" s="123"/>
      <c r="H738" s="122"/>
      <c r="I738" s="122"/>
      <c r="J738" s="122"/>
      <c r="K738" s="122"/>
      <c r="L738" s="124"/>
      <c r="M738" s="124"/>
      <c r="N738" s="124"/>
      <c r="O738" s="122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</row>
    <row r="739" spans="1:27" x14ac:dyDescent="0.25">
      <c r="A739" s="35"/>
      <c r="B739" s="35"/>
      <c r="C739" s="35"/>
      <c r="D739" s="35"/>
      <c r="E739" s="35"/>
      <c r="F739" s="122"/>
      <c r="G739" s="123"/>
      <c r="H739" s="122"/>
      <c r="I739" s="122"/>
      <c r="J739" s="122"/>
      <c r="K739" s="122"/>
      <c r="L739" s="124"/>
      <c r="M739" s="124"/>
      <c r="N739" s="124"/>
      <c r="O739" s="122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</row>
    <row r="740" spans="1:27" x14ac:dyDescent="0.25">
      <c r="A740" s="35"/>
      <c r="B740" s="35"/>
      <c r="C740" s="35"/>
      <c r="D740" s="35"/>
      <c r="E740" s="35"/>
      <c r="F740" s="122"/>
      <c r="G740" s="123"/>
      <c r="H740" s="122"/>
      <c r="I740" s="122"/>
      <c r="J740" s="122"/>
      <c r="K740" s="122"/>
      <c r="L740" s="124"/>
      <c r="M740" s="124"/>
      <c r="N740" s="124"/>
      <c r="O740" s="122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</row>
    <row r="741" spans="1:27" x14ac:dyDescent="0.25">
      <c r="A741" s="35"/>
      <c r="B741" s="35"/>
      <c r="C741" s="35"/>
      <c r="D741" s="35"/>
      <c r="E741" s="35"/>
      <c r="F741" s="122"/>
      <c r="G741" s="123"/>
      <c r="H741" s="122"/>
      <c r="I741" s="122"/>
      <c r="J741" s="122"/>
      <c r="K741" s="122"/>
      <c r="L741" s="124"/>
      <c r="M741" s="124"/>
      <c r="N741" s="124"/>
      <c r="O741" s="122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</row>
    <row r="742" spans="1:27" x14ac:dyDescent="0.25">
      <c r="A742" s="35"/>
      <c r="B742" s="35"/>
      <c r="C742" s="35"/>
      <c r="D742" s="35"/>
      <c r="E742" s="35"/>
      <c r="F742" s="122"/>
      <c r="G742" s="123"/>
      <c r="H742" s="122"/>
      <c r="I742" s="122"/>
      <c r="J742" s="122"/>
      <c r="K742" s="122"/>
      <c r="L742" s="124"/>
      <c r="M742" s="124"/>
      <c r="N742" s="124"/>
      <c r="O742" s="122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</row>
    <row r="743" spans="1:27" x14ac:dyDescent="0.25">
      <c r="A743" s="35"/>
      <c r="B743" s="35"/>
      <c r="C743" s="35"/>
      <c r="D743" s="35"/>
      <c r="E743" s="35"/>
      <c r="F743" s="122"/>
      <c r="G743" s="123"/>
      <c r="H743" s="122"/>
      <c r="I743" s="122"/>
      <c r="J743" s="122"/>
      <c r="K743" s="122"/>
      <c r="L743" s="124"/>
      <c r="M743" s="124"/>
      <c r="N743" s="124"/>
      <c r="O743" s="122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</row>
    <row r="744" spans="1:27" x14ac:dyDescent="0.25">
      <c r="A744" s="35"/>
      <c r="B744" s="35"/>
      <c r="C744" s="35"/>
      <c r="D744" s="35"/>
      <c r="E744" s="35"/>
      <c r="F744" s="122"/>
      <c r="G744" s="123"/>
      <c r="H744" s="122"/>
      <c r="I744" s="122"/>
      <c r="J744" s="122"/>
      <c r="K744" s="122"/>
      <c r="L744" s="124"/>
      <c r="M744" s="124"/>
      <c r="N744" s="124"/>
      <c r="O744" s="122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</row>
    <row r="745" spans="1:27" x14ac:dyDescent="0.25">
      <c r="A745" s="35"/>
      <c r="B745" s="35"/>
      <c r="C745" s="35"/>
      <c r="D745" s="35"/>
      <c r="E745" s="35"/>
      <c r="F745" s="122"/>
      <c r="G745" s="123"/>
      <c r="H745" s="122"/>
      <c r="I745" s="122"/>
      <c r="J745" s="122"/>
      <c r="K745" s="122"/>
      <c r="L745" s="124"/>
      <c r="M745" s="124"/>
      <c r="N745" s="124"/>
      <c r="O745" s="122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</row>
    <row r="746" spans="1:27" x14ac:dyDescent="0.25">
      <c r="A746" s="35"/>
      <c r="B746" s="35"/>
      <c r="C746" s="35"/>
      <c r="D746" s="35"/>
      <c r="E746" s="35"/>
      <c r="F746" s="122"/>
      <c r="G746" s="123"/>
      <c r="H746" s="122"/>
      <c r="I746" s="122"/>
      <c r="J746" s="122"/>
      <c r="K746" s="122"/>
      <c r="L746" s="124"/>
      <c r="M746" s="124"/>
      <c r="N746" s="124"/>
      <c r="O746" s="122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</row>
    <row r="747" spans="1:27" x14ac:dyDescent="0.25">
      <c r="A747" s="35"/>
      <c r="B747" s="35"/>
      <c r="C747" s="35"/>
      <c r="D747" s="35"/>
      <c r="E747" s="35"/>
      <c r="F747" s="122"/>
      <c r="G747" s="123"/>
      <c r="H747" s="122"/>
      <c r="I747" s="122"/>
      <c r="J747" s="122"/>
      <c r="K747" s="122"/>
      <c r="L747" s="124"/>
      <c r="M747" s="124"/>
      <c r="N747" s="124"/>
      <c r="O747" s="122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</row>
    <row r="748" spans="1:27" x14ac:dyDescent="0.25">
      <c r="A748" s="35"/>
      <c r="B748" s="35"/>
      <c r="C748" s="35"/>
      <c r="D748" s="35"/>
      <c r="E748" s="35"/>
      <c r="F748" s="122"/>
      <c r="G748" s="123"/>
      <c r="H748" s="122"/>
      <c r="I748" s="122"/>
      <c r="J748" s="122"/>
      <c r="K748" s="122"/>
      <c r="L748" s="124"/>
      <c r="M748" s="124"/>
      <c r="N748" s="124"/>
      <c r="O748" s="122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</row>
    <row r="749" spans="1:27" x14ac:dyDescent="0.25">
      <c r="A749" s="35"/>
      <c r="B749" s="35"/>
      <c r="C749" s="35"/>
      <c r="D749" s="35"/>
      <c r="E749" s="35"/>
      <c r="F749" s="122"/>
      <c r="G749" s="123"/>
      <c r="H749" s="122"/>
      <c r="I749" s="122"/>
      <c r="J749" s="122"/>
      <c r="K749" s="122"/>
      <c r="L749" s="124"/>
      <c r="M749" s="124"/>
      <c r="N749" s="124"/>
      <c r="O749" s="122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</row>
    <row r="750" spans="1:27" x14ac:dyDescent="0.25">
      <c r="A750" s="35"/>
      <c r="B750" s="35"/>
      <c r="C750" s="35"/>
      <c r="D750" s="35"/>
      <c r="E750" s="35"/>
      <c r="F750" s="122"/>
      <c r="G750" s="123"/>
      <c r="H750" s="122"/>
      <c r="I750" s="122"/>
      <c r="J750" s="122"/>
      <c r="K750" s="122"/>
      <c r="L750" s="124"/>
      <c r="M750" s="124"/>
      <c r="N750" s="124"/>
      <c r="O750" s="122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</row>
    <row r="751" spans="1:27" x14ac:dyDescent="0.25">
      <c r="A751" s="35"/>
      <c r="B751" s="35"/>
      <c r="C751" s="35"/>
      <c r="D751" s="35"/>
      <c r="E751" s="35"/>
      <c r="F751" s="122"/>
      <c r="G751" s="123"/>
      <c r="H751" s="122"/>
      <c r="I751" s="122"/>
      <c r="J751" s="122"/>
      <c r="K751" s="122"/>
      <c r="L751" s="124"/>
      <c r="M751" s="124"/>
      <c r="N751" s="124"/>
      <c r="O751" s="122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</row>
    <row r="752" spans="1:27" x14ac:dyDescent="0.25">
      <c r="A752" s="35"/>
      <c r="B752" s="35"/>
      <c r="C752" s="35"/>
      <c r="D752" s="35"/>
      <c r="E752" s="35"/>
      <c r="F752" s="122"/>
      <c r="G752" s="123"/>
      <c r="H752" s="122"/>
      <c r="I752" s="122"/>
      <c r="J752" s="122"/>
      <c r="K752" s="122"/>
      <c r="L752" s="124"/>
      <c r="M752" s="124"/>
      <c r="N752" s="124"/>
      <c r="O752" s="122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</row>
    <row r="753" spans="1:27" x14ac:dyDescent="0.25">
      <c r="A753" s="35"/>
      <c r="B753" s="35"/>
      <c r="C753" s="35"/>
      <c r="D753" s="35"/>
      <c r="E753" s="35"/>
      <c r="F753" s="122"/>
      <c r="G753" s="123"/>
      <c r="H753" s="122"/>
      <c r="I753" s="122"/>
      <c r="J753" s="122"/>
      <c r="K753" s="122"/>
      <c r="L753" s="124"/>
      <c r="M753" s="124"/>
      <c r="N753" s="124"/>
      <c r="O753" s="122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</row>
    <row r="754" spans="1:27" x14ac:dyDescent="0.25">
      <c r="A754" s="35"/>
      <c r="B754" s="35"/>
      <c r="C754" s="35"/>
      <c r="D754" s="35"/>
      <c r="E754" s="35"/>
      <c r="F754" s="122"/>
      <c r="G754" s="123"/>
      <c r="H754" s="122"/>
      <c r="I754" s="122"/>
      <c r="J754" s="122"/>
      <c r="K754" s="122"/>
      <c r="L754" s="124"/>
      <c r="M754" s="124"/>
      <c r="N754" s="124"/>
      <c r="O754" s="122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</row>
    <row r="755" spans="1:27" x14ac:dyDescent="0.25">
      <c r="A755" s="35"/>
      <c r="B755" s="35"/>
      <c r="C755" s="35"/>
      <c r="D755" s="35"/>
      <c r="E755" s="35"/>
      <c r="F755" s="122"/>
      <c r="G755" s="123"/>
      <c r="H755" s="122"/>
      <c r="I755" s="122"/>
      <c r="J755" s="122"/>
      <c r="K755" s="122"/>
      <c r="L755" s="124"/>
      <c r="M755" s="124"/>
      <c r="N755" s="124"/>
      <c r="O755" s="122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</row>
    <row r="756" spans="1:27" x14ac:dyDescent="0.25">
      <c r="A756" s="35"/>
      <c r="B756" s="35"/>
      <c r="C756" s="35"/>
      <c r="D756" s="35"/>
      <c r="E756" s="35"/>
      <c r="F756" s="122"/>
      <c r="G756" s="123"/>
      <c r="H756" s="122"/>
      <c r="I756" s="122"/>
      <c r="J756" s="122"/>
      <c r="K756" s="122"/>
      <c r="L756" s="124"/>
      <c r="M756" s="124"/>
      <c r="N756" s="124"/>
      <c r="O756" s="122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</row>
    <row r="757" spans="1:27" x14ac:dyDescent="0.25">
      <c r="A757" s="35"/>
      <c r="B757" s="35"/>
      <c r="C757" s="35"/>
      <c r="D757" s="35"/>
      <c r="E757" s="35"/>
      <c r="F757" s="122"/>
      <c r="G757" s="123"/>
      <c r="H757" s="122"/>
      <c r="I757" s="122"/>
      <c r="J757" s="122"/>
      <c r="K757" s="122"/>
      <c r="L757" s="124"/>
      <c r="M757" s="124"/>
      <c r="N757" s="124"/>
      <c r="O757" s="122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</row>
    <row r="758" spans="1:27" x14ac:dyDescent="0.25">
      <c r="A758" s="35"/>
      <c r="B758" s="35"/>
      <c r="C758" s="35"/>
      <c r="D758" s="35"/>
      <c r="E758" s="35"/>
      <c r="F758" s="122"/>
      <c r="G758" s="123"/>
      <c r="H758" s="122"/>
      <c r="I758" s="122"/>
      <c r="J758" s="122"/>
      <c r="K758" s="122"/>
      <c r="L758" s="124"/>
      <c r="M758" s="124"/>
      <c r="N758" s="124"/>
      <c r="O758" s="122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</row>
    <row r="759" spans="1:27" x14ac:dyDescent="0.25">
      <c r="A759" s="35"/>
      <c r="B759" s="35"/>
      <c r="C759" s="35"/>
      <c r="D759" s="35"/>
      <c r="E759" s="35"/>
      <c r="F759" s="122"/>
      <c r="G759" s="123"/>
      <c r="H759" s="122"/>
      <c r="I759" s="122"/>
      <c r="J759" s="122"/>
      <c r="K759" s="122"/>
      <c r="L759" s="124"/>
      <c r="M759" s="124"/>
      <c r="N759" s="124"/>
      <c r="O759" s="122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</row>
    <row r="760" spans="1:27" x14ac:dyDescent="0.25">
      <c r="A760" s="35"/>
      <c r="B760" s="35"/>
      <c r="C760" s="35"/>
      <c r="D760" s="35"/>
      <c r="E760" s="35"/>
      <c r="F760" s="122"/>
      <c r="G760" s="123"/>
      <c r="H760" s="122"/>
      <c r="I760" s="122"/>
      <c r="J760" s="122"/>
      <c r="K760" s="122"/>
      <c r="L760" s="124"/>
      <c r="M760" s="124"/>
      <c r="N760" s="124"/>
      <c r="O760" s="122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</row>
    <row r="761" spans="1:27" x14ac:dyDescent="0.25">
      <c r="A761" s="35"/>
      <c r="B761" s="35"/>
      <c r="C761" s="35"/>
      <c r="D761" s="35"/>
      <c r="E761" s="35"/>
      <c r="F761" s="122"/>
      <c r="G761" s="123"/>
      <c r="H761" s="122"/>
      <c r="I761" s="122"/>
      <c r="J761" s="122"/>
      <c r="K761" s="122"/>
      <c r="L761" s="124"/>
      <c r="M761" s="124"/>
      <c r="N761" s="124"/>
      <c r="O761" s="122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</row>
    <row r="762" spans="1:27" x14ac:dyDescent="0.25">
      <c r="A762" s="35"/>
      <c r="B762" s="35"/>
      <c r="C762" s="35"/>
      <c r="D762" s="35"/>
      <c r="E762" s="35"/>
      <c r="F762" s="122"/>
      <c r="G762" s="123"/>
      <c r="H762" s="122"/>
      <c r="I762" s="122"/>
      <c r="J762" s="122"/>
      <c r="K762" s="122"/>
      <c r="L762" s="124"/>
      <c r="M762" s="124"/>
      <c r="N762" s="124"/>
      <c r="O762" s="122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</row>
    <row r="763" spans="1:27" x14ac:dyDescent="0.25">
      <c r="A763" s="35"/>
      <c r="B763" s="35"/>
      <c r="C763" s="35"/>
      <c r="D763" s="35"/>
      <c r="E763" s="35"/>
      <c r="F763" s="122"/>
      <c r="G763" s="123"/>
      <c r="H763" s="122"/>
      <c r="I763" s="122"/>
      <c r="J763" s="122"/>
      <c r="K763" s="122"/>
      <c r="L763" s="124"/>
      <c r="M763" s="124"/>
      <c r="N763" s="124"/>
      <c r="O763" s="122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</row>
    <row r="764" spans="1:27" x14ac:dyDescent="0.25">
      <c r="A764" s="35"/>
      <c r="B764" s="35"/>
      <c r="C764" s="35"/>
      <c r="D764" s="35"/>
      <c r="E764" s="35"/>
      <c r="F764" s="122"/>
      <c r="G764" s="123"/>
      <c r="H764" s="122"/>
      <c r="I764" s="122"/>
      <c r="J764" s="122"/>
      <c r="K764" s="122"/>
      <c r="L764" s="124"/>
      <c r="M764" s="124"/>
      <c r="N764" s="124"/>
      <c r="O764" s="122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</row>
    <row r="765" spans="1:27" x14ac:dyDescent="0.25">
      <c r="A765" s="35"/>
      <c r="B765" s="35"/>
      <c r="C765" s="35"/>
      <c r="D765" s="35"/>
      <c r="E765" s="35"/>
      <c r="F765" s="122"/>
      <c r="G765" s="123"/>
      <c r="H765" s="122"/>
      <c r="I765" s="122"/>
      <c r="J765" s="122"/>
      <c r="K765" s="122"/>
      <c r="L765" s="124"/>
      <c r="M765" s="124"/>
      <c r="N765" s="124"/>
      <c r="O765" s="122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</row>
    <row r="766" spans="1:27" x14ac:dyDescent="0.25">
      <c r="A766" s="35"/>
      <c r="B766" s="35"/>
      <c r="C766" s="35"/>
      <c r="D766" s="35"/>
      <c r="E766" s="35"/>
      <c r="F766" s="122"/>
      <c r="G766" s="123"/>
      <c r="H766" s="122"/>
      <c r="I766" s="122"/>
      <c r="J766" s="122"/>
      <c r="K766" s="122"/>
      <c r="L766" s="124"/>
      <c r="M766" s="124"/>
      <c r="N766" s="124"/>
      <c r="O766" s="122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</row>
    <row r="767" spans="1:27" x14ac:dyDescent="0.25">
      <c r="A767" s="35"/>
      <c r="B767" s="35"/>
      <c r="C767" s="35"/>
      <c r="D767" s="35"/>
      <c r="E767" s="35"/>
      <c r="F767" s="122"/>
      <c r="G767" s="123"/>
      <c r="H767" s="122"/>
      <c r="I767" s="122"/>
      <c r="J767" s="122"/>
      <c r="K767" s="122"/>
      <c r="L767" s="124"/>
      <c r="M767" s="124"/>
      <c r="N767" s="124"/>
      <c r="O767" s="122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</row>
    <row r="768" spans="1:27" x14ac:dyDescent="0.25">
      <c r="A768" s="35"/>
      <c r="B768" s="35"/>
      <c r="C768" s="35"/>
      <c r="D768" s="35"/>
      <c r="E768" s="35"/>
      <c r="F768" s="122"/>
      <c r="G768" s="123"/>
      <c r="H768" s="122"/>
      <c r="I768" s="122"/>
      <c r="J768" s="122"/>
      <c r="K768" s="122"/>
      <c r="L768" s="124"/>
      <c r="M768" s="124"/>
      <c r="N768" s="124"/>
      <c r="O768" s="122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</row>
    <row r="769" spans="1:27" x14ac:dyDescent="0.25">
      <c r="A769" s="35"/>
      <c r="B769" s="35"/>
      <c r="C769" s="35"/>
      <c r="D769" s="35"/>
      <c r="E769" s="35"/>
      <c r="F769" s="122"/>
      <c r="G769" s="123"/>
      <c r="H769" s="122"/>
      <c r="I769" s="122"/>
      <c r="J769" s="122"/>
      <c r="K769" s="122"/>
      <c r="L769" s="124"/>
      <c r="M769" s="124"/>
      <c r="N769" s="124"/>
      <c r="O769" s="122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</row>
    <row r="770" spans="1:27" x14ac:dyDescent="0.25">
      <c r="A770" s="35"/>
      <c r="B770" s="35"/>
      <c r="C770" s="35"/>
      <c r="D770" s="35"/>
      <c r="E770" s="35"/>
      <c r="F770" s="122"/>
      <c r="G770" s="123"/>
      <c r="H770" s="122"/>
      <c r="I770" s="122"/>
      <c r="J770" s="122"/>
      <c r="K770" s="122"/>
      <c r="L770" s="124"/>
      <c r="M770" s="124"/>
      <c r="N770" s="124"/>
      <c r="O770" s="122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</row>
    <row r="771" spans="1:27" x14ac:dyDescent="0.25">
      <c r="A771" s="35"/>
      <c r="B771" s="35"/>
      <c r="C771" s="35"/>
      <c r="D771" s="35"/>
      <c r="E771" s="35"/>
      <c r="F771" s="122"/>
      <c r="G771" s="123"/>
      <c r="H771" s="122"/>
      <c r="I771" s="122"/>
      <c r="J771" s="122"/>
      <c r="K771" s="122"/>
      <c r="L771" s="124"/>
      <c r="M771" s="124"/>
      <c r="N771" s="124"/>
      <c r="O771" s="122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</row>
    <row r="772" spans="1:27" x14ac:dyDescent="0.25">
      <c r="A772" s="35"/>
      <c r="B772" s="35"/>
      <c r="C772" s="35"/>
      <c r="D772" s="35"/>
      <c r="E772" s="35"/>
      <c r="F772" s="122"/>
      <c r="G772" s="123"/>
      <c r="H772" s="122"/>
      <c r="I772" s="122"/>
      <c r="J772" s="122"/>
      <c r="K772" s="122"/>
      <c r="L772" s="124"/>
      <c r="M772" s="124"/>
      <c r="N772" s="124"/>
      <c r="O772" s="122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</row>
    <row r="773" spans="1:27" x14ac:dyDescent="0.25">
      <c r="A773" s="35"/>
      <c r="B773" s="35"/>
      <c r="C773" s="35"/>
      <c r="D773" s="35"/>
      <c r="E773" s="35"/>
      <c r="F773" s="122"/>
      <c r="G773" s="123"/>
      <c r="H773" s="122"/>
      <c r="I773" s="122"/>
      <c r="J773" s="122"/>
      <c r="K773" s="122"/>
      <c r="L773" s="124"/>
      <c r="M773" s="124"/>
      <c r="N773" s="124"/>
      <c r="O773" s="122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</row>
    <row r="774" spans="1:27" x14ac:dyDescent="0.25">
      <c r="A774" s="35"/>
      <c r="B774" s="35"/>
      <c r="C774" s="35"/>
      <c r="D774" s="35"/>
      <c r="E774" s="35"/>
      <c r="F774" s="122"/>
      <c r="G774" s="123"/>
      <c r="H774" s="122"/>
      <c r="I774" s="122"/>
      <c r="J774" s="122"/>
      <c r="K774" s="122"/>
      <c r="L774" s="124"/>
      <c r="M774" s="124"/>
      <c r="N774" s="124"/>
      <c r="O774" s="122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</row>
    <row r="775" spans="1:27" x14ac:dyDescent="0.25">
      <c r="A775" s="35"/>
      <c r="B775" s="35"/>
      <c r="C775" s="35"/>
      <c r="D775" s="35"/>
      <c r="E775" s="35"/>
      <c r="F775" s="122"/>
      <c r="G775" s="123"/>
      <c r="H775" s="122"/>
      <c r="I775" s="122"/>
      <c r="J775" s="122"/>
      <c r="K775" s="122"/>
      <c r="L775" s="124"/>
      <c r="M775" s="124"/>
      <c r="N775" s="124"/>
      <c r="O775" s="122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</row>
    <row r="776" spans="1:27" x14ac:dyDescent="0.25">
      <c r="A776" s="35"/>
      <c r="B776" s="35"/>
      <c r="C776" s="35"/>
      <c r="D776" s="35"/>
      <c r="E776" s="35"/>
      <c r="F776" s="122"/>
      <c r="G776" s="123"/>
      <c r="H776" s="122"/>
      <c r="I776" s="122"/>
      <c r="J776" s="122"/>
      <c r="K776" s="122"/>
      <c r="L776" s="124"/>
      <c r="M776" s="124"/>
      <c r="N776" s="124"/>
      <c r="O776" s="122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</row>
    <row r="777" spans="1:27" x14ac:dyDescent="0.25">
      <c r="A777" s="35"/>
      <c r="B777" s="35"/>
      <c r="C777" s="35"/>
      <c r="D777" s="35"/>
      <c r="E777" s="35"/>
      <c r="F777" s="122"/>
      <c r="G777" s="123"/>
      <c r="H777" s="122"/>
      <c r="I777" s="122"/>
      <c r="J777" s="122"/>
      <c r="K777" s="122"/>
      <c r="L777" s="124"/>
      <c r="M777" s="124"/>
      <c r="N777" s="124"/>
      <c r="O777" s="122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</row>
    <row r="778" spans="1:27" x14ac:dyDescent="0.25">
      <c r="A778" s="35"/>
      <c r="B778" s="35"/>
      <c r="C778" s="35"/>
      <c r="D778" s="35"/>
      <c r="E778" s="35"/>
      <c r="F778" s="122"/>
      <c r="G778" s="123"/>
      <c r="H778" s="122"/>
      <c r="I778" s="122"/>
      <c r="J778" s="122"/>
      <c r="K778" s="122"/>
      <c r="L778" s="124"/>
      <c r="M778" s="124"/>
      <c r="N778" s="124"/>
      <c r="O778" s="122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</row>
    <row r="779" spans="1:27" x14ac:dyDescent="0.25">
      <c r="A779" s="35"/>
      <c r="B779" s="35"/>
      <c r="C779" s="35"/>
      <c r="D779" s="35"/>
      <c r="E779" s="35"/>
      <c r="F779" s="122"/>
      <c r="G779" s="123"/>
      <c r="H779" s="122"/>
      <c r="I779" s="122"/>
      <c r="J779" s="122"/>
      <c r="K779" s="122"/>
      <c r="L779" s="124"/>
      <c r="M779" s="124"/>
      <c r="N779" s="124"/>
      <c r="O779" s="122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</row>
    <row r="780" spans="1:27" x14ac:dyDescent="0.25">
      <c r="A780" s="35"/>
      <c r="B780" s="35"/>
      <c r="C780" s="35"/>
      <c r="D780" s="35"/>
      <c r="E780" s="35"/>
      <c r="F780" s="122"/>
      <c r="G780" s="123"/>
      <c r="H780" s="122"/>
      <c r="I780" s="122"/>
      <c r="J780" s="122"/>
      <c r="K780" s="122"/>
      <c r="L780" s="124"/>
      <c r="M780" s="124"/>
      <c r="N780" s="124"/>
      <c r="O780" s="122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</row>
    <row r="781" spans="1:27" x14ac:dyDescent="0.25">
      <c r="A781" s="35"/>
      <c r="B781" s="35"/>
      <c r="C781" s="35"/>
      <c r="D781" s="35"/>
      <c r="E781" s="35"/>
      <c r="F781" s="122"/>
      <c r="G781" s="123"/>
      <c r="H781" s="122"/>
      <c r="I781" s="122"/>
      <c r="J781" s="122"/>
      <c r="K781" s="122"/>
      <c r="L781" s="124"/>
      <c r="M781" s="124"/>
      <c r="N781" s="124"/>
      <c r="O781" s="122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</row>
    <row r="782" spans="1:27" x14ac:dyDescent="0.25">
      <c r="A782" s="35"/>
      <c r="B782" s="35"/>
      <c r="C782" s="35"/>
      <c r="D782" s="35"/>
      <c r="E782" s="35"/>
      <c r="F782" s="122"/>
      <c r="G782" s="123"/>
      <c r="H782" s="122"/>
      <c r="I782" s="122"/>
      <c r="J782" s="122"/>
      <c r="K782" s="122"/>
      <c r="L782" s="124"/>
      <c r="M782" s="124"/>
      <c r="N782" s="124"/>
      <c r="O782" s="122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</row>
    <row r="783" spans="1:27" x14ac:dyDescent="0.25">
      <c r="A783" s="35"/>
      <c r="B783" s="35"/>
      <c r="C783" s="35"/>
      <c r="D783" s="35"/>
      <c r="E783" s="35"/>
      <c r="F783" s="122"/>
      <c r="G783" s="123"/>
      <c r="H783" s="122"/>
      <c r="I783" s="122"/>
      <c r="J783" s="122"/>
      <c r="K783" s="122"/>
      <c r="L783" s="124"/>
      <c r="M783" s="124"/>
      <c r="N783" s="124"/>
      <c r="O783" s="122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</row>
    <row r="784" spans="1:27" x14ac:dyDescent="0.25">
      <c r="A784" s="35"/>
      <c r="B784" s="35"/>
      <c r="C784" s="35"/>
      <c r="D784" s="35"/>
      <c r="E784" s="35"/>
      <c r="F784" s="122"/>
      <c r="G784" s="123"/>
      <c r="H784" s="122"/>
      <c r="I784" s="122"/>
      <c r="J784" s="122"/>
      <c r="K784" s="122"/>
      <c r="L784" s="124"/>
      <c r="M784" s="124"/>
      <c r="N784" s="124"/>
      <c r="O784" s="122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</row>
    <row r="785" spans="1:27" x14ac:dyDescent="0.25">
      <c r="A785" s="35"/>
      <c r="B785" s="35"/>
      <c r="C785" s="35"/>
      <c r="D785" s="35"/>
      <c r="E785" s="35"/>
      <c r="F785" s="122"/>
      <c r="G785" s="123"/>
      <c r="H785" s="122"/>
      <c r="I785" s="122"/>
      <c r="J785" s="122"/>
      <c r="K785" s="122"/>
      <c r="L785" s="124"/>
      <c r="M785" s="124"/>
      <c r="N785" s="124"/>
      <c r="O785" s="122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</row>
    <row r="786" spans="1:27" x14ac:dyDescent="0.25">
      <c r="A786" s="35"/>
      <c r="B786" s="35"/>
      <c r="C786" s="35"/>
      <c r="D786" s="35"/>
      <c r="E786" s="35"/>
      <c r="F786" s="122"/>
      <c r="G786" s="123"/>
      <c r="H786" s="122"/>
      <c r="I786" s="122"/>
      <c r="J786" s="122"/>
      <c r="K786" s="122"/>
      <c r="L786" s="124"/>
      <c r="M786" s="124"/>
      <c r="N786" s="124"/>
      <c r="O786" s="122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</row>
    <row r="787" spans="1:27" x14ac:dyDescent="0.25">
      <c r="A787" s="35"/>
      <c r="B787" s="35"/>
      <c r="C787" s="35"/>
      <c r="D787" s="35"/>
      <c r="E787" s="35"/>
      <c r="F787" s="122"/>
      <c r="G787" s="123"/>
      <c r="H787" s="122"/>
      <c r="I787" s="122"/>
      <c r="J787" s="122"/>
      <c r="K787" s="122"/>
      <c r="L787" s="124"/>
      <c r="M787" s="124"/>
      <c r="N787" s="124"/>
      <c r="O787" s="122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</row>
    <row r="788" spans="1:27" x14ac:dyDescent="0.25">
      <c r="A788" s="35"/>
      <c r="B788" s="35"/>
      <c r="C788" s="35"/>
      <c r="D788" s="35"/>
      <c r="E788" s="35"/>
      <c r="F788" s="122"/>
      <c r="G788" s="123"/>
      <c r="H788" s="122"/>
      <c r="I788" s="122"/>
      <c r="J788" s="122"/>
      <c r="K788" s="122"/>
      <c r="L788" s="124"/>
      <c r="M788" s="124"/>
      <c r="N788" s="124"/>
      <c r="O788" s="122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</row>
    <row r="789" spans="1:27" x14ac:dyDescent="0.25">
      <c r="A789" s="35"/>
      <c r="B789" s="35"/>
      <c r="C789" s="35"/>
      <c r="D789" s="35"/>
      <c r="E789" s="35"/>
      <c r="F789" s="122"/>
      <c r="G789" s="123"/>
      <c r="H789" s="122"/>
      <c r="I789" s="122"/>
      <c r="J789" s="122"/>
      <c r="K789" s="122"/>
      <c r="L789" s="124"/>
      <c r="M789" s="124"/>
      <c r="N789" s="124"/>
      <c r="O789" s="122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</row>
    <row r="790" spans="1:27" x14ac:dyDescent="0.25">
      <c r="A790" s="35"/>
      <c r="B790" s="35"/>
      <c r="C790" s="35"/>
      <c r="D790" s="35"/>
      <c r="E790" s="35"/>
      <c r="F790" s="122"/>
      <c r="G790" s="123"/>
      <c r="H790" s="122"/>
      <c r="I790" s="122"/>
      <c r="J790" s="122"/>
      <c r="K790" s="122"/>
      <c r="L790" s="124"/>
      <c r="M790" s="124"/>
      <c r="N790" s="124"/>
      <c r="O790" s="122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</row>
    <row r="791" spans="1:27" x14ac:dyDescent="0.25">
      <c r="A791" s="35"/>
      <c r="B791" s="35"/>
      <c r="C791" s="35"/>
      <c r="D791" s="35"/>
      <c r="E791" s="35"/>
      <c r="F791" s="122"/>
      <c r="G791" s="123"/>
      <c r="H791" s="122"/>
      <c r="I791" s="122"/>
      <c r="J791" s="122"/>
      <c r="K791" s="122"/>
      <c r="L791" s="124"/>
      <c r="M791" s="124"/>
      <c r="N791" s="124"/>
      <c r="O791" s="122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</row>
    <row r="792" spans="1:27" x14ac:dyDescent="0.25">
      <c r="A792" s="35"/>
      <c r="B792" s="35"/>
      <c r="C792" s="35"/>
      <c r="D792" s="35"/>
      <c r="E792" s="35"/>
      <c r="F792" s="122"/>
      <c r="G792" s="123"/>
      <c r="H792" s="122"/>
      <c r="I792" s="122"/>
      <c r="J792" s="122"/>
      <c r="K792" s="122"/>
      <c r="L792" s="124"/>
      <c r="M792" s="124"/>
      <c r="N792" s="124"/>
      <c r="O792" s="122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</row>
    <row r="793" spans="1:27" x14ac:dyDescent="0.25">
      <c r="A793" s="35"/>
      <c r="B793" s="35"/>
      <c r="C793" s="35"/>
      <c r="D793" s="35"/>
      <c r="E793" s="35"/>
      <c r="F793" s="122"/>
      <c r="G793" s="123"/>
      <c r="H793" s="122"/>
      <c r="I793" s="122"/>
      <c r="J793" s="122"/>
      <c r="K793" s="122"/>
      <c r="L793" s="124"/>
      <c r="M793" s="124"/>
      <c r="N793" s="124"/>
      <c r="O793" s="122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</row>
    <row r="794" spans="1:27" x14ac:dyDescent="0.25">
      <c r="A794" s="35"/>
      <c r="B794" s="35"/>
      <c r="C794" s="35"/>
      <c r="D794" s="35"/>
      <c r="E794" s="35"/>
      <c r="F794" s="122"/>
      <c r="G794" s="123"/>
      <c r="H794" s="122"/>
      <c r="I794" s="122"/>
      <c r="J794" s="122"/>
      <c r="K794" s="122"/>
      <c r="L794" s="124"/>
      <c r="M794" s="124"/>
      <c r="N794" s="124"/>
      <c r="O794" s="122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</row>
    <row r="795" spans="1:27" x14ac:dyDescent="0.25">
      <c r="A795" s="35"/>
      <c r="B795" s="35"/>
      <c r="C795" s="35"/>
      <c r="D795" s="35"/>
      <c r="E795" s="35"/>
      <c r="F795" s="122"/>
      <c r="G795" s="123"/>
      <c r="H795" s="122"/>
      <c r="I795" s="122"/>
      <c r="J795" s="122"/>
      <c r="K795" s="122"/>
      <c r="L795" s="124"/>
      <c r="M795" s="124"/>
      <c r="N795" s="124"/>
      <c r="O795" s="122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</row>
    <row r="796" spans="1:27" x14ac:dyDescent="0.25">
      <c r="A796" s="35"/>
      <c r="B796" s="35"/>
      <c r="C796" s="35"/>
      <c r="D796" s="35"/>
      <c r="E796" s="35"/>
      <c r="F796" s="122"/>
      <c r="G796" s="123"/>
      <c r="H796" s="122"/>
      <c r="I796" s="122"/>
      <c r="J796" s="122"/>
      <c r="K796" s="122"/>
      <c r="L796" s="124"/>
      <c r="M796" s="124"/>
      <c r="N796" s="124"/>
      <c r="O796" s="122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</row>
    <row r="797" spans="1:27" x14ac:dyDescent="0.25">
      <c r="A797" s="35"/>
      <c r="B797" s="35"/>
      <c r="C797" s="35"/>
      <c r="D797" s="35"/>
      <c r="E797" s="35"/>
      <c r="F797" s="122"/>
      <c r="G797" s="123"/>
      <c r="H797" s="122"/>
      <c r="I797" s="122"/>
      <c r="J797" s="122"/>
      <c r="K797" s="122"/>
      <c r="L797" s="124"/>
      <c r="M797" s="124"/>
      <c r="N797" s="124"/>
      <c r="O797" s="122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</row>
    <row r="798" spans="1:27" x14ac:dyDescent="0.25">
      <c r="A798" s="35"/>
      <c r="B798" s="35"/>
      <c r="C798" s="35"/>
      <c r="D798" s="35"/>
      <c r="E798" s="35"/>
      <c r="F798" s="122"/>
      <c r="G798" s="123"/>
      <c r="H798" s="122"/>
      <c r="I798" s="122"/>
      <c r="J798" s="122"/>
      <c r="K798" s="122"/>
      <c r="L798" s="124"/>
      <c r="M798" s="124"/>
      <c r="N798" s="124"/>
      <c r="O798" s="122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</row>
    <row r="799" spans="1:27" x14ac:dyDescent="0.25">
      <c r="A799" s="35"/>
      <c r="B799" s="35"/>
      <c r="C799" s="35"/>
      <c r="D799" s="35"/>
      <c r="E799" s="35"/>
      <c r="F799" s="122"/>
      <c r="G799" s="123"/>
      <c r="H799" s="122"/>
      <c r="I799" s="122"/>
      <c r="J799" s="122"/>
      <c r="K799" s="122"/>
      <c r="L799" s="124"/>
      <c r="M799" s="124"/>
      <c r="N799" s="124"/>
      <c r="O799" s="122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</row>
    <row r="800" spans="1:27" x14ac:dyDescent="0.25">
      <c r="A800" s="35"/>
      <c r="B800" s="35"/>
      <c r="C800" s="35"/>
      <c r="D800" s="35"/>
      <c r="E800" s="35"/>
      <c r="F800" s="122"/>
      <c r="G800" s="123"/>
      <c r="H800" s="122"/>
      <c r="I800" s="122"/>
      <c r="J800" s="122"/>
      <c r="K800" s="122"/>
      <c r="L800" s="124"/>
      <c r="M800" s="124"/>
      <c r="N800" s="124"/>
      <c r="O800" s="122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</row>
    <row r="801" spans="1:27" x14ac:dyDescent="0.25">
      <c r="A801" s="35"/>
      <c r="B801" s="35"/>
      <c r="C801" s="35"/>
      <c r="D801" s="35"/>
      <c r="E801" s="35"/>
      <c r="F801" s="122"/>
      <c r="G801" s="123"/>
      <c r="H801" s="122"/>
      <c r="I801" s="122"/>
      <c r="J801" s="122"/>
      <c r="K801" s="122"/>
      <c r="L801" s="124"/>
      <c r="M801" s="124"/>
      <c r="N801" s="124"/>
      <c r="O801" s="122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</row>
    <row r="802" spans="1:27" x14ac:dyDescent="0.25">
      <c r="A802" s="35"/>
      <c r="B802" s="35"/>
      <c r="C802" s="35"/>
      <c r="D802" s="35"/>
      <c r="E802" s="35"/>
      <c r="F802" s="122"/>
      <c r="G802" s="123"/>
      <c r="H802" s="122"/>
      <c r="I802" s="122"/>
      <c r="J802" s="122"/>
      <c r="K802" s="122"/>
      <c r="L802" s="124"/>
      <c r="M802" s="124"/>
      <c r="N802" s="124"/>
      <c r="O802" s="122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</row>
    <row r="803" spans="1:27" x14ac:dyDescent="0.25">
      <c r="A803" s="35"/>
      <c r="B803" s="35"/>
      <c r="C803" s="35"/>
      <c r="D803" s="35"/>
      <c r="E803" s="35"/>
      <c r="F803" s="122"/>
      <c r="G803" s="123"/>
      <c r="H803" s="122"/>
      <c r="I803" s="122"/>
      <c r="J803" s="122"/>
      <c r="K803" s="122"/>
      <c r="L803" s="124"/>
      <c r="M803" s="124"/>
      <c r="N803" s="124"/>
      <c r="O803" s="122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</row>
    <row r="804" spans="1:27" x14ac:dyDescent="0.25">
      <c r="A804" s="35"/>
      <c r="B804" s="35"/>
      <c r="C804" s="35"/>
      <c r="D804" s="35"/>
      <c r="E804" s="35"/>
      <c r="F804" s="122"/>
      <c r="G804" s="123"/>
      <c r="H804" s="122"/>
      <c r="I804" s="122"/>
      <c r="J804" s="122"/>
      <c r="K804" s="122"/>
      <c r="L804" s="124"/>
      <c r="M804" s="124"/>
      <c r="N804" s="124"/>
      <c r="O804" s="122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</row>
    <row r="805" spans="1:27" x14ac:dyDescent="0.25">
      <c r="A805" s="35"/>
      <c r="B805" s="35"/>
      <c r="C805" s="35"/>
      <c r="D805" s="35"/>
      <c r="E805" s="35"/>
      <c r="F805" s="122"/>
      <c r="G805" s="123"/>
      <c r="H805" s="122"/>
      <c r="I805" s="122"/>
      <c r="J805" s="122"/>
      <c r="K805" s="122"/>
      <c r="L805" s="124"/>
      <c r="M805" s="124"/>
      <c r="N805" s="124"/>
      <c r="O805" s="122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</row>
    <row r="806" spans="1:27" x14ac:dyDescent="0.25">
      <c r="A806" s="35"/>
      <c r="B806" s="35"/>
      <c r="C806" s="35"/>
      <c r="D806" s="35"/>
      <c r="E806" s="35"/>
      <c r="F806" s="122"/>
      <c r="G806" s="123"/>
      <c r="H806" s="122"/>
      <c r="I806" s="122"/>
      <c r="J806" s="122"/>
      <c r="K806" s="122"/>
      <c r="L806" s="124"/>
      <c r="M806" s="124"/>
      <c r="N806" s="124"/>
      <c r="O806" s="122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</row>
    <row r="807" spans="1:27" x14ac:dyDescent="0.25">
      <c r="A807" s="35"/>
      <c r="B807" s="35"/>
      <c r="C807" s="35"/>
      <c r="D807" s="35"/>
      <c r="E807" s="35"/>
      <c r="F807" s="122"/>
      <c r="G807" s="123"/>
      <c r="H807" s="122"/>
      <c r="I807" s="122"/>
      <c r="J807" s="122"/>
      <c r="K807" s="122"/>
      <c r="L807" s="124"/>
      <c r="M807" s="124"/>
      <c r="N807" s="124"/>
      <c r="O807" s="122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</row>
    <row r="808" spans="1:27" x14ac:dyDescent="0.25">
      <c r="A808" s="35"/>
      <c r="B808" s="35"/>
      <c r="C808" s="35"/>
      <c r="D808" s="35"/>
      <c r="E808" s="35"/>
      <c r="F808" s="122"/>
      <c r="G808" s="123"/>
      <c r="H808" s="122"/>
      <c r="I808" s="122"/>
      <c r="J808" s="122"/>
      <c r="K808" s="122"/>
      <c r="L808" s="124"/>
      <c r="M808" s="124"/>
      <c r="N808" s="124"/>
      <c r="O808" s="122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</row>
    <row r="809" spans="1:27" x14ac:dyDescent="0.25">
      <c r="A809" s="35"/>
      <c r="B809" s="35"/>
      <c r="C809" s="35"/>
      <c r="D809" s="35"/>
      <c r="E809" s="35"/>
      <c r="F809" s="122"/>
      <c r="G809" s="123"/>
      <c r="H809" s="122"/>
      <c r="I809" s="122"/>
      <c r="J809" s="122"/>
      <c r="K809" s="122"/>
      <c r="L809" s="124"/>
      <c r="M809" s="124"/>
      <c r="N809" s="124"/>
      <c r="O809" s="122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</row>
    <row r="810" spans="1:27" x14ac:dyDescent="0.25">
      <c r="A810" s="35"/>
      <c r="B810" s="35"/>
      <c r="C810" s="35"/>
      <c r="D810" s="35"/>
      <c r="E810" s="35"/>
      <c r="F810" s="122"/>
      <c r="G810" s="123"/>
      <c r="H810" s="122"/>
      <c r="I810" s="122"/>
      <c r="J810" s="122"/>
      <c r="K810" s="122"/>
      <c r="L810" s="124"/>
      <c r="M810" s="124"/>
      <c r="N810" s="124"/>
      <c r="O810" s="122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</row>
    <row r="811" spans="1:27" x14ac:dyDescent="0.25">
      <c r="A811" s="35"/>
      <c r="B811" s="35"/>
      <c r="C811" s="35"/>
      <c r="D811" s="35"/>
      <c r="E811" s="35"/>
      <c r="F811" s="122"/>
      <c r="G811" s="123"/>
      <c r="H811" s="122"/>
      <c r="I811" s="122"/>
      <c r="J811" s="122"/>
      <c r="K811" s="122"/>
      <c r="L811" s="124"/>
      <c r="M811" s="124"/>
      <c r="N811" s="124"/>
      <c r="O811" s="122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</row>
    <row r="812" spans="1:27" x14ac:dyDescent="0.25">
      <c r="A812" s="35"/>
      <c r="B812" s="35"/>
      <c r="C812" s="35"/>
      <c r="D812" s="35"/>
      <c r="E812" s="35"/>
      <c r="F812" s="122"/>
      <c r="G812" s="123"/>
      <c r="H812" s="122"/>
      <c r="I812" s="122"/>
      <c r="J812" s="122"/>
      <c r="K812" s="122"/>
      <c r="L812" s="124"/>
      <c r="M812" s="124"/>
      <c r="N812" s="124"/>
      <c r="O812" s="122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</row>
    <row r="813" spans="1:27" x14ac:dyDescent="0.25">
      <c r="A813" s="35"/>
      <c r="B813" s="35"/>
      <c r="C813" s="35"/>
      <c r="D813" s="35"/>
      <c r="E813" s="35"/>
      <c r="F813" s="122"/>
      <c r="G813" s="123"/>
      <c r="H813" s="122"/>
      <c r="I813" s="122"/>
      <c r="J813" s="122"/>
      <c r="K813" s="122"/>
      <c r="L813" s="124"/>
      <c r="M813" s="124"/>
      <c r="N813" s="124"/>
      <c r="O813" s="122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</row>
    <row r="814" spans="1:27" x14ac:dyDescent="0.25">
      <c r="A814" s="35"/>
      <c r="B814" s="35"/>
      <c r="C814" s="35"/>
      <c r="D814" s="35"/>
      <c r="E814" s="35"/>
      <c r="F814" s="122"/>
      <c r="G814" s="123"/>
      <c r="H814" s="122"/>
      <c r="I814" s="122"/>
      <c r="J814" s="122"/>
      <c r="K814" s="122"/>
      <c r="L814" s="124"/>
      <c r="M814" s="124"/>
      <c r="N814" s="124"/>
      <c r="O814" s="122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</row>
    <row r="815" spans="1:27" x14ac:dyDescent="0.25">
      <c r="A815" s="35"/>
      <c r="B815" s="35"/>
      <c r="C815" s="35"/>
      <c r="D815" s="35"/>
      <c r="E815" s="35"/>
      <c r="F815" s="122"/>
      <c r="G815" s="123"/>
      <c r="H815" s="122"/>
      <c r="I815" s="122"/>
      <c r="J815" s="122"/>
      <c r="K815" s="122"/>
      <c r="L815" s="124"/>
      <c r="M815" s="124"/>
      <c r="N815" s="124"/>
      <c r="O815" s="122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</row>
    <row r="816" spans="1:27" x14ac:dyDescent="0.25">
      <c r="A816" s="35"/>
      <c r="B816" s="35"/>
      <c r="C816" s="35"/>
      <c r="D816" s="35"/>
      <c r="E816" s="35"/>
      <c r="F816" s="122"/>
      <c r="G816" s="123"/>
      <c r="H816" s="122"/>
      <c r="I816" s="122"/>
      <c r="J816" s="122"/>
      <c r="K816" s="122"/>
      <c r="L816" s="124"/>
      <c r="M816" s="124"/>
      <c r="N816" s="124"/>
      <c r="O816" s="122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</row>
    <row r="817" spans="1:27" x14ac:dyDescent="0.25">
      <c r="A817" s="35"/>
      <c r="B817" s="35"/>
      <c r="C817" s="35"/>
      <c r="D817" s="35"/>
      <c r="E817" s="35"/>
      <c r="F817" s="122"/>
      <c r="G817" s="123"/>
      <c r="H817" s="122"/>
      <c r="I817" s="122"/>
      <c r="J817" s="122"/>
      <c r="K817" s="122"/>
      <c r="L817" s="124"/>
      <c r="M817" s="124"/>
      <c r="N817" s="124"/>
      <c r="O817" s="122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</row>
    <row r="818" spans="1:27" x14ac:dyDescent="0.25">
      <c r="A818" s="35"/>
      <c r="B818" s="35"/>
      <c r="C818" s="35"/>
      <c r="D818" s="35"/>
      <c r="E818" s="35"/>
      <c r="F818" s="122"/>
      <c r="G818" s="123"/>
      <c r="H818" s="122"/>
      <c r="I818" s="122"/>
      <c r="J818" s="122"/>
      <c r="K818" s="122"/>
      <c r="L818" s="124"/>
      <c r="M818" s="124"/>
      <c r="N818" s="124"/>
      <c r="O818" s="122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</row>
    <row r="819" spans="1:27" x14ac:dyDescent="0.25">
      <c r="A819" s="35"/>
      <c r="B819" s="35"/>
      <c r="C819" s="35"/>
      <c r="D819" s="35"/>
      <c r="E819" s="35"/>
      <c r="F819" s="122"/>
      <c r="G819" s="123"/>
      <c r="H819" s="122"/>
      <c r="I819" s="122"/>
      <c r="J819" s="122"/>
      <c r="K819" s="122"/>
      <c r="L819" s="124"/>
      <c r="M819" s="124"/>
      <c r="N819" s="124"/>
      <c r="O819" s="122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</row>
    <row r="820" spans="1:27" x14ac:dyDescent="0.25">
      <c r="A820" s="35"/>
      <c r="B820" s="35"/>
      <c r="C820" s="35"/>
      <c r="D820" s="35"/>
      <c r="E820" s="35"/>
      <c r="F820" s="122"/>
      <c r="G820" s="123"/>
      <c r="H820" s="122"/>
      <c r="I820" s="122"/>
      <c r="J820" s="122"/>
      <c r="K820" s="122"/>
      <c r="L820" s="124"/>
      <c r="M820" s="124"/>
      <c r="N820" s="124"/>
      <c r="O820" s="122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</row>
    <row r="821" spans="1:27" x14ac:dyDescent="0.25">
      <c r="A821" s="35"/>
      <c r="B821" s="35"/>
      <c r="C821" s="35"/>
      <c r="D821" s="35"/>
      <c r="E821" s="35"/>
      <c r="F821" s="122"/>
      <c r="G821" s="123"/>
      <c r="H821" s="122"/>
      <c r="I821" s="122"/>
      <c r="J821" s="122"/>
      <c r="K821" s="122"/>
      <c r="L821" s="124"/>
      <c r="M821" s="124"/>
      <c r="N821" s="124"/>
      <c r="O821" s="122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</row>
    <row r="822" spans="1:27" x14ac:dyDescent="0.25">
      <c r="A822" s="35"/>
      <c r="B822" s="35"/>
      <c r="C822" s="35"/>
      <c r="D822" s="35"/>
      <c r="E822" s="35"/>
      <c r="F822" s="122"/>
      <c r="G822" s="123"/>
      <c r="H822" s="122"/>
      <c r="I822" s="122"/>
      <c r="J822" s="122"/>
      <c r="K822" s="122"/>
      <c r="L822" s="124"/>
      <c r="M822" s="124"/>
      <c r="N822" s="124"/>
      <c r="O822" s="122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</row>
    <row r="823" spans="1:27" x14ac:dyDescent="0.25">
      <c r="A823" s="35"/>
      <c r="B823" s="35"/>
      <c r="C823" s="35"/>
      <c r="D823" s="35"/>
      <c r="E823" s="35"/>
      <c r="F823" s="122"/>
      <c r="G823" s="123"/>
      <c r="H823" s="122"/>
      <c r="I823" s="122"/>
      <c r="J823" s="122"/>
      <c r="K823" s="122"/>
      <c r="L823" s="124"/>
      <c r="M823" s="124"/>
      <c r="N823" s="124"/>
      <c r="O823" s="122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</row>
    <row r="824" spans="1:27" x14ac:dyDescent="0.25">
      <c r="A824" s="35"/>
      <c r="B824" s="35"/>
      <c r="C824" s="35"/>
      <c r="D824" s="35"/>
      <c r="E824" s="35"/>
      <c r="F824" s="122"/>
      <c r="G824" s="123"/>
      <c r="H824" s="122"/>
      <c r="I824" s="122"/>
      <c r="J824" s="122"/>
      <c r="K824" s="122"/>
      <c r="L824" s="124"/>
      <c r="M824" s="124"/>
      <c r="N824" s="124"/>
      <c r="O824" s="122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</row>
    <row r="825" spans="1:27" x14ac:dyDescent="0.25">
      <c r="A825" s="35"/>
      <c r="B825" s="35"/>
      <c r="C825" s="35"/>
      <c r="D825" s="35"/>
      <c r="E825" s="35"/>
      <c r="F825" s="122"/>
      <c r="G825" s="123"/>
      <c r="H825" s="122"/>
      <c r="I825" s="122"/>
      <c r="J825" s="122"/>
      <c r="K825" s="122"/>
      <c r="L825" s="124"/>
      <c r="M825" s="124"/>
      <c r="N825" s="124"/>
      <c r="O825" s="122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</row>
    <row r="826" spans="1:27" x14ac:dyDescent="0.25">
      <c r="A826" s="35"/>
      <c r="B826" s="35"/>
      <c r="C826" s="35"/>
      <c r="D826" s="35"/>
      <c r="E826" s="35"/>
      <c r="F826" s="122"/>
      <c r="G826" s="123"/>
      <c r="H826" s="122"/>
      <c r="I826" s="122"/>
      <c r="J826" s="122"/>
      <c r="K826" s="122"/>
      <c r="L826" s="124"/>
      <c r="M826" s="124"/>
      <c r="N826" s="124"/>
      <c r="O826" s="122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</row>
    <row r="827" spans="1:27" x14ac:dyDescent="0.25">
      <c r="A827" s="35"/>
      <c r="B827" s="35"/>
      <c r="C827" s="35"/>
      <c r="D827" s="35"/>
      <c r="E827" s="35"/>
      <c r="F827" s="122"/>
      <c r="G827" s="123"/>
      <c r="H827" s="122"/>
      <c r="I827" s="122"/>
      <c r="J827" s="122"/>
      <c r="K827" s="122"/>
      <c r="L827" s="124"/>
      <c r="M827" s="124"/>
      <c r="N827" s="124"/>
      <c r="O827" s="122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</row>
    <row r="828" spans="1:27" x14ac:dyDescent="0.25">
      <c r="A828" s="35"/>
      <c r="B828" s="35"/>
      <c r="C828" s="35"/>
      <c r="D828" s="35"/>
      <c r="E828" s="35"/>
      <c r="F828" s="122"/>
      <c r="G828" s="123"/>
      <c r="H828" s="122"/>
      <c r="I828" s="122"/>
      <c r="J828" s="122"/>
      <c r="K828" s="122"/>
      <c r="L828" s="124"/>
      <c r="M828" s="124"/>
      <c r="N828" s="124"/>
      <c r="O828" s="122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</row>
    <row r="829" spans="1:27" x14ac:dyDescent="0.25">
      <c r="A829" s="35"/>
      <c r="B829" s="35"/>
      <c r="C829" s="35"/>
      <c r="D829" s="35"/>
      <c r="E829" s="35"/>
      <c r="F829" s="122"/>
      <c r="G829" s="123"/>
      <c r="H829" s="122"/>
      <c r="I829" s="122"/>
      <c r="J829" s="122"/>
      <c r="K829" s="122"/>
      <c r="L829" s="124"/>
      <c r="M829" s="124"/>
      <c r="N829" s="124"/>
      <c r="O829" s="122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</row>
    <row r="830" spans="1:27" x14ac:dyDescent="0.25">
      <c r="A830" s="35"/>
      <c r="B830" s="35"/>
      <c r="C830" s="35"/>
      <c r="D830" s="35"/>
      <c r="E830" s="35"/>
      <c r="F830" s="122"/>
      <c r="G830" s="123"/>
      <c r="H830" s="122"/>
      <c r="I830" s="122"/>
      <c r="J830" s="122"/>
      <c r="K830" s="122"/>
      <c r="L830" s="124"/>
      <c r="M830" s="124"/>
      <c r="N830" s="124"/>
      <c r="O830" s="122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</row>
    <row r="831" spans="1:27" x14ac:dyDescent="0.25">
      <c r="A831" s="35"/>
      <c r="B831" s="35"/>
      <c r="C831" s="35"/>
      <c r="D831" s="35"/>
      <c r="E831" s="35"/>
      <c r="F831" s="122"/>
      <c r="G831" s="123"/>
      <c r="H831" s="122"/>
      <c r="I831" s="122"/>
      <c r="J831" s="122"/>
      <c r="K831" s="122"/>
      <c r="L831" s="124"/>
      <c r="M831" s="124"/>
      <c r="N831" s="124"/>
      <c r="O831" s="122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</row>
    <row r="832" spans="1:27" x14ac:dyDescent="0.25">
      <c r="A832" s="35"/>
      <c r="B832" s="35"/>
      <c r="C832" s="35"/>
      <c r="D832" s="35"/>
      <c r="E832" s="35"/>
      <c r="F832" s="122"/>
      <c r="G832" s="123"/>
      <c r="H832" s="122"/>
      <c r="I832" s="122"/>
      <c r="J832" s="122"/>
      <c r="K832" s="122"/>
      <c r="L832" s="124"/>
      <c r="M832" s="124"/>
      <c r="N832" s="124"/>
      <c r="O832" s="122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</row>
    <row r="833" spans="1:27" x14ac:dyDescent="0.25">
      <c r="A833" s="35"/>
      <c r="B833" s="35"/>
      <c r="C833" s="35"/>
      <c r="D833" s="35"/>
      <c r="E833" s="35"/>
      <c r="F833" s="122"/>
      <c r="G833" s="123"/>
      <c r="H833" s="122"/>
      <c r="I833" s="122"/>
      <c r="J833" s="122"/>
      <c r="K833" s="122"/>
      <c r="L833" s="124"/>
      <c r="M833" s="124"/>
      <c r="N833" s="124"/>
      <c r="O833" s="122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</row>
    <row r="834" spans="1:27" x14ac:dyDescent="0.25">
      <c r="A834" s="35"/>
      <c r="B834" s="35"/>
      <c r="C834" s="35"/>
      <c r="D834" s="35"/>
      <c r="E834" s="35"/>
      <c r="F834" s="122"/>
      <c r="G834" s="123"/>
      <c r="H834" s="122"/>
      <c r="I834" s="122"/>
      <c r="J834" s="122"/>
      <c r="K834" s="122"/>
      <c r="L834" s="124"/>
      <c r="M834" s="124"/>
      <c r="N834" s="124"/>
      <c r="O834" s="122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</row>
    <row r="835" spans="1:27" x14ac:dyDescent="0.25">
      <c r="A835" s="35"/>
      <c r="B835" s="35"/>
      <c r="C835" s="35"/>
      <c r="D835" s="35"/>
      <c r="E835" s="35"/>
      <c r="F835" s="122"/>
      <c r="G835" s="123"/>
      <c r="H835" s="122"/>
      <c r="I835" s="122"/>
      <c r="J835" s="122"/>
      <c r="K835" s="122"/>
      <c r="L835" s="124"/>
      <c r="M835" s="124"/>
      <c r="N835" s="124"/>
      <c r="O835" s="122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</row>
    <row r="836" spans="1:27" x14ac:dyDescent="0.25">
      <c r="A836" s="35"/>
      <c r="B836" s="35"/>
      <c r="C836" s="35"/>
      <c r="D836" s="35"/>
      <c r="E836" s="35"/>
      <c r="F836" s="122"/>
      <c r="G836" s="123"/>
      <c r="H836" s="122"/>
      <c r="I836" s="122"/>
      <c r="J836" s="122"/>
      <c r="K836" s="122"/>
      <c r="L836" s="124"/>
      <c r="M836" s="124"/>
      <c r="N836" s="124"/>
      <c r="O836" s="122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</row>
    <row r="837" spans="1:27" x14ac:dyDescent="0.25">
      <c r="A837" s="35"/>
      <c r="B837" s="35"/>
      <c r="C837" s="35"/>
      <c r="D837" s="35"/>
      <c r="E837" s="35"/>
      <c r="F837" s="122"/>
      <c r="G837" s="123"/>
      <c r="H837" s="122"/>
      <c r="I837" s="122"/>
      <c r="J837" s="122"/>
      <c r="K837" s="122"/>
      <c r="L837" s="124"/>
      <c r="M837" s="124"/>
      <c r="N837" s="124"/>
      <c r="O837" s="122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</row>
    <row r="838" spans="1:27" x14ac:dyDescent="0.25">
      <c r="A838" s="35"/>
      <c r="B838" s="35"/>
      <c r="C838" s="35"/>
      <c r="D838" s="35"/>
      <c r="E838" s="35"/>
      <c r="F838" s="122"/>
      <c r="G838" s="123"/>
      <c r="H838" s="122"/>
      <c r="I838" s="122"/>
      <c r="J838" s="122"/>
      <c r="K838" s="122"/>
      <c r="L838" s="124"/>
      <c r="M838" s="124"/>
      <c r="N838" s="124"/>
      <c r="O838" s="122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</row>
    <row r="839" spans="1:27" x14ac:dyDescent="0.25">
      <c r="A839" s="35"/>
      <c r="B839" s="35"/>
      <c r="C839" s="35"/>
      <c r="D839" s="35"/>
      <c r="E839" s="35"/>
      <c r="F839" s="122"/>
      <c r="G839" s="123"/>
      <c r="H839" s="122"/>
      <c r="I839" s="122"/>
      <c r="J839" s="122"/>
      <c r="K839" s="122"/>
      <c r="L839" s="124"/>
      <c r="M839" s="124"/>
      <c r="N839" s="124"/>
      <c r="O839" s="122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</row>
    <row r="840" spans="1:27" x14ac:dyDescent="0.25">
      <c r="A840" s="35"/>
      <c r="B840" s="35"/>
      <c r="C840" s="35"/>
      <c r="D840" s="35"/>
      <c r="E840" s="35"/>
      <c r="F840" s="122"/>
      <c r="G840" s="123"/>
      <c r="H840" s="122"/>
      <c r="I840" s="122"/>
      <c r="J840" s="122"/>
      <c r="K840" s="122"/>
      <c r="L840" s="124"/>
      <c r="M840" s="124"/>
      <c r="N840" s="124"/>
      <c r="O840" s="122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</row>
    <row r="841" spans="1:27" x14ac:dyDescent="0.25">
      <c r="A841" s="35"/>
      <c r="B841" s="35"/>
      <c r="C841" s="35"/>
      <c r="D841" s="35"/>
      <c r="E841" s="35"/>
      <c r="F841" s="122"/>
      <c r="G841" s="123"/>
      <c r="H841" s="122"/>
      <c r="I841" s="122"/>
      <c r="J841" s="122"/>
      <c r="K841" s="122"/>
      <c r="L841" s="124"/>
      <c r="M841" s="124"/>
      <c r="N841" s="124"/>
      <c r="O841" s="122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</row>
    <row r="842" spans="1:27" x14ac:dyDescent="0.25">
      <c r="A842" s="35"/>
      <c r="B842" s="35"/>
      <c r="C842" s="35"/>
      <c r="D842" s="35"/>
      <c r="E842" s="35"/>
      <c r="F842" s="122"/>
      <c r="G842" s="123"/>
      <c r="H842" s="122"/>
      <c r="I842" s="122"/>
      <c r="J842" s="122"/>
      <c r="K842" s="122"/>
      <c r="L842" s="124"/>
      <c r="M842" s="124"/>
      <c r="N842" s="124"/>
      <c r="O842" s="122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</row>
    <row r="843" spans="1:27" x14ac:dyDescent="0.25">
      <c r="A843" s="35"/>
      <c r="B843" s="35"/>
      <c r="C843" s="35"/>
      <c r="D843" s="35"/>
      <c r="E843" s="35"/>
      <c r="F843" s="122"/>
      <c r="G843" s="123"/>
      <c r="H843" s="122"/>
      <c r="I843" s="122"/>
      <c r="J843" s="122"/>
      <c r="K843" s="122"/>
      <c r="L843" s="124"/>
      <c r="M843" s="124"/>
      <c r="N843" s="124"/>
      <c r="O843" s="122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</row>
    <row r="844" spans="1:27" x14ac:dyDescent="0.25">
      <c r="A844" s="35"/>
      <c r="B844" s="35"/>
      <c r="C844" s="35"/>
      <c r="D844" s="35"/>
      <c r="E844" s="35"/>
      <c r="F844" s="122"/>
      <c r="G844" s="123"/>
      <c r="H844" s="122"/>
      <c r="I844" s="122"/>
      <c r="J844" s="122"/>
      <c r="K844" s="122"/>
      <c r="L844" s="124"/>
      <c r="M844" s="124"/>
      <c r="N844" s="124"/>
      <c r="O844" s="122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</row>
    <row r="845" spans="1:27" x14ac:dyDescent="0.25">
      <c r="A845" s="35"/>
      <c r="B845" s="35"/>
      <c r="C845" s="35"/>
      <c r="D845" s="35"/>
      <c r="E845" s="35"/>
      <c r="F845" s="122"/>
      <c r="G845" s="123"/>
      <c r="H845" s="122"/>
      <c r="I845" s="122"/>
      <c r="J845" s="122"/>
      <c r="K845" s="122"/>
      <c r="L845" s="124"/>
      <c r="M845" s="124"/>
      <c r="N845" s="124"/>
      <c r="O845" s="122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</row>
    <row r="846" spans="1:27" x14ac:dyDescent="0.25">
      <c r="A846" s="35"/>
      <c r="B846" s="35"/>
      <c r="C846" s="35"/>
      <c r="D846" s="35"/>
      <c r="E846" s="35"/>
      <c r="F846" s="122"/>
      <c r="G846" s="123"/>
      <c r="H846" s="122"/>
      <c r="I846" s="122"/>
      <c r="J846" s="122"/>
      <c r="K846" s="122"/>
      <c r="L846" s="124"/>
      <c r="M846" s="124"/>
      <c r="N846" s="124"/>
      <c r="O846" s="122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</row>
    <row r="847" spans="1:27" x14ac:dyDescent="0.25">
      <c r="A847" s="35"/>
      <c r="B847" s="35"/>
      <c r="C847" s="35"/>
      <c r="D847" s="35"/>
      <c r="E847" s="35"/>
      <c r="F847" s="122"/>
      <c r="G847" s="123"/>
      <c r="H847" s="122"/>
      <c r="I847" s="122"/>
      <c r="J847" s="122"/>
      <c r="K847" s="122"/>
      <c r="L847" s="124"/>
      <c r="M847" s="124"/>
      <c r="N847" s="124"/>
      <c r="O847" s="122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</row>
    <row r="848" spans="1:27" x14ac:dyDescent="0.25">
      <c r="A848" s="35"/>
      <c r="B848" s="35"/>
      <c r="C848" s="35"/>
      <c r="D848" s="35"/>
      <c r="E848" s="35"/>
      <c r="F848" s="122"/>
      <c r="G848" s="123"/>
      <c r="H848" s="122"/>
      <c r="I848" s="122"/>
      <c r="J848" s="122"/>
      <c r="K848" s="122"/>
      <c r="L848" s="124"/>
      <c r="M848" s="124"/>
      <c r="N848" s="124"/>
      <c r="O848" s="122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</row>
    <row r="849" spans="1:27" x14ac:dyDescent="0.25">
      <c r="A849" s="35"/>
      <c r="B849" s="35"/>
      <c r="C849" s="35"/>
      <c r="D849" s="35"/>
      <c r="E849" s="35"/>
      <c r="F849" s="122"/>
      <c r="G849" s="123"/>
      <c r="H849" s="122"/>
      <c r="I849" s="122"/>
      <c r="J849" s="122"/>
      <c r="K849" s="122"/>
      <c r="L849" s="124"/>
      <c r="M849" s="124"/>
      <c r="N849" s="124"/>
      <c r="O849" s="122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</row>
    <row r="850" spans="1:27" x14ac:dyDescent="0.25">
      <c r="A850" s="35"/>
      <c r="B850" s="35"/>
      <c r="C850" s="35"/>
      <c r="D850" s="35"/>
      <c r="E850" s="35"/>
      <c r="F850" s="122"/>
      <c r="G850" s="123"/>
      <c r="H850" s="122"/>
      <c r="I850" s="122"/>
      <c r="J850" s="122"/>
      <c r="K850" s="122"/>
      <c r="L850" s="124"/>
      <c r="M850" s="124"/>
      <c r="N850" s="124"/>
      <c r="O850" s="122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</row>
    <row r="851" spans="1:27" x14ac:dyDescent="0.25">
      <c r="A851" s="35"/>
      <c r="B851" s="35"/>
      <c r="C851" s="35"/>
      <c r="D851" s="35"/>
      <c r="E851" s="35"/>
      <c r="F851" s="122"/>
      <c r="G851" s="123"/>
      <c r="H851" s="122"/>
      <c r="I851" s="122"/>
      <c r="J851" s="122"/>
      <c r="K851" s="122"/>
      <c r="L851" s="124"/>
      <c r="M851" s="124"/>
      <c r="N851" s="124"/>
      <c r="O851" s="122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</row>
    <row r="852" spans="1:27" x14ac:dyDescent="0.25">
      <c r="A852" s="35"/>
      <c r="B852" s="35"/>
      <c r="C852" s="35"/>
      <c r="D852" s="35"/>
      <c r="E852" s="35"/>
      <c r="F852" s="122"/>
      <c r="G852" s="123"/>
      <c r="H852" s="122"/>
      <c r="I852" s="122"/>
      <c r="J852" s="122"/>
      <c r="K852" s="122"/>
      <c r="L852" s="124"/>
      <c r="M852" s="124"/>
      <c r="N852" s="124"/>
      <c r="O852" s="122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</row>
    <row r="853" spans="1:27" x14ac:dyDescent="0.25">
      <c r="A853" s="35"/>
      <c r="B853" s="35"/>
      <c r="C853" s="35"/>
      <c r="D853" s="35"/>
      <c r="E853" s="35"/>
      <c r="F853" s="122"/>
      <c r="G853" s="123"/>
      <c r="H853" s="122"/>
      <c r="I853" s="122"/>
      <c r="J853" s="122"/>
      <c r="K853" s="122"/>
      <c r="L853" s="124"/>
      <c r="M853" s="124"/>
      <c r="N853" s="124"/>
      <c r="O853" s="122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</row>
    <row r="854" spans="1:27" x14ac:dyDescent="0.25">
      <c r="A854" s="35"/>
      <c r="B854" s="35"/>
      <c r="C854" s="35"/>
      <c r="D854" s="35"/>
      <c r="E854" s="35"/>
      <c r="F854" s="122"/>
      <c r="G854" s="123"/>
      <c r="H854" s="122"/>
      <c r="I854" s="122"/>
      <c r="J854" s="122"/>
      <c r="K854" s="122"/>
      <c r="L854" s="124"/>
      <c r="M854" s="124"/>
      <c r="N854" s="124"/>
      <c r="O854" s="122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</row>
    <row r="855" spans="1:27" x14ac:dyDescent="0.25">
      <c r="A855" s="35"/>
      <c r="B855" s="35"/>
      <c r="C855" s="35"/>
      <c r="D855" s="35"/>
      <c r="E855" s="35"/>
      <c r="F855" s="122"/>
      <c r="G855" s="123"/>
      <c r="H855" s="122"/>
      <c r="I855" s="122"/>
      <c r="J855" s="122"/>
      <c r="K855" s="122"/>
      <c r="L855" s="124"/>
      <c r="M855" s="124"/>
      <c r="N855" s="124"/>
      <c r="O855" s="122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</row>
    <row r="856" spans="1:27" x14ac:dyDescent="0.25">
      <c r="A856" s="35"/>
      <c r="B856" s="35"/>
      <c r="C856" s="35"/>
      <c r="D856" s="35"/>
      <c r="E856" s="35"/>
      <c r="F856" s="122"/>
      <c r="G856" s="123"/>
      <c r="H856" s="122"/>
      <c r="I856" s="122"/>
      <c r="J856" s="122"/>
      <c r="K856" s="122"/>
      <c r="L856" s="124"/>
      <c r="M856" s="124"/>
      <c r="N856" s="124"/>
      <c r="O856" s="122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</row>
    <row r="857" spans="1:27" x14ac:dyDescent="0.25">
      <c r="A857" s="35"/>
      <c r="B857" s="35"/>
      <c r="C857" s="35"/>
      <c r="D857" s="35"/>
      <c r="E857" s="35"/>
      <c r="F857" s="122"/>
      <c r="G857" s="123"/>
      <c r="H857" s="122"/>
      <c r="I857" s="122"/>
      <c r="J857" s="122"/>
      <c r="K857" s="122"/>
      <c r="L857" s="124"/>
      <c r="M857" s="124"/>
      <c r="N857" s="124"/>
      <c r="O857" s="122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</row>
    <row r="858" spans="1:27" x14ac:dyDescent="0.25">
      <c r="A858" s="35"/>
      <c r="B858" s="35"/>
      <c r="C858" s="35"/>
      <c r="D858" s="35"/>
      <c r="E858" s="35"/>
      <c r="F858" s="122"/>
      <c r="G858" s="123"/>
      <c r="H858" s="122"/>
      <c r="I858" s="122"/>
      <c r="J858" s="122"/>
      <c r="K858" s="122"/>
      <c r="L858" s="124"/>
      <c r="M858" s="124"/>
      <c r="N858" s="124"/>
      <c r="O858" s="122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</row>
    <row r="859" spans="1:27" x14ac:dyDescent="0.25">
      <c r="A859" s="35"/>
      <c r="B859" s="35"/>
      <c r="C859" s="35"/>
      <c r="D859" s="35"/>
      <c r="E859" s="35"/>
      <c r="F859" s="122"/>
      <c r="G859" s="123"/>
      <c r="H859" s="122"/>
      <c r="I859" s="122"/>
      <c r="J859" s="122"/>
      <c r="K859" s="122"/>
      <c r="L859" s="124"/>
      <c r="M859" s="124"/>
      <c r="N859" s="124"/>
      <c r="O859" s="122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</row>
    <row r="860" spans="1:27" x14ac:dyDescent="0.25">
      <c r="A860" s="35"/>
      <c r="B860" s="35"/>
      <c r="C860" s="35"/>
      <c r="D860" s="35"/>
      <c r="E860" s="35"/>
      <c r="F860" s="122"/>
      <c r="G860" s="123"/>
      <c r="H860" s="122"/>
      <c r="I860" s="122"/>
      <c r="J860" s="122"/>
      <c r="K860" s="122"/>
      <c r="L860" s="124"/>
      <c r="M860" s="124"/>
      <c r="N860" s="124"/>
      <c r="O860" s="122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</row>
    <row r="861" spans="1:27" x14ac:dyDescent="0.25">
      <c r="A861" s="35"/>
      <c r="B861" s="35"/>
      <c r="C861" s="35"/>
      <c r="D861" s="35"/>
      <c r="E861" s="35"/>
      <c r="F861" s="122"/>
      <c r="G861" s="123"/>
      <c r="H861" s="122"/>
      <c r="I861" s="122"/>
      <c r="J861" s="122"/>
      <c r="K861" s="122"/>
      <c r="L861" s="124"/>
      <c r="M861" s="124"/>
      <c r="N861" s="124"/>
      <c r="O861" s="122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</row>
    <row r="862" spans="1:27" x14ac:dyDescent="0.25">
      <c r="A862" s="35"/>
      <c r="B862" s="35"/>
      <c r="C862" s="35"/>
      <c r="D862" s="35"/>
      <c r="E862" s="35"/>
      <c r="F862" s="122"/>
      <c r="G862" s="123"/>
      <c r="H862" s="122"/>
      <c r="I862" s="122"/>
      <c r="J862" s="122"/>
      <c r="K862" s="122"/>
      <c r="L862" s="124"/>
      <c r="M862" s="124"/>
      <c r="N862" s="124"/>
      <c r="O862" s="122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</row>
    <row r="863" spans="1:27" x14ac:dyDescent="0.25">
      <c r="A863" s="35"/>
      <c r="B863" s="35"/>
      <c r="C863" s="35"/>
      <c r="D863" s="35"/>
      <c r="E863" s="35"/>
      <c r="F863" s="122"/>
      <c r="G863" s="123"/>
      <c r="H863" s="122"/>
      <c r="I863" s="122"/>
      <c r="J863" s="122"/>
      <c r="K863" s="122"/>
      <c r="L863" s="124"/>
      <c r="M863" s="124"/>
      <c r="N863" s="124"/>
      <c r="O863" s="122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</row>
    <row r="864" spans="1:27" x14ac:dyDescent="0.25">
      <c r="A864" s="35"/>
      <c r="B864" s="35"/>
      <c r="C864" s="35"/>
      <c r="D864" s="35"/>
      <c r="E864" s="35"/>
      <c r="F864" s="122"/>
      <c r="G864" s="123"/>
      <c r="H864" s="122"/>
      <c r="I864" s="122"/>
      <c r="J864" s="122"/>
      <c r="K864" s="122"/>
      <c r="L864" s="124"/>
      <c r="M864" s="124"/>
      <c r="N864" s="124"/>
      <c r="O864" s="122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</row>
    <row r="865" spans="1:27" x14ac:dyDescent="0.25">
      <c r="A865" s="35"/>
      <c r="B865" s="35"/>
      <c r="C865" s="35"/>
      <c r="D865" s="35"/>
      <c r="E865" s="35"/>
      <c r="F865" s="122"/>
      <c r="G865" s="123"/>
      <c r="H865" s="122"/>
      <c r="I865" s="122"/>
      <c r="J865" s="122"/>
      <c r="K865" s="122"/>
      <c r="L865" s="124"/>
      <c r="M865" s="124"/>
      <c r="N865" s="124"/>
      <c r="O865" s="122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</row>
    <row r="866" spans="1:27" x14ac:dyDescent="0.25">
      <c r="A866" s="35"/>
      <c r="B866" s="35"/>
      <c r="C866" s="35"/>
      <c r="D866" s="35"/>
      <c r="E866" s="35"/>
      <c r="F866" s="122"/>
      <c r="G866" s="123"/>
      <c r="H866" s="122"/>
      <c r="I866" s="122"/>
      <c r="J866" s="122"/>
      <c r="K866" s="122"/>
      <c r="L866" s="124"/>
      <c r="M866" s="124"/>
      <c r="N866" s="124"/>
      <c r="O866" s="122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</row>
    <row r="867" spans="1:27" x14ac:dyDescent="0.25">
      <c r="A867" s="35"/>
      <c r="B867" s="35"/>
      <c r="C867" s="35"/>
      <c r="D867" s="35"/>
      <c r="E867" s="35"/>
      <c r="F867" s="122"/>
      <c r="G867" s="123"/>
      <c r="H867" s="122"/>
      <c r="I867" s="122"/>
      <c r="J867" s="122"/>
      <c r="K867" s="122"/>
      <c r="L867" s="124"/>
      <c r="M867" s="124"/>
      <c r="N867" s="124"/>
      <c r="O867" s="122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</row>
    <row r="868" spans="1:27" x14ac:dyDescent="0.25">
      <c r="A868" s="35"/>
      <c r="B868" s="35"/>
      <c r="C868" s="35"/>
      <c r="D868" s="35"/>
      <c r="E868" s="35"/>
      <c r="F868" s="122"/>
      <c r="G868" s="123"/>
      <c r="H868" s="122"/>
      <c r="I868" s="122"/>
      <c r="J868" s="122"/>
      <c r="K868" s="122"/>
      <c r="L868" s="124"/>
      <c r="M868" s="124"/>
      <c r="N868" s="124"/>
      <c r="O868" s="122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</row>
    <row r="869" spans="1:27" x14ac:dyDescent="0.25">
      <c r="A869" s="35"/>
      <c r="B869" s="35"/>
      <c r="C869" s="35"/>
      <c r="D869" s="35"/>
      <c r="E869" s="35"/>
      <c r="F869" s="122"/>
      <c r="G869" s="123"/>
      <c r="H869" s="122"/>
      <c r="I869" s="122"/>
      <c r="J869" s="122"/>
      <c r="K869" s="122"/>
      <c r="L869" s="124"/>
      <c r="M869" s="124"/>
      <c r="N869" s="124"/>
      <c r="O869" s="122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</row>
    <row r="870" spans="1:27" x14ac:dyDescent="0.25">
      <c r="A870" s="35"/>
      <c r="B870" s="35"/>
      <c r="C870" s="35"/>
      <c r="D870" s="35"/>
      <c r="E870" s="35"/>
      <c r="F870" s="122"/>
      <c r="G870" s="123"/>
      <c r="H870" s="122"/>
      <c r="I870" s="122"/>
      <c r="J870" s="122"/>
      <c r="K870" s="122"/>
      <c r="L870" s="124"/>
      <c r="M870" s="124"/>
      <c r="N870" s="124"/>
      <c r="O870" s="122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</row>
    <row r="871" spans="1:27" x14ac:dyDescent="0.25">
      <c r="A871" s="35"/>
      <c r="B871" s="35"/>
      <c r="C871" s="35"/>
      <c r="D871" s="35"/>
      <c r="E871" s="35"/>
      <c r="F871" s="122"/>
      <c r="G871" s="123"/>
      <c r="H871" s="122"/>
      <c r="I871" s="122"/>
      <c r="J871" s="122"/>
      <c r="K871" s="122"/>
      <c r="L871" s="124"/>
      <c r="M871" s="124"/>
      <c r="N871" s="124"/>
      <c r="O871" s="122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</row>
    <row r="872" spans="1:27" x14ac:dyDescent="0.25">
      <c r="A872" s="35"/>
      <c r="B872" s="35"/>
      <c r="C872" s="35"/>
      <c r="D872" s="35"/>
      <c r="E872" s="35"/>
      <c r="F872" s="122"/>
      <c r="G872" s="123"/>
      <c r="H872" s="122"/>
      <c r="I872" s="122"/>
      <c r="J872" s="122"/>
      <c r="K872" s="122"/>
      <c r="L872" s="124"/>
      <c r="M872" s="124"/>
      <c r="N872" s="124"/>
      <c r="O872" s="122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</row>
    <row r="873" spans="1:27" x14ac:dyDescent="0.25">
      <c r="A873" s="35"/>
      <c r="B873" s="35"/>
      <c r="C873" s="35"/>
      <c r="D873" s="35"/>
      <c r="E873" s="35"/>
      <c r="F873" s="122"/>
      <c r="G873" s="123"/>
      <c r="H873" s="122"/>
      <c r="I873" s="122"/>
      <c r="J873" s="122"/>
      <c r="K873" s="122"/>
      <c r="L873" s="124"/>
      <c r="M873" s="124"/>
      <c r="N873" s="124"/>
      <c r="O873" s="122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</row>
    <row r="874" spans="1:27" x14ac:dyDescent="0.25">
      <c r="A874" s="35"/>
      <c r="B874" s="35"/>
      <c r="C874" s="35"/>
      <c r="D874" s="35"/>
      <c r="E874" s="35"/>
      <c r="F874" s="122"/>
      <c r="G874" s="123"/>
      <c r="H874" s="122"/>
      <c r="I874" s="122"/>
      <c r="J874" s="122"/>
      <c r="K874" s="122"/>
      <c r="L874" s="124"/>
      <c r="M874" s="124"/>
      <c r="N874" s="124"/>
      <c r="O874" s="122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</row>
    <row r="875" spans="1:27" x14ac:dyDescent="0.25">
      <c r="A875" s="35"/>
      <c r="B875" s="35"/>
      <c r="C875" s="35"/>
      <c r="D875" s="35"/>
      <c r="E875" s="35"/>
      <c r="F875" s="122"/>
      <c r="G875" s="123"/>
      <c r="H875" s="122"/>
      <c r="I875" s="122"/>
      <c r="J875" s="122"/>
      <c r="K875" s="122"/>
      <c r="L875" s="124"/>
      <c r="M875" s="124"/>
      <c r="N875" s="124"/>
      <c r="O875" s="122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</row>
    <row r="876" spans="1:27" x14ac:dyDescent="0.25">
      <c r="A876" s="35"/>
      <c r="B876" s="35"/>
      <c r="C876" s="35"/>
      <c r="D876" s="35"/>
      <c r="E876" s="35"/>
      <c r="F876" s="122"/>
      <c r="G876" s="123"/>
      <c r="H876" s="122"/>
      <c r="I876" s="122"/>
      <c r="J876" s="122"/>
      <c r="K876" s="122"/>
      <c r="L876" s="124"/>
      <c r="M876" s="124"/>
      <c r="N876" s="124"/>
      <c r="O876" s="122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</row>
    <row r="877" spans="1:27" x14ac:dyDescent="0.25">
      <c r="A877" s="35"/>
      <c r="B877" s="35"/>
      <c r="C877" s="35"/>
      <c r="D877" s="35"/>
      <c r="E877" s="35"/>
      <c r="F877" s="122"/>
      <c r="G877" s="123"/>
      <c r="H877" s="122"/>
      <c r="I877" s="122"/>
      <c r="J877" s="122"/>
      <c r="K877" s="122"/>
      <c r="L877" s="124"/>
      <c r="M877" s="124"/>
      <c r="N877" s="124"/>
      <c r="O877" s="122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</row>
    <row r="878" spans="1:27" x14ac:dyDescent="0.25">
      <c r="A878" s="35"/>
      <c r="B878" s="35"/>
      <c r="C878" s="35"/>
      <c r="D878" s="35"/>
      <c r="E878" s="35"/>
      <c r="F878" s="122"/>
      <c r="G878" s="123"/>
      <c r="H878" s="122"/>
      <c r="I878" s="122"/>
      <c r="J878" s="122"/>
      <c r="K878" s="122"/>
      <c r="L878" s="124"/>
      <c r="M878" s="124"/>
      <c r="N878" s="124"/>
      <c r="O878" s="122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</row>
    <row r="879" spans="1:27" x14ac:dyDescent="0.25">
      <c r="A879" s="35"/>
      <c r="B879" s="35"/>
      <c r="C879" s="35"/>
      <c r="D879" s="35"/>
      <c r="E879" s="35"/>
      <c r="F879" s="122"/>
      <c r="G879" s="123"/>
      <c r="H879" s="122"/>
      <c r="I879" s="122"/>
      <c r="J879" s="122"/>
      <c r="K879" s="122"/>
      <c r="L879" s="124"/>
      <c r="M879" s="124"/>
      <c r="N879" s="124"/>
      <c r="O879" s="122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</row>
    <row r="880" spans="1:27" x14ac:dyDescent="0.25">
      <c r="A880" s="35"/>
      <c r="B880" s="35"/>
      <c r="C880" s="35"/>
      <c r="D880" s="35"/>
      <c r="E880" s="35"/>
      <c r="F880" s="122"/>
      <c r="G880" s="123"/>
      <c r="H880" s="122"/>
      <c r="I880" s="122"/>
      <c r="J880" s="122"/>
      <c r="K880" s="122"/>
      <c r="L880" s="124"/>
      <c r="M880" s="124"/>
      <c r="N880" s="124"/>
      <c r="O880" s="122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</row>
    <row r="881" spans="1:27" x14ac:dyDescent="0.25">
      <c r="A881" s="35"/>
      <c r="B881" s="35"/>
      <c r="C881" s="35"/>
      <c r="D881" s="35"/>
      <c r="E881" s="35"/>
      <c r="F881" s="122"/>
      <c r="G881" s="123"/>
      <c r="H881" s="122"/>
      <c r="I881" s="122"/>
      <c r="J881" s="122"/>
      <c r="K881" s="122"/>
      <c r="L881" s="124"/>
      <c r="M881" s="124"/>
      <c r="N881" s="124"/>
      <c r="O881" s="122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</row>
    <row r="882" spans="1:27" x14ac:dyDescent="0.25">
      <c r="A882" s="35"/>
      <c r="B882" s="35"/>
      <c r="C882" s="35"/>
      <c r="D882" s="35"/>
      <c r="E882" s="35"/>
      <c r="F882" s="122"/>
      <c r="G882" s="123"/>
      <c r="H882" s="122"/>
      <c r="I882" s="122"/>
      <c r="J882" s="122"/>
      <c r="K882" s="122"/>
      <c r="L882" s="124"/>
      <c r="M882" s="124"/>
      <c r="N882" s="124"/>
      <c r="O882" s="122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</row>
    <row r="883" spans="1:27" x14ac:dyDescent="0.25">
      <c r="A883" s="35"/>
      <c r="B883" s="35"/>
      <c r="C883" s="35"/>
      <c r="D883" s="35"/>
      <c r="E883" s="35"/>
      <c r="F883" s="122"/>
      <c r="G883" s="123"/>
      <c r="H883" s="122"/>
      <c r="I883" s="122"/>
      <c r="J883" s="122"/>
      <c r="K883" s="122"/>
      <c r="L883" s="124"/>
      <c r="M883" s="124"/>
      <c r="N883" s="124"/>
      <c r="O883" s="122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</row>
    <row r="884" spans="1:27" x14ac:dyDescent="0.25">
      <c r="A884" s="35"/>
      <c r="B884" s="35"/>
      <c r="C884" s="35"/>
      <c r="D884" s="35"/>
      <c r="E884" s="35"/>
      <c r="F884" s="122"/>
      <c r="G884" s="123"/>
      <c r="H884" s="122"/>
      <c r="I884" s="122"/>
      <c r="J884" s="122"/>
      <c r="K884" s="122"/>
      <c r="L884" s="124"/>
      <c r="M884" s="124"/>
      <c r="N884" s="124"/>
      <c r="O884" s="122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</row>
    <row r="885" spans="1:27" x14ac:dyDescent="0.25">
      <c r="A885" s="35"/>
      <c r="B885" s="35"/>
      <c r="C885" s="35"/>
      <c r="D885" s="35"/>
      <c r="E885" s="35"/>
      <c r="F885" s="122"/>
      <c r="G885" s="123"/>
      <c r="H885" s="122"/>
      <c r="I885" s="122"/>
      <c r="J885" s="122"/>
      <c r="K885" s="122"/>
      <c r="L885" s="124"/>
      <c r="M885" s="124"/>
      <c r="N885" s="124"/>
      <c r="O885" s="122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</row>
    <row r="886" spans="1:27" x14ac:dyDescent="0.25">
      <c r="A886" s="35"/>
      <c r="B886" s="35"/>
      <c r="C886" s="35"/>
      <c r="D886" s="35"/>
      <c r="E886" s="35"/>
      <c r="F886" s="122"/>
      <c r="G886" s="123"/>
      <c r="H886" s="122"/>
      <c r="I886" s="122"/>
      <c r="J886" s="122"/>
      <c r="K886" s="122"/>
      <c r="L886" s="124"/>
      <c r="M886" s="124"/>
      <c r="N886" s="124"/>
      <c r="O886" s="122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</row>
    <row r="887" spans="1:27" x14ac:dyDescent="0.25">
      <c r="A887" s="35"/>
      <c r="B887" s="35"/>
      <c r="C887" s="35"/>
      <c r="D887" s="35"/>
      <c r="E887" s="35"/>
      <c r="F887" s="122"/>
      <c r="G887" s="123"/>
      <c r="H887" s="122"/>
      <c r="I887" s="122"/>
      <c r="J887" s="122"/>
      <c r="K887" s="122"/>
      <c r="L887" s="124"/>
      <c r="M887" s="124"/>
      <c r="N887" s="124"/>
      <c r="O887" s="122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</row>
    <row r="888" spans="1:27" x14ac:dyDescent="0.25">
      <c r="A888" s="35"/>
      <c r="B888" s="35"/>
      <c r="C888" s="35"/>
      <c r="D888" s="35"/>
      <c r="E888" s="35"/>
      <c r="F888" s="122"/>
      <c r="G888" s="123"/>
      <c r="H888" s="122"/>
      <c r="I888" s="122"/>
      <c r="J888" s="122"/>
      <c r="K888" s="122"/>
      <c r="L888" s="124"/>
      <c r="M888" s="124"/>
      <c r="N888" s="124"/>
      <c r="O888" s="122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</row>
    <row r="889" spans="1:27" x14ac:dyDescent="0.25">
      <c r="A889" s="35"/>
      <c r="B889" s="35"/>
      <c r="C889" s="35"/>
      <c r="D889" s="35"/>
      <c r="E889" s="35"/>
      <c r="F889" s="122"/>
      <c r="G889" s="123"/>
      <c r="H889" s="122"/>
      <c r="I889" s="122"/>
      <c r="J889" s="122"/>
      <c r="K889" s="122"/>
      <c r="L889" s="124"/>
      <c r="M889" s="124"/>
      <c r="N889" s="124"/>
      <c r="O889" s="122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</row>
    <row r="890" spans="1:27" x14ac:dyDescent="0.25">
      <c r="A890" s="35"/>
      <c r="B890" s="35"/>
      <c r="C890" s="35"/>
      <c r="D890" s="35"/>
      <c r="E890" s="35"/>
      <c r="F890" s="122"/>
      <c r="G890" s="123"/>
      <c r="H890" s="122"/>
      <c r="I890" s="122"/>
      <c r="J890" s="122"/>
      <c r="K890" s="122"/>
      <c r="L890" s="124"/>
      <c r="M890" s="124"/>
      <c r="N890" s="124"/>
      <c r="O890" s="122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</row>
    <row r="891" spans="1:27" x14ac:dyDescent="0.25">
      <c r="A891" s="35"/>
      <c r="B891" s="35"/>
      <c r="C891" s="35"/>
      <c r="D891" s="35"/>
      <c r="E891" s="35"/>
      <c r="F891" s="122"/>
      <c r="G891" s="123"/>
      <c r="H891" s="122"/>
      <c r="I891" s="122"/>
      <c r="J891" s="122"/>
      <c r="K891" s="122"/>
      <c r="L891" s="124"/>
      <c r="M891" s="124"/>
      <c r="N891" s="124"/>
      <c r="O891" s="122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</row>
    <row r="892" spans="1:27" x14ac:dyDescent="0.25">
      <c r="A892" s="35"/>
      <c r="B892" s="35"/>
      <c r="C892" s="35"/>
      <c r="D892" s="35"/>
      <c r="E892" s="35"/>
      <c r="F892" s="122"/>
      <c r="G892" s="123"/>
      <c r="H892" s="122"/>
      <c r="I892" s="122"/>
      <c r="J892" s="122"/>
      <c r="K892" s="122"/>
      <c r="L892" s="124"/>
      <c r="M892" s="124"/>
      <c r="N892" s="124"/>
      <c r="O892" s="122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</row>
    <row r="893" spans="1:27" x14ac:dyDescent="0.25">
      <c r="A893" s="35"/>
      <c r="B893" s="35"/>
      <c r="C893" s="35"/>
      <c r="D893" s="35"/>
      <c r="E893" s="35"/>
      <c r="F893" s="122"/>
      <c r="G893" s="123"/>
      <c r="H893" s="122"/>
      <c r="I893" s="122"/>
      <c r="J893" s="122"/>
      <c r="K893" s="122"/>
      <c r="L893" s="124"/>
      <c r="M893" s="124"/>
      <c r="N893" s="124"/>
      <c r="O893" s="122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</row>
    <row r="894" spans="1:27" x14ac:dyDescent="0.25">
      <c r="A894" s="35"/>
      <c r="B894" s="35"/>
      <c r="C894" s="35"/>
      <c r="D894" s="35"/>
      <c r="E894" s="35"/>
      <c r="F894" s="122"/>
      <c r="G894" s="123"/>
      <c r="H894" s="122"/>
      <c r="I894" s="122"/>
      <c r="J894" s="122"/>
      <c r="K894" s="122"/>
      <c r="L894" s="124"/>
      <c r="M894" s="124"/>
      <c r="N894" s="124"/>
      <c r="O894" s="122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</row>
    <row r="895" spans="1:27" x14ac:dyDescent="0.25">
      <c r="A895" s="35"/>
      <c r="B895" s="35"/>
      <c r="C895" s="35"/>
      <c r="D895" s="35"/>
      <c r="E895" s="35"/>
      <c r="F895" s="122"/>
      <c r="G895" s="123"/>
      <c r="H895" s="122"/>
      <c r="I895" s="122"/>
      <c r="J895" s="122"/>
      <c r="K895" s="122"/>
      <c r="L895" s="124"/>
      <c r="M895" s="124"/>
      <c r="N895" s="124"/>
      <c r="O895" s="122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</row>
    <row r="896" spans="1:27" x14ac:dyDescent="0.25">
      <c r="A896" s="35"/>
      <c r="B896" s="35"/>
      <c r="C896" s="35"/>
      <c r="D896" s="35"/>
      <c r="E896" s="35"/>
      <c r="F896" s="122"/>
      <c r="G896" s="123"/>
      <c r="H896" s="122"/>
      <c r="I896" s="122"/>
      <c r="J896" s="122"/>
      <c r="K896" s="122"/>
      <c r="L896" s="124"/>
      <c r="M896" s="124"/>
      <c r="N896" s="124"/>
      <c r="O896" s="122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</row>
    <row r="897" spans="1:27" x14ac:dyDescent="0.25">
      <c r="A897" s="35"/>
      <c r="B897" s="35"/>
      <c r="C897" s="35"/>
      <c r="D897" s="35"/>
      <c r="E897" s="35"/>
      <c r="F897" s="122"/>
      <c r="G897" s="123"/>
      <c r="H897" s="122"/>
      <c r="I897" s="122"/>
      <c r="J897" s="122"/>
      <c r="K897" s="122"/>
      <c r="L897" s="124"/>
      <c r="M897" s="124"/>
      <c r="N897" s="124"/>
      <c r="O897" s="122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</row>
    <row r="898" spans="1:27" x14ac:dyDescent="0.25">
      <c r="A898" s="35"/>
      <c r="B898" s="35"/>
      <c r="C898" s="35"/>
      <c r="D898" s="35"/>
      <c r="E898" s="35"/>
      <c r="F898" s="122"/>
      <c r="G898" s="123"/>
      <c r="H898" s="122"/>
      <c r="I898" s="122"/>
      <c r="J898" s="122"/>
      <c r="K898" s="122"/>
      <c r="L898" s="124"/>
      <c r="M898" s="124"/>
      <c r="N898" s="124"/>
      <c r="O898" s="122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</row>
    <row r="899" spans="1:27" x14ac:dyDescent="0.25">
      <c r="A899" s="35"/>
      <c r="B899" s="35"/>
      <c r="C899" s="35"/>
      <c r="D899" s="35"/>
      <c r="E899" s="35"/>
      <c r="F899" s="122"/>
      <c r="G899" s="123"/>
      <c r="H899" s="122"/>
      <c r="I899" s="122"/>
      <c r="J899" s="122"/>
      <c r="K899" s="122"/>
      <c r="L899" s="124"/>
      <c r="M899" s="124"/>
      <c r="N899" s="124"/>
      <c r="O899" s="122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</row>
    <row r="900" spans="1:27" x14ac:dyDescent="0.25">
      <c r="A900" s="35"/>
      <c r="B900" s="35"/>
      <c r="C900" s="35"/>
      <c r="D900" s="35"/>
      <c r="E900" s="35"/>
      <c r="F900" s="122"/>
      <c r="G900" s="123"/>
      <c r="H900" s="122"/>
      <c r="I900" s="122"/>
      <c r="J900" s="122"/>
      <c r="K900" s="122"/>
      <c r="L900" s="124"/>
      <c r="M900" s="124"/>
      <c r="N900" s="124"/>
      <c r="O900" s="122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</row>
    <row r="901" spans="1:27" x14ac:dyDescent="0.25">
      <c r="A901" s="35"/>
      <c r="B901" s="35"/>
      <c r="C901" s="35"/>
      <c r="D901" s="35"/>
      <c r="E901" s="35"/>
      <c r="F901" s="122"/>
      <c r="G901" s="123"/>
      <c r="H901" s="122"/>
      <c r="I901" s="122"/>
      <c r="J901" s="122"/>
      <c r="K901" s="122"/>
      <c r="L901" s="124"/>
      <c r="M901" s="124"/>
      <c r="N901" s="124"/>
      <c r="O901" s="122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</row>
    <row r="902" spans="1:27" x14ac:dyDescent="0.25">
      <c r="A902" s="35"/>
      <c r="B902" s="35"/>
      <c r="C902" s="35"/>
      <c r="D902" s="35"/>
      <c r="E902" s="35"/>
      <c r="F902" s="122"/>
      <c r="G902" s="123"/>
      <c r="H902" s="122"/>
      <c r="I902" s="122"/>
      <c r="J902" s="122"/>
      <c r="K902" s="122"/>
      <c r="L902" s="124"/>
      <c r="M902" s="124"/>
      <c r="N902" s="124"/>
      <c r="O902" s="122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</row>
    <row r="903" spans="1:27" x14ac:dyDescent="0.25">
      <c r="A903" s="35"/>
      <c r="B903" s="35"/>
      <c r="C903" s="35"/>
      <c r="D903" s="35"/>
      <c r="E903" s="35"/>
      <c r="F903" s="122"/>
      <c r="G903" s="123"/>
      <c r="H903" s="122"/>
      <c r="I903" s="122"/>
      <c r="J903" s="122"/>
      <c r="K903" s="122"/>
      <c r="L903" s="124"/>
      <c r="M903" s="124"/>
      <c r="N903" s="124"/>
      <c r="O903" s="122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</row>
    <row r="904" spans="1:27" x14ac:dyDescent="0.25">
      <c r="A904" s="35"/>
      <c r="B904" s="35"/>
      <c r="C904" s="35"/>
      <c r="D904" s="35"/>
      <c r="E904" s="35"/>
      <c r="F904" s="122"/>
      <c r="G904" s="123"/>
      <c r="H904" s="122"/>
      <c r="I904" s="122"/>
      <c r="J904" s="122"/>
      <c r="K904" s="122"/>
      <c r="L904" s="124"/>
      <c r="M904" s="124"/>
      <c r="N904" s="124"/>
      <c r="O904" s="122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</row>
    <row r="905" spans="1:27" x14ac:dyDescent="0.25">
      <c r="A905" s="35"/>
      <c r="B905" s="35"/>
      <c r="C905" s="35"/>
      <c r="D905" s="35"/>
      <c r="E905" s="35"/>
      <c r="F905" s="122"/>
      <c r="G905" s="123"/>
      <c r="H905" s="122"/>
      <c r="I905" s="122"/>
      <c r="J905" s="122"/>
      <c r="K905" s="122"/>
      <c r="L905" s="124"/>
      <c r="M905" s="124"/>
      <c r="N905" s="124"/>
      <c r="O905" s="122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</row>
    <row r="906" spans="1:27" x14ac:dyDescent="0.25">
      <c r="A906" s="35"/>
      <c r="B906" s="35"/>
      <c r="C906" s="35"/>
      <c r="D906" s="35"/>
      <c r="E906" s="35"/>
      <c r="F906" s="122"/>
      <c r="G906" s="123"/>
      <c r="H906" s="122"/>
      <c r="I906" s="122"/>
      <c r="J906" s="122"/>
      <c r="K906" s="122"/>
      <c r="L906" s="124"/>
      <c r="M906" s="124"/>
      <c r="N906" s="124"/>
      <c r="O906" s="122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</row>
    <row r="907" spans="1:27" x14ac:dyDescent="0.25">
      <c r="A907" s="35"/>
      <c r="B907" s="35"/>
      <c r="C907" s="35"/>
      <c r="D907" s="35"/>
      <c r="E907" s="35"/>
      <c r="F907" s="122"/>
      <c r="G907" s="123"/>
      <c r="H907" s="122"/>
      <c r="I907" s="122"/>
      <c r="J907" s="122"/>
      <c r="K907" s="122"/>
      <c r="L907" s="124"/>
      <c r="M907" s="124"/>
      <c r="N907" s="124"/>
      <c r="O907" s="122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</row>
    <row r="908" spans="1:27" x14ac:dyDescent="0.25">
      <c r="A908" s="35"/>
      <c r="B908" s="35"/>
      <c r="C908" s="35"/>
      <c r="D908" s="35"/>
      <c r="E908" s="35"/>
      <c r="F908" s="122"/>
      <c r="G908" s="123"/>
      <c r="H908" s="122"/>
      <c r="I908" s="122"/>
      <c r="J908" s="122"/>
      <c r="K908" s="122"/>
      <c r="L908" s="124"/>
      <c r="M908" s="124"/>
      <c r="N908" s="124"/>
      <c r="O908" s="122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</row>
    <row r="909" spans="1:27" x14ac:dyDescent="0.25">
      <c r="A909" s="35"/>
      <c r="B909" s="35"/>
      <c r="C909" s="35"/>
      <c r="D909" s="35"/>
      <c r="E909" s="35"/>
      <c r="F909" s="122"/>
      <c r="G909" s="123"/>
      <c r="H909" s="122"/>
      <c r="I909" s="122"/>
      <c r="J909" s="122"/>
      <c r="K909" s="122"/>
      <c r="L909" s="124"/>
      <c r="M909" s="124"/>
      <c r="N909" s="124"/>
      <c r="O909" s="122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</row>
    <row r="910" spans="1:27" x14ac:dyDescent="0.25">
      <c r="A910" s="35"/>
      <c r="B910" s="35"/>
      <c r="C910" s="35"/>
      <c r="D910" s="35"/>
      <c r="E910" s="35"/>
      <c r="F910" s="122"/>
      <c r="G910" s="123"/>
      <c r="H910" s="122"/>
      <c r="I910" s="122"/>
      <c r="J910" s="122"/>
      <c r="K910" s="122"/>
      <c r="L910" s="124"/>
      <c r="M910" s="124"/>
      <c r="N910" s="124"/>
      <c r="O910" s="122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</row>
    <row r="911" spans="1:27" x14ac:dyDescent="0.25">
      <c r="A911" s="35"/>
      <c r="B911" s="35"/>
      <c r="C911" s="35"/>
      <c r="D911" s="35"/>
      <c r="E911" s="35"/>
      <c r="F911" s="122"/>
      <c r="G911" s="123"/>
      <c r="H911" s="122"/>
      <c r="I911" s="122"/>
      <c r="J911" s="122"/>
      <c r="K911" s="122"/>
      <c r="L911" s="124"/>
      <c r="M911" s="124"/>
      <c r="N911" s="124"/>
      <c r="O911" s="122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</row>
    <row r="912" spans="1:27" x14ac:dyDescent="0.25">
      <c r="A912" s="35"/>
      <c r="B912" s="35"/>
      <c r="C912" s="35"/>
      <c r="D912" s="35"/>
      <c r="E912" s="35"/>
      <c r="F912" s="122"/>
      <c r="G912" s="123"/>
      <c r="H912" s="122"/>
      <c r="I912" s="122"/>
      <c r="J912" s="122"/>
      <c r="K912" s="122"/>
      <c r="L912" s="124"/>
      <c r="M912" s="124"/>
      <c r="N912" s="124"/>
      <c r="O912" s="122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</row>
    <row r="913" spans="1:27" x14ac:dyDescent="0.25">
      <c r="A913" s="35"/>
      <c r="B913" s="35"/>
      <c r="C913" s="35"/>
      <c r="D913" s="35"/>
      <c r="E913" s="35"/>
      <c r="F913" s="122"/>
      <c r="G913" s="123"/>
      <c r="H913" s="122"/>
      <c r="I913" s="122"/>
      <c r="J913" s="122"/>
      <c r="K913" s="122"/>
      <c r="L913" s="124"/>
      <c r="M913" s="124"/>
      <c r="N913" s="124"/>
      <c r="O913" s="122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</row>
    <row r="914" spans="1:27" x14ac:dyDescent="0.25">
      <c r="A914" s="35"/>
      <c r="B914" s="35"/>
      <c r="C914" s="35"/>
      <c r="D914" s="35"/>
      <c r="E914" s="35"/>
      <c r="F914" s="122"/>
      <c r="G914" s="123"/>
      <c r="H914" s="122"/>
      <c r="I914" s="122"/>
      <c r="J914" s="122"/>
      <c r="K914" s="122"/>
      <c r="L914" s="124"/>
      <c r="M914" s="124"/>
      <c r="N914" s="124"/>
      <c r="O914" s="122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</row>
    <row r="915" spans="1:27" x14ac:dyDescent="0.25">
      <c r="A915" s="35"/>
      <c r="B915" s="35"/>
      <c r="C915" s="35"/>
      <c r="D915" s="35"/>
      <c r="E915" s="35"/>
      <c r="F915" s="122"/>
      <c r="G915" s="123"/>
      <c r="H915" s="122"/>
      <c r="I915" s="122"/>
      <c r="J915" s="122"/>
      <c r="K915" s="122"/>
      <c r="L915" s="124"/>
      <c r="M915" s="124"/>
      <c r="N915" s="124"/>
      <c r="O915" s="122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</row>
    <row r="916" spans="1:27" x14ac:dyDescent="0.25">
      <c r="A916" s="35"/>
      <c r="B916" s="35"/>
      <c r="C916" s="35"/>
      <c r="D916" s="35"/>
      <c r="E916" s="35"/>
      <c r="F916" s="122"/>
      <c r="G916" s="123"/>
      <c r="H916" s="122"/>
      <c r="I916" s="122"/>
      <c r="J916" s="122"/>
      <c r="K916" s="122"/>
      <c r="L916" s="124"/>
      <c r="M916" s="124"/>
      <c r="N916" s="124"/>
      <c r="O916" s="122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</row>
    <row r="917" spans="1:27" x14ac:dyDescent="0.25">
      <c r="A917" s="35"/>
      <c r="B917" s="35"/>
      <c r="C917" s="35"/>
      <c r="D917" s="35"/>
      <c r="E917" s="35"/>
      <c r="F917" s="122"/>
      <c r="G917" s="123"/>
      <c r="H917" s="122"/>
      <c r="I917" s="122"/>
      <c r="J917" s="122"/>
      <c r="K917" s="122"/>
      <c r="L917" s="124"/>
      <c r="M917" s="124"/>
      <c r="N917" s="124"/>
      <c r="O917" s="122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</row>
    <row r="918" spans="1:27" x14ac:dyDescent="0.25">
      <c r="A918" s="35"/>
      <c r="B918" s="35"/>
      <c r="C918" s="35"/>
      <c r="D918" s="35"/>
      <c r="E918" s="35"/>
      <c r="F918" s="122"/>
      <c r="G918" s="123"/>
      <c r="H918" s="122"/>
      <c r="I918" s="122"/>
      <c r="J918" s="122"/>
      <c r="K918" s="122"/>
      <c r="L918" s="124"/>
      <c r="M918" s="124"/>
      <c r="N918" s="124"/>
      <c r="O918" s="122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</row>
    <row r="919" spans="1:27" x14ac:dyDescent="0.25">
      <c r="A919" s="35"/>
      <c r="B919" s="35"/>
      <c r="C919" s="35"/>
      <c r="D919" s="35"/>
      <c r="E919" s="35"/>
      <c r="F919" s="122"/>
      <c r="G919" s="123"/>
      <c r="H919" s="122"/>
      <c r="I919" s="122"/>
      <c r="J919" s="122"/>
      <c r="K919" s="122"/>
      <c r="L919" s="124"/>
      <c r="M919" s="124"/>
      <c r="N919" s="124"/>
      <c r="O919" s="122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</row>
    <row r="920" spans="1:27" x14ac:dyDescent="0.25">
      <c r="A920" s="35"/>
      <c r="B920" s="35"/>
      <c r="C920" s="35"/>
      <c r="D920" s="35"/>
      <c r="E920" s="35"/>
      <c r="F920" s="122"/>
      <c r="G920" s="123"/>
      <c r="H920" s="122"/>
      <c r="I920" s="122"/>
      <c r="J920" s="122"/>
      <c r="K920" s="122"/>
      <c r="L920" s="124"/>
      <c r="M920" s="124"/>
      <c r="N920" s="124"/>
      <c r="O920" s="122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</row>
    <row r="921" spans="1:27" x14ac:dyDescent="0.25">
      <c r="A921" s="35"/>
      <c r="B921" s="35"/>
      <c r="C921" s="35"/>
      <c r="D921" s="35"/>
      <c r="E921" s="35"/>
      <c r="F921" s="122"/>
      <c r="G921" s="123"/>
      <c r="H921" s="122"/>
      <c r="I921" s="122"/>
      <c r="J921" s="122"/>
      <c r="K921" s="122"/>
      <c r="L921" s="124"/>
      <c r="M921" s="124"/>
      <c r="N921" s="124"/>
      <c r="O921" s="122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</row>
    <row r="922" spans="1:27" x14ac:dyDescent="0.25">
      <c r="A922" s="35"/>
      <c r="B922" s="35"/>
      <c r="C922" s="35"/>
      <c r="D922" s="35"/>
      <c r="E922" s="35"/>
      <c r="F922" s="122"/>
      <c r="G922" s="123"/>
      <c r="H922" s="122"/>
      <c r="I922" s="122"/>
      <c r="J922" s="122"/>
      <c r="K922" s="122"/>
      <c r="L922" s="124"/>
      <c r="M922" s="124"/>
      <c r="N922" s="124"/>
      <c r="O922" s="122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</row>
    <row r="923" spans="1:27" x14ac:dyDescent="0.25">
      <c r="A923" s="35"/>
      <c r="B923" s="35"/>
      <c r="C923" s="35"/>
      <c r="D923" s="35"/>
      <c r="E923" s="35"/>
      <c r="F923" s="122"/>
      <c r="G923" s="123"/>
      <c r="H923" s="122"/>
      <c r="I923" s="122"/>
      <c r="J923" s="122"/>
      <c r="K923" s="122"/>
      <c r="L923" s="124"/>
      <c r="M923" s="124"/>
      <c r="N923" s="124"/>
      <c r="O923" s="122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</row>
    <row r="924" spans="1:27" x14ac:dyDescent="0.25">
      <c r="A924" s="35"/>
      <c r="B924" s="35"/>
      <c r="C924" s="35"/>
      <c r="D924" s="35"/>
      <c r="E924" s="35"/>
      <c r="F924" s="122"/>
      <c r="G924" s="123"/>
      <c r="H924" s="122"/>
      <c r="I924" s="122"/>
      <c r="J924" s="122"/>
      <c r="K924" s="122"/>
      <c r="L924" s="124"/>
      <c r="M924" s="124"/>
      <c r="N924" s="124"/>
      <c r="O924" s="122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</row>
    <row r="925" spans="1:27" x14ac:dyDescent="0.25">
      <c r="A925" s="35"/>
      <c r="B925" s="35"/>
      <c r="C925" s="35"/>
      <c r="D925" s="35"/>
      <c r="E925" s="35"/>
      <c r="F925" s="122"/>
      <c r="G925" s="123"/>
      <c r="H925" s="122"/>
      <c r="I925" s="122"/>
      <c r="J925" s="122"/>
      <c r="K925" s="122"/>
      <c r="L925" s="124"/>
      <c r="M925" s="124"/>
      <c r="N925" s="124"/>
      <c r="O925" s="122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</row>
    <row r="926" spans="1:27" x14ac:dyDescent="0.25">
      <c r="A926" s="35"/>
      <c r="B926" s="35"/>
      <c r="C926" s="35"/>
      <c r="D926" s="35"/>
      <c r="E926" s="35"/>
      <c r="F926" s="122"/>
      <c r="G926" s="123"/>
      <c r="H926" s="122"/>
      <c r="I926" s="122"/>
      <c r="J926" s="122"/>
      <c r="K926" s="122"/>
      <c r="L926" s="124"/>
      <c r="M926" s="124"/>
      <c r="N926" s="124"/>
      <c r="O926" s="122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</row>
    <row r="927" spans="1:27" x14ac:dyDescent="0.25">
      <c r="A927" s="35"/>
      <c r="B927" s="35"/>
      <c r="C927" s="35"/>
      <c r="D927" s="35"/>
      <c r="E927" s="35"/>
      <c r="F927" s="122"/>
      <c r="G927" s="123"/>
      <c r="H927" s="122"/>
      <c r="I927" s="122"/>
      <c r="J927" s="122"/>
      <c r="K927" s="122"/>
      <c r="L927" s="124"/>
      <c r="M927" s="124"/>
      <c r="N927" s="124"/>
      <c r="O927" s="122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</row>
    <row r="928" spans="1:27" x14ac:dyDescent="0.25">
      <c r="A928" s="35"/>
      <c r="B928" s="35"/>
      <c r="C928" s="35"/>
      <c r="D928" s="35"/>
      <c r="E928" s="35"/>
      <c r="F928" s="122"/>
      <c r="G928" s="123"/>
      <c r="H928" s="122"/>
      <c r="I928" s="122"/>
      <c r="J928" s="122"/>
      <c r="K928" s="122"/>
      <c r="L928" s="124"/>
      <c r="M928" s="124"/>
      <c r="N928" s="124"/>
      <c r="O928" s="122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</row>
    <row r="929" spans="1:27" x14ac:dyDescent="0.25">
      <c r="A929" s="35"/>
      <c r="B929" s="35"/>
      <c r="C929" s="35"/>
      <c r="D929" s="35"/>
      <c r="E929" s="35"/>
      <c r="F929" s="122"/>
      <c r="G929" s="123"/>
      <c r="H929" s="122"/>
      <c r="I929" s="122"/>
      <c r="J929" s="122"/>
      <c r="K929" s="122"/>
      <c r="L929" s="124"/>
      <c r="M929" s="124"/>
      <c r="N929" s="124"/>
      <c r="O929" s="122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</row>
    <row r="930" spans="1:27" x14ac:dyDescent="0.25">
      <c r="A930" s="35"/>
      <c r="B930" s="35"/>
      <c r="C930" s="35"/>
      <c r="D930" s="35"/>
      <c r="E930" s="35"/>
      <c r="F930" s="122"/>
      <c r="G930" s="123"/>
      <c r="H930" s="122"/>
      <c r="I930" s="122"/>
      <c r="J930" s="122"/>
      <c r="K930" s="122"/>
      <c r="L930" s="124"/>
      <c r="M930" s="124"/>
      <c r="N930" s="124"/>
      <c r="O930" s="122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</row>
    <row r="931" spans="1:27" x14ac:dyDescent="0.25">
      <c r="A931" s="35"/>
      <c r="B931" s="35"/>
      <c r="C931" s="35"/>
      <c r="D931" s="35"/>
      <c r="E931" s="35"/>
      <c r="F931" s="122"/>
      <c r="G931" s="123"/>
      <c r="H931" s="122"/>
      <c r="I931" s="122"/>
      <c r="J931" s="122"/>
      <c r="K931" s="122"/>
      <c r="L931" s="124"/>
      <c r="M931" s="124"/>
      <c r="N931" s="124"/>
      <c r="O931" s="122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</row>
    <row r="932" spans="1:27" x14ac:dyDescent="0.25">
      <c r="A932" s="35"/>
      <c r="B932" s="35"/>
      <c r="C932" s="35"/>
      <c r="D932" s="35"/>
      <c r="E932" s="35"/>
      <c r="F932" s="122"/>
      <c r="G932" s="123"/>
      <c r="H932" s="122"/>
      <c r="I932" s="122"/>
      <c r="J932" s="122"/>
      <c r="K932" s="122"/>
      <c r="L932" s="124"/>
      <c r="M932" s="124"/>
      <c r="N932" s="124"/>
      <c r="O932" s="122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</row>
    <row r="933" spans="1:27" x14ac:dyDescent="0.25">
      <c r="A933" s="35"/>
      <c r="B933" s="35"/>
      <c r="C933" s="35"/>
      <c r="D933" s="35"/>
      <c r="E933" s="35"/>
      <c r="F933" s="122"/>
      <c r="G933" s="123"/>
      <c r="H933" s="122"/>
      <c r="I933" s="122"/>
      <c r="J933" s="122"/>
      <c r="K933" s="122"/>
      <c r="L933" s="124"/>
      <c r="M933" s="124"/>
      <c r="N933" s="124"/>
      <c r="O933" s="122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</row>
    <row r="934" spans="1:27" x14ac:dyDescent="0.25">
      <c r="A934" s="35"/>
      <c r="B934" s="35"/>
      <c r="C934" s="35"/>
      <c r="D934" s="35"/>
      <c r="E934" s="35"/>
      <c r="F934" s="122"/>
      <c r="G934" s="123"/>
      <c r="H934" s="122"/>
      <c r="I934" s="122"/>
      <c r="J934" s="122"/>
      <c r="K934" s="122"/>
      <c r="L934" s="124"/>
      <c r="M934" s="124"/>
      <c r="N934" s="124"/>
      <c r="O934" s="122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</row>
    <row r="935" spans="1:27" x14ac:dyDescent="0.25">
      <c r="A935" s="35"/>
      <c r="B935" s="35"/>
      <c r="C935" s="35"/>
      <c r="D935" s="35"/>
      <c r="E935" s="35"/>
      <c r="F935" s="122"/>
      <c r="G935" s="123"/>
      <c r="H935" s="122"/>
      <c r="I935" s="122"/>
      <c r="J935" s="122"/>
      <c r="K935" s="122"/>
      <c r="L935" s="124"/>
      <c r="M935" s="124"/>
      <c r="N935" s="124"/>
      <c r="O935" s="122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</row>
    <row r="936" spans="1:27" x14ac:dyDescent="0.25">
      <c r="A936" s="35"/>
      <c r="B936" s="35"/>
      <c r="C936" s="35"/>
      <c r="D936" s="35"/>
      <c r="E936" s="35"/>
      <c r="F936" s="122"/>
      <c r="G936" s="123"/>
      <c r="H936" s="122"/>
      <c r="I936" s="122"/>
      <c r="J936" s="122"/>
      <c r="K936" s="122"/>
      <c r="L936" s="124"/>
      <c r="M936" s="124"/>
      <c r="N936" s="124"/>
      <c r="O936" s="122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</row>
    <row r="937" spans="1:27" x14ac:dyDescent="0.25">
      <c r="A937" s="35"/>
      <c r="B937" s="35"/>
      <c r="C937" s="35"/>
      <c r="D937" s="35"/>
      <c r="E937" s="35"/>
      <c r="F937" s="122"/>
      <c r="G937" s="123"/>
      <c r="H937" s="122"/>
      <c r="I937" s="122"/>
      <c r="J937" s="122"/>
      <c r="K937" s="122"/>
      <c r="L937" s="124"/>
      <c r="M937" s="124"/>
      <c r="N937" s="124"/>
      <c r="O937" s="122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</row>
    <row r="938" spans="1:27" x14ac:dyDescent="0.25">
      <c r="A938" s="35"/>
      <c r="B938" s="35"/>
      <c r="C938" s="35"/>
      <c r="D938" s="35"/>
      <c r="E938" s="35"/>
      <c r="F938" s="122"/>
      <c r="G938" s="123"/>
      <c r="H938" s="122"/>
      <c r="I938" s="122"/>
      <c r="J938" s="122"/>
      <c r="K938" s="122"/>
      <c r="L938" s="124"/>
      <c r="M938" s="124"/>
      <c r="N938" s="124"/>
      <c r="O938" s="122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</row>
    <row r="939" spans="1:27" x14ac:dyDescent="0.25">
      <c r="A939" s="35"/>
      <c r="B939" s="35"/>
      <c r="C939" s="35"/>
      <c r="D939" s="35"/>
      <c r="E939" s="35"/>
      <c r="F939" s="122"/>
      <c r="G939" s="123"/>
      <c r="H939" s="122"/>
      <c r="I939" s="122"/>
      <c r="J939" s="122"/>
      <c r="K939" s="122"/>
      <c r="L939" s="124"/>
      <c r="M939" s="124"/>
      <c r="N939" s="124"/>
      <c r="O939" s="122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</row>
    <row r="940" spans="1:27" x14ac:dyDescent="0.25">
      <c r="A940" s="35"/>
      <c r="B940" s="35"/>
      <c r="C940" s="35"/>
      <c r="D940" s="35"/>
      <c r="E940" s="35"/>
      <c r="F940" s="122"/>
      <c r="G940" s="123"/>
      <c r="H940" s="122"/>
      <c r="I940" s="122"/>
      <c r="J940" s="122"/>
      <c r="K940" s="122"/>
      <c r="L940" s="124"/>
      <c r="M940" s="124"/>
      <c r="N940" s="124"/>
      <c r="O940" s="122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</row>
    <row r="941" spans="1:27" x14ac:dyDescent="0.25">
      <c r="A941" s="35"/>
      <c r="B941" s="35"/>
      <c r="C941" s="35"/>
      <c r="D941" s="35"/>
      <c r="E941" s="35"/>
      <c r="F941" s="122"/>
      <c r="G941" s="123"/>
      <c r="H941" s="122"/>
      <c r="I941" s="122"/>
      <c r="J941" s="122"/>
      <c r="K941" s="122"/>
      <c r="L941" s="124"/>
      <c r="M941" s="124"/>
      <c r="N941" s="124"/>
      <c r="O941" s="122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</row>
    <row r="942" spans="1:27" x14ac:dyDescent="0.25">
      <c r="A942" s="35"/>
      <c r="B942" s="35"/>
      <c r="C942" s="35"/>
      <c r="D942" s="35"/>
      <c r="E942" s="35"/>
      <c r="F942" s="122"/>
      <c r="G942" s="123"/>
      <c r="H942" s="122"/>
      <c r="I942" s="122"/>
      <c r="J942" s="122"/>
      <c r="K942" s="122"/>
      <c r="L942" s="124"/>
      <c r="M942" s="124"/>
      <c r="N942" s="124"/>
      <c r="O942" s="122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</row>
    <row r="943" spans="1:27" x14ac:dyDescent="0.25">
      <c r="A943" s="35"/>
      <c r="B943" s="35"/>
      <c r="C943" s="35"/>
      <c r="D943" s="35"/>
      <c r="E943" s="35"/>
      <c r="F943" s="122"/>
      <c r="G943" s="123"/>
      <c r="H943" s="122"/>
      <c r="I943" s="122"/>
      <c r="J943" s="122"/>
      <c r="K943" s="122"/>
      <c r="L943" s="124"/>
      <c r="M943" s="124"/>
      <c r="N943" s="124"/>
      <c r="O943" s="122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</row>
    <row r="944" spans="1:27" x14ac:dyDescent="0.25">
      <c r="A944" s="35"/>
      <c r="B944" s="35"/>
      <c r="C944" s="35"/>
      <c r="D944" s="35"/>
      <c r="E944" s="35"/>
      <c r="F944" s="122"/>
      <c r="G944" s="123"/>
      <c r="H944" s="122"/>
      <c r="I944" s="122"/>
      <c r="J944" s="122"/>
      <c r="K944" s="122"/>
      <c r="L944" s="124"/>
      <c r="M944" s="124"/>
      <c r="N944" s="124"/>
      <c r="O944" s="122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</row>
    <row r="945" spans="1:27" x14ac:dyDescent="0.25">
      <c r="A945" s="35"/>
      <c r="B945" s="35"/>
      <c r="C945" s="35"/>
      <c r="D945" s="35"/>
      <c r="E945" s="35"/>
      <c r="F945" s="122"/>
      <c r="G945" s="123"/>
      <c r="H945" s="122"/>
      <c r="I945" s="122"/>
      <c r="J945" s="122"/>
      <c r="K945" s="122"/>
      <c r="L945" s="124"/>
      <c r="M945" s="124"/>
      <c r="N945" s="124"/>
      <c r="O945" s="122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</row>
    <row r="946" spans="1:27" x14ac:dyDescent="0.25">
      <c r="A946" s="35"/>
      <c r="B946" s="35"/>
      <c r="C946" s="35"/>
      <c r="D946" s="35"/>
      <c r="E946" s="35"/>
      <c r="F946" s="122"/>
      <c r="G946" s="123"/>
      <c r="H946" s="122"/>
      <c r="I946" s="122"/>
      <c r="J946" s="122"/>
      <c r="K946" s="122"/>
      <c r="L946" s="124"/>
      <c r="M946" s="124"/>
      <c r="N946" s="124"/>
      <c r="O946" s="122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</row>
    <row r="947" spans="1:27" x14ac:dyDescent="0.25">
      <c r="A947" s="35"/>
      <c r="B947" s="35"/>
      <c r="C947" s="35"/>
      <c r="D947" s="35"/>
      <c r="E947" s="35"/>
      <c r="F947" s="122"/>
      <c r="G947" s="123"/>
      <c r="H947" s="122"/>
      <c r="I947" s="122"/>
      <c r="J947" s="122"/>
      <c r="K947" s="122"/>
      <c r="L947" s="124"/>
      <c r="M947" s="124"/>
      <c r="N947" s="124"/>
      <c r="O947" s="122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</row>
    <row r="948" spans="1:27" x14ac:dyDescent="0.25">
      <c r="A948" s="35"/>
      <c r="B948" s="35"/>
      <c r="C948" s="35"/>
      <c r="D948" s="35"/>
      <c r="E948" s="35"/>
      <c r="F948" s="122"/>
      <c r="G948" s="123"/>
      <c r="H948" s="122"/>
      <c r="I948" s="122"/>
      <c r="J948" s="122"/>
      <c r="K948" s="122"/>
      <c r="L948" s="124"/>
      <c r="M948" s="124"/>
      <c r="N948" s="124"/>
      <c r="O948" s="122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</row>
    <row r="949" spans="1:27" x14ac:dyDescent="0.25">
      <c r="A949" s="35"/>
      <c r="B949" s="35"/>
      <c r="C949" s="35"/>
      <c r="D949" s="35"/>
      <c r="E949" s="35"/>
      <c r="F949" s="122"/>
      <c r="G949" s="123"/>
      <c r="H949" s="122"/>
      <c r="I949" s="122"/>
      <c r="J949" s="122"/>
      <c r="K949" s="122"/>
      <c r="L949" s="124"/>
      <c r="M949" s="124"/>
      <c r="N949" s="124"/>
      <c r="O949" s="122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</row>
    <row r="950" spans="1:27" x14ac:dyDescent="0.25">
      <c r="A950" s="35"/>
      <c r="B950" s="35"/>
      <c r="C950" s="35"/>
      <c r="D950" s="35"/>
      <c r="E950" s="35"/>
      <c r="F950" s="122"/>
      <c r="G950" s="123"/>
      <c r="H950" s="122"/>
      <c r="I950" s="122"/>
      <c r="J950" s="122"/>
      <c r="K950" s="122"/>
      <c r="L950" s="124"/>
      <c r="M950" s="124"/>
      <c r="N950" s="124"/>
      <c r="O950" s="122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</row>
    <row r="951" spans="1:27" x14ac:dyDescent="0.25">
      <c r="A951" s="35"/>
      <c r="B951" s="35"/>
      <c r="C951" s="35"/>
      <c r="D951" s="35"/>
      <c r="E951" s="35"/>
      <c r="F951" s="122"/>
      <c r="G951" s="123"/>
      <c r="H951" s="122"/>
      <c r="I951" s="122"/>
      <c r="J951" s="122"/>
      <c r="K951" s="122"/>
      <c r="L951" s="124"/>
      <c r="M951" s="124"/>
      <c r="N951" s="124"/>
      <c r="O951" s="122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</row>
    <row r="952" spans="1:27" x14ac:dyDescent="0.25">
      <c r="A952" s="35"/>
      <c r="B952" s="35"/>
      <c r="C952" s="35"/>
      <c r="D952" s="35"/>
      <c r="E952" s="35"/>
      <c r="F952" s="122"/>
      <c r="G952" s="123"/>
      <c r="H952" s="122"/>
      <c r="I952" s="122"/>
      <c r="J952" s="122"/>
      <c r="K952" s="122"/>
      <c r="L952" s="124"/>
      <c r="M952" s="124"/>
      <c r="N952" s="124"/>
      <c r="O952" s="122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</row>
    <row r="953" spans="1:27" x14ac:dyDescent="0.25">
      <c r="A953" s="35"/>
      <c r="B953" s="35"/>
      <c r="C953" s="35"/>
      <c r="D953" s="35"/>
      <c r="E953" s="35"/>
      <c r="F953" s="122"/>
      <c r="G953" s="123"/>
      <c r="H953" s="122"/>
      <c r="I953" s="122"/>
      <c r="J953" s="122"/>
      <c r="K953" s="122"/>
      <c r="L953" s="124"/>
      <c r="M953" s="124"/>
      <c r="N953" s="124"/>
      <c r="O953" s="122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</row>
    <row r="954" spans="1:27" x14ac:dyDescent="0.25">
      <c r="A954" s="35"/>
      <c r="B954" s="35"/>
      <c r="C954" s="35"/>
      <c r="D954" s="35"/>
      <c r="E954" s="35"/>
      <c r="F954" s="122"/>
      <c r="G954" s="123"/>
      <c r="H954" s="122"/>
      <c r="I954" s="122"/>
      <c r="J954" s="122"/>
      <c r="K954" s="122"/>
      <c r="L954" s="124"/>
      <c r="M954" s="124"/>
      <c r="N954" s="124"/>
      <c r="O954" s="122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</row>
    <row r="955" spans="1:27" x14ac:dyDescent="0.25">
      <c r="A955" s="35"/>
      <c r="B955" s="35"/>
      <c r="C955" s="35"/>
      <c r="D955" s="35"/>
      <c r="E955" s="35"/>
      <c r="F955" s="122"/>
      <c r="G955" s="123"/>
      <c r="H955" s="122"/>
      <c r="I955" s="122"/>
      <c r="J955" s="122"/>
      <c r="K955" s="122"/>
      <c r="L955" s="124"/>
      <c r="M955" s="124"/>
      <c r="N955" s="124"/>
      <c r="O955" s="122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</row>
    <row r="956" spans="1:27" x14ac:dyDescent="0.25">
      <c r="A956" s="35"/>
      <c r="B956" s="35"/>
      <c r="C956" s="35"/>
      <c r="D956" s="35"/>
      <c r="E956" s="35"/>
      <c r="F956" s="122"/>
      <c r="G956" s="123"/>
      <c r="H956" s="122"/>
      <c r="I956" s="122"/>
      <c r="J956" s="122"/>
      <c r="K956" s="122"/>
      <c r="L956" s="124"/>
      <c r="M956" s="124"/>
      <c r="N956" s="124"/>
      <c r="O956" s="122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</row>
    <row r="957" spans="1:27" x14ac:dyDescent="0.25">
      <c r="A957" s="35"/>
      <c r="B957" s="35"/>
      <c r="C957" s="35"/>
      <c r="D957" s="35"/>
      <c r="E957" s="35"/>
      <c r="F957" s="122"/>
      <c r="G957" s="123"/>
      <c r="H957" s="122"/>
      <c r="I957" s="122"/>
      <c r="J957" s="122"/>
      <c r="K957" s="122"/>
      <c r="L957" s="124"/>
      <c r="M957" s="124"/>
      <c r="N957" s="124"/>
      <c r="O957" s="122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</row>
    <row r="958" spans="1:27" x14ac:dyDescent="0.25">
      <c r="A958" s="35"/>
      <c r="B958" s="35"/>
      <c r="C958" s="35"/>
      <c r="D958" s="35"/>
      <c r="E958" s="35"/>
      <c r="F958" s="122"/>
      <c r="G958" s="123"/>
      <c r="H958" s="122"/>
      <c r="I958" s="122"/>
      <c r="J958" s="122"/>
      <c r="K958" s="122"/>
      <c r="L958" s="124"/>
      <c r="M958" s="124"/>
      <c r="N958" s="124"/>
      <c r="O958" s="122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</row>
    <row r="959" spans="1:27" x14ac:dyDescent="0.25">
      <c r="A959" s="35"/>
      <c r="B959" s="35"/>
      <c r="C959" s="35"/>
      <c r="D959" s="35"/>
      <c r="E959" s="35"/>
      <c r="F959" s="122"/>
      <c r="G959" s="123"/>
      <c r="H959" s="122"/>
      <c r="I959" s="122"/>
      <c r="J959" s="122"/>
      <c r="K959" s="122"/>
      <c r="L959" s="124"/>
      <c r="M959" s="124"/>
      <c r="N959" s="124"/>
      <c r="O959" s="122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</row>
    <row r="960" spans="1:27" x14ac:dyDescent="0.25">
      <c r="A960" s="35"/>
      <c r="B960" s="35"/>
      <c r="C960" s="35"/>
      <c r="D960" s="35"/>
      <c r="E960" s="35"/>
      <c r="F960" s="122"/>
      <c r="G960" s="123"/>
      <c r="H960" s="122"/>
      <c r="I960" s="122"/>
      <c r="J960" s="122"/>
      <c r="K960" s="122"/>
      <c r="L960" s="124"/>
      <c r="M960" s="124"/>
      <c r="N960" s="124"/>
      <c r="O960" s="122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</row>
    <row r="961" spans="1:27" x14ac:dyDescent="0.25">
      <c r="A961" s="35"/>
      <c r="B961" s="35"/>
      <c r="C961" s="35"/>
      <c r="D961" s="35"/>
      <c r="E961" s="35"/>
      <c r="F961" s="122"/>
      <c r="G961" s="123"/>
      <c r="H961" s="122"/>
      <c r="I961" s="122"/>
      <c r="J961" s="122"/>
      <c r="K961" s="122"/>
      <c r="L961" s="124"/>
      <c r="M961" s="124"/>
      <c r="N961" s="124"/>
      <c r="O961" s="122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</row>
    <row r="962" spans="1:27" x14ac:dyDescent="0.25">
      <c r="A962" s="35"/>
      <c r="B962" s="35"/>
      <c r="C962" s="35"/>
      <c r="D962" s="35"/>
      <c r="E962" s="35"/>
      <c r="F962" s="122"/>
      <c r="G962" s="123"/>
      <c r="H962" s="122"/>
      <c r="I962" s="122"/>
      <c r="J962" s="122"/>
      <c r="K962" s="122"/>
      <c r="L962" s="124"/>
      <c r="M962" s="124"/>
      <c r="N962" s="124"/>
      <c r="O962" s="122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</row>
    <row r="963" spans="1:27" x14ac:dyDescent="0.25">
      <c r="A963" s="35"/>
      <c r="B963" s="35"/>
      <c r="C963" s="35"/>
      <c r="D963" s="35"/>
      <c r="E963" s="35"/>
      <c r="F963" s="122"/>
      <c r="G963" s="123"/>
      <c r="H963" s="122"/>
      <c r="I963" s="122"/>
      <c r="J963" s="122"/>
      <c r="K963" s="122"/>
      <c r="L963" s="124"/>
      <c r="M963" s="124"/>
      <c r="N963" s="124"/>
      <c r="O963" s="122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</row>
    <row r="964" spans="1:27" x14ac:dyDescent="0.25">
      <c r="A964" s="35"/>
      <c r="B964" s="35"/>
      <c r="C964" s="35"/>
      <c r="D964" s="35"/>
      <c r="E964" s="35"/>
      <c r="F964" s="122"/>
      <c r="G964" s="123"/>
      <c r="H964" s="122"/>
      <c r="I964" s="122"/>
      <c r="J964" s="122"/>
      <c r="K964" s="122"/>
      <c r="L964" s="124"/>
      <c r="M964" s="124"/>
      <c r="N964" s="124"/>
      <c r="O964" s="122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</row>
    <row r="965" spans="1:27" x14ac:dyDescent="0.25">
      <c r="A965" s="35"/>
      <c r="B965" s="35"/>
      <c r="C965" s="35"/>
      <c r="D965" s="35"/>
      <c r="E965" s="35"/>
      <c r="F965" s="122"/>
      <c r="G965" s="123"/>
      <c r="H965" s="122"/>
      <c r="I965" s="122"/>
      <c r="J965" s="122"/>
      <c r="K965" s="122"/>
      <c r="L965" s="124"/>
      <c r="M965" s="124"/>
      <c r="N965" s="124"/>
      <c r="O965" s="122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</row>
    <row r="966" spans="1:27" x14ac:dyDescent="0.25">
      <c r="A966" s="35"/>
      <c r="B966" s="35"/>
      <c r="C966" s="35"/>
      <c r="D966" s="35"/>
      <c r="E966" s="35"/>
      <c r="F966" s="122"/>
      <c r="G966" s="123"/>
      <c r="H966" s="122"/>
      <c r="I966" s="122"/>
      <c r="J966" s="122"/>
      <c r="K966" s="122"/>
      <c r="L966" s="124"/>
      <c r="M966" s="124"/>
      <c r="N966" s="124"/>
      <c r="O966" s="122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</row>
    <row r="967" spans="1:27" x14ac:dyDescent="0.25">
      <c r="A967" s="35"/>
      <c r="B967" s="35"/>
      <c r="C967" s="35"/>
      <c r="D967" s="35"/>
      <c r="E967" s="35"/>
      <c r="F967" s="122"/>
      <c r="G967" s="123"/>
      <c r="H967" s="122"/>
      <c r="I967" s="122"/>
      <c r="J967" s="122"/>
      <c r="K967" s="122"/>
      <c r="L967" s="124"/>
      <c r="M967" s="124"/>
      <c r="N967" s="124"/>
      <c r="O967" s="122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</row>
    <row r="968" spans="1:27" x14ac:dyDescent="0.25">
      <c r="A968" s="35"/>
      <c r="B968" s="35"/>
      <c r="C968" s="35"/>
      <c r="D968" s="35"/>
      <c r="E968" s="35"/>
      <c r="F968" s="122"/>
      <c r="G968" s="123"/>
      <c r="H968" s="122"/>
      <c r="I968" s="122"/>
      <c r="J968" s="122"/>
      <c r="K968" s="122"/>
      <c r="L968" s="124"/>
      <c r="M968" s="124"/>
      <c r="N968" s="124"/>
      <c r="O968" s="122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</row>
    <row r="969" spans="1:27" x14ac:dyDescent="0.25">
      <c r="A969" s="35"/>
      <c r="B969" s="35"/>
      <c r="C969" s="35"/>
      <c r="D969" s="35"/>
      <c r="E969" s="35"/>
      <c r="F969" s="122"/>
      <c r="G969" s="123"/>
      <c r="H969" s="122"/>
      <c r="I969" s="122"/>
      <c r="J969" s="122"/>
      <c r="K969" s="122"/>
      <c r="L969" s="124"/>
      <c r="M969" s="124"/>
      <c r="N969" s="124"/>
      <c r="O969" s="122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</row>
    <row r="970" spans="1:27" x14ac:dyDescent="0.25">
      <c r="A970" s="35"/>
      <c r="B970" s="35"/>
      <c r="C970" s="35"/>
      <c r="D970" s="35"/>
      <c r="E970" s="35"/>
      <c r="F970" s="122"/>
      <c r="G970" s="123"/>
      <c r="H970" s="122"/>
      <c r="I970" s="122"/>
      <c r="J970" s="122"/>
      <c r="K970" s="122"/>
      <c r="L970" s="124"/>
      <c r="M970" s="124"/>
      <c r="N970" s="124"/>
      <c r="O970" s="122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</row>
    <row r="971" spans="1:27" x14ac:dyDescent="0.25">
      <c r="A971" s="35"/>
      <c r="B971" s="35"/>
      <c r="C971" s="35"/>
      <c r="D971" s="35"/>
      <c r="E971" s="35"/>
      <c r="F971" s="122"/>
      <c r="G971" s="123"/>
      <c r="H971" s="122"/>
      <c r="I971" s="122"/>
      <c r="J971" s="122"/>
      <c r="K971" s="122"/>
      <c r="L971" s="124"/>
      <c r="M971" s="124"/>
      <c r="N971" s="124"/>
      <c r="O971" s="122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</row>
    <row r="972" spans="1:27" x14ac:dyDescent="0.25">
      <c r="A972" s="35"/>
      <c r="B972" s="35"/>
      <c r="C972" s="35"/>
      <c r="D972" s="35"/>
      <c r="E972" s="35"/>
      <c r="F972" s="122"/>
      <c r="G972" s="123"/>
      <c r="H972" s="122"/>
      <c r="I972" s="122"/>
      <c r="J972" s="122"/>
      <c r="K972" s="122"/>
      <c r="L972" s="124"/>
      <c r="M972" s="124"/>
      <c r="N972" s="124"/>
      <c r="O972" s="122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</row>
    <row r="973" spans="1:27" x14ac:dyDescent="0.25">
      <c r="A973" s="35"/>
      <c r="B973" s="35"/>
      <c r="C973" s="35"/>
      <c r="D973" s="35"/>
      <c r="E973" s="35"/>
      <c r="F973" s="122"/>
      <c r="G973" s="123"/>
      <c r="H973" s="122"/>
      <c r="I973" s="122"/>
      <c r="J973" s="122"/>
      <c r="K973" s="122"/>
      <c r="L973" s="124"/>
      <c r="M973" s="124"/>
      <c r="N973" s="124"/>
      <c r="O973" s="122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</row>
    <row r="974" spans="1:27" x14ac:dyDescent="0.25">
      <c r="A974" s="35"/>
      <c r="B974" s="35"/>
      <c r="C974" s="35"/>
      <c r="D974" s="35"/>
      <c r="E974" s="35"/>
      <c r="F974" s="122"/>
      <c r="G974" s="123"/>
      <c r="H974" s="122"/>
      <c r="I974" s="122"/>
      <c r="J974" s="122"/>
      <c r="K974" s="122"/>
      <c r="L974" s="124"/>
      <c r="M974" s="124"/>
      <c r="N974" s="124"/>
      <c r="O974" s="122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</row>
    <row r="975" spans="1:27" x14ac:dyDescent="0.25">
      <c r="A975" s="35"/>
      <c r="B975" s="35"/>
      <c r="C975" s="35"/>
      <c r="D975" s="35"/>
      <c r="E975" s="35"/>
      <c r="F975" s="122"/>
      <c r="G975" s="123"/>
      <c r="H975" s="122"/>
      <c r="I975" s="122"/>
      <c r="J975" s="122"/>
      <c r="K975" s="122"/>
      <c r="L975" s="124"/>
      <c r="M975" s="124"/>
      <c r="N975" s="124"/>
      <c r="O975" s="122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</row>
    <row r="976" spans="1:27" x14ac:dyDescent="0.25">
      <c r="A976" s="35"/>
      <c r="B976" s="35"/>
      <c r="C976" s="35"/>
      <c r="D976" s="35"/>
      <c r="E976" s="35"/>
      <c r="F976" s="122"/>
      <c r="G976" s="123"/>
      <c r="H976" s="122"/>
      <c r="I976" s="122"/>
      <c r="J976" s="122"/>
      <c r="K976" s="122"/>
      <c r="L976" s="124"/>
      <c r="M976" s="124"/>
      <c r="N976" s="124"/>
      <c r="O976" s="122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</row>
    <row r="977" spans="1:27" x14ac:dyDescent="0.25">
      <c r="A977" s="35"/>
      <c r="B977" s="35"/>
      <c r="C977" s="35"/>
      <c r="D977" s="35"/>
      <c r="E977" s="35"/>
      <c r="F977" s="122"/>
      <c r="G977" s="123"/>
      <c r="H977" s="122"/>
      <c r="I977" s="122"/>
      <c r="J977" s="122"/>
      <c r="K977" s="122"/>
      <c r="L977" s="124"/>
      <c r="M977" s="124"/>
      <c r="N977" s="124"/>
      <c r="O977" s="122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</row>
    <row r="978" spans="1:27" x14ac:dyDescent="0.25">
      <c r="A978" s="35"/>
      <c r="B978" s="35"/>
      <c r="C978" s="35"/>
      <c r="D978" s="35"/>
      <c r="E978" s="35"/>
      <c r="F978" s="122"/>
      <c r="G978" s="123"/>
      <c r="H978" s="122"/>
      <c r="I978" s="122"/>
      <c r="J978" s="122"/>
      <c r="K978" s="122"/>
      <c r="L978" s="124"/>
      <c r="M978" s="124"/>
      <c r="N978" s="124"/>
      <c r="O978" s="122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</row>
    <row r="979" spans="1:27" x14ac:dyDescent="0.25">
      <c r="A979" s="35"/>
      <c r="B979" s="35"/>
      <c r="C979" s="35"/>
      <c r="D979" s="35"/>
      <c r="E979" s="35"/>
      <c r="F979" s="122"/>
      <c r="G979" s="123"/>
      <c r="H979" s="122"/>
      <c r="I979" s="122"/>
      <c r="J979" s="122"/>
      <c r="K979" s="122"/>
      <c r="L979" s="124"/>
      <c r="M979" s="124"/>
      <c r="N979" s="124"/>
      <c r="O979" s="122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</row>
    <row r="980" spans="1:27" x14ac:dyDescent="0.25">
      <c r="A980" s="35"/>
      <c r="B980" s="35"/>
      <c r="C980" s="35"/>
      <c r="D980" s="35"/>
      <c r="E980" s="35"/>
      <c r="F980" s="122"/>
      <c r="G980" s="123"/>
      <c r="H980" s="122"/>
      <c r="I980" s="122"/>
      <c r="J980" s="122"/>
      <c r="K980" s="122"/>
      <c r="L980" s="124"/>
      <c r="M980" s="124"/>
      <c r="N980" s="124"/>
      <c r="O980" s="122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</row>
    <row r="981" spans="1:27" x14ac:dyDescent="0.25">
      <c r="A981" s="35"/>
      <c r="B981" s="35"/>
      <c r="C981" s="35"/>
      <c r="D981" s="35"/>
      <c r="E981" s="35"/>
      <c r="F981" s="122"/>
      <c r="G981" s="123"/>
      <c r="H981" s="122"/>
      <c r="I981" s="122"/>
      <c r="J981" s="122"/>
      <c r="K981" s="122"/>
      <c r="L981" s="124"/>
      <c r="M981" s="124"/>
      <c r="N981" s="124"/>
      <c r="O981" s="122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</row>
    <row r="982" spans="1:27" x14ac:dyDescent="0.25">
      <c r="A982" s="35"/>
      <c r="B982" s="35"/>
      <c r="C982" s="35"/>
      <c r="D982" s="35"/>
      <c r="E982" s="35"/>
      <c r="F982" s="122"/>
      <c r="G982" s="123"/>
      <c r="H982" s="122"/>
      <c r="I982" s="122"/>
      <c r="J982" s="122"/>
      <c r="K982" s="122"/>
      <c r="L982" s="124"/>
      <c r="M982" s="124"/>
      <c r="N982" s="124"/>
      <c r="O982" s="122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</row>
    <row r="983" spans="1:27" x14ac:dyDescent="0.25">
      <c r="A983" s="35"/>
      <c r="B983" s="35"/>
      <c r="C983" s="35"/>
      <c r="D983" s="35"/>
      <c r="E983" s="35"/>
      <c r="F983" s="122"/>
      <c r="G983" s="123"/>
      <c r="H983" s="122"/>
      <c r="I983" s="122"/>
      <c r="J983" s="122"/>
      <c r="K983" s="122"/>
      <c r="L983" s="124"/>
      <c r="M983" s="124"/>
      <c r="N983" s="124"/>
      <c r="O983" s="122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</row>
    <row r="984" spans="1:27" x14ac:dyDescent="0.25">
      <c r="A984" s="35"/>
      <c r="B984" s="35"/>
      <c r="C984" s="35"/>
      <c r="D984" s="35"/>
      <c r="E984" s="35"/>
      <c r="F984" s="122"/>
      <c r="G984" s="123"/>
      <c r="H984" s="122"/>
      <c r="I984" s="122"/>
      <c r="J984" s="122"/>
      <c r="K984" s="122"/>
      <c r="L984" s="124"/>
      <c r="M984" s="124"/>
      <c r="N984" s="124"/>
      <c r="O984" s="122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</row>
    <row r="985" spans="1:27" x14ac:dyDescent="0.25">
      <c r="A985" s="35"/>
      <c r="B985" s="35"/>
      <c r="C985" s="35"/>
      <c r="D985" s="35"/>
      <c r="E985" s="35"/>
      <c r="F985" s="122"/>
      <c r="G985" s="123"/>
      <c r="H985" s="122"/>
      <c r="I985" s="122"/>
      <c r="J985" s="122"/>
      <c r="K985" s="122"/>
      <c r="L985" s="124"/>
      <c r="M985" s="124"/>
      <c r="N985" s="124"/>
      <c r="O985" s="122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</row>
    <row r="986" spans="1:27" x14ac:dyDescent="0.25">
      <c r="A986" s="35"/>
      <c r="B986" s="35"/>
      <c r="C986" s="35"/>
      <c r="D986" s="35"/>
      <c r="E986" s="35"/>
      <c r="F986" s="122"/>
      <c r="G986" s="123"/>
      <c r="H986" s="122"/>
      <c r="I986" s="122"/>
      <c r="J986" s="122"/>
      <c r="K986" s="122"/>
      <c r="L986" s="124"/>
      <c r="M986" s="124"/>
      <c r="N986" s="124"/>
      <c r="O986" s="122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</row>
    <row r="987" spans="1:27" x14ac:dyDescent="0.25">
      <c r="A987" s="35"/>
      <c r="B987" s="35"/>
      <c r="C987" s="35"/>
      <c r="D987" s="35"/>
      <c r="E987" s="35"/>
      <c r="F987" s="122"/>
      <c r="G987" s="123"/>
      <c r="H987" s="122"/>
      <c r="I987" s="122"/>
      <c r="J987" s="122"/>
      <c r="K987" s="122"/>
      <c r="L987" s="124"/>
      <c r="M987" s="124"/>
      <c r="N987" s="124"/>
      <c r="O987" s="122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</row>
    <row r="988" spans="1:27" x14ac:dyDescent="0.25">
      <c r="A988" s="35"/>
      <c r="B988" s="35"/>
      <c r="C988" s="35"/>
      <c r="D988" s="35"/>
      <c r="E988" s="35"/>
      <c r="F988" s="122"/>
      <c r="G988" s="123"/>
      <c r="H988" s="122"/>
      <c r="I988" s="122"/>
      <c r="J988" s="122"/>
      <c r="K988" s="122"/>
      <c r="L988" s="124"/>
      <c r="M988" s="124"/>
      <c r="N988" s="124"/>
      <c r="O988" s="122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</row>
    <row r="989" spans="1:27" x14ac:dyDescent="0.25">
      <c r="A989" s="35"/>
      <c r="B989" s="35"/>
      <c r="C989" s="35"/>
      <c r="D989" s="35"/>
      <c r="E989" s="35"/>
      <c r="F989" s="122"/>
      <c r="G989" s="123"/>
      <c r="H989" s="122"/>
      <c r="I989" s="122"/>
      <c r="J989" s="122"/>
      <c r="K989" s="122"/>
      <c r="L989" s="124"/>
      <c r="M989" s="124"/>
      <c r="N989" s="124"/>
      <c r="O989" s="122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</row>
    <row r="990" spans="1:27" x14ac:dyDescent="0.25">
      <c r="A990" s="35"/>
      <c r="B990" s="35"/>
      <c r="C990" s="35"/>
      <c r="D990" s="35"/>
      <c r="E990" s="35"/>
      <c r="F990" s="122"/>
      <c r="G990" s="123"/>
      <c r="H990" s="122"/>
      <c r="I990" s="122"/>
      <c r="J990" s="122"/>
      <c r="K990" s="122"/>
      <c r="L990" s="124"/>
      <c r="M990" s="124"/>
      <c r="N990" s="124"/>
      <c r="O990" s="122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</row>
    <row r="991" spans="1:27" x14ac:dyDescent="0.25">
      <c r="A991" s="35"/>
      <c r="B991" s="35"/>
      <c r="C991" s="35"/>
      <c r="D991" s="35"/>
      <c r="E991" s="35"/>
      <c r="F991" s="122"/>
      <c r="G991" s="123"/>
      <c r="H991" s="122"/>
      <c r="I991" s="122"/>
      <c r="J991" s="122"/>
      <c r="K991" s="122"/>
      <c r="L991" s="124"/>
      <c r="M991" s="124"/>
      <c r="N991" s="124"/>
      <c r="O991" s="122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</row>
    <row r="992" spans="1:27" x14ac:dyDescent="0.25">
      <c r="A992" s="35"/>
      <c r="B992" s="35"/>
      <c r="C992" s="35"/>
      <c r="D992" s="35"/>
      <c r="E992" s="35"/>
      <c r="F992" s="122"/>
      <c r="G992" s="123"/>
      <c r="H992" s="122"/>
      <c r="I992" s="122"/>
      <c r="J992" s="122"/>
      <c r="K992" s="122"/>
      <c r="L992" s="124"/>
      <c r="M992" s="124"/>
      <c r="N992" s="124"/>
      <c r="O992" s="122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</row>
    <row r="993" spans="1:27" x14ac:dyDescent="0.25">
      <c r="A993" s="35"/>
      <c r="B993" s="35"/>
      <c r="C993" s="35"/>
      <c r="D993" s="35"/>
      <c r="E993" s="35"/>
      <c r="F993" s="122"/>
      <c r="G993" s="123"/>
      <c r="H993" s="122"/>
      <c r="I993" s="122"/>
      <c r="J993" s="122"/>
      <c r="K993" s="122"/>
      <c r="L993" s="124"/>
      <c r="M993" s="124"/>
      <c r="N993" s="124"/>
      <c r="O993" s="122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</row>
    <row r="994" spans="1:27" x14ac:dyDescent="0.25">
      <c r="A994" s="35"/>
      <c r="B994" s="35"/>
      <c r="C994" s="35"/>
      <c r="D994" s="35"/>
      <c r="E994" s="35"/>
      <c r="F994" s="122"/>
      <c r="G994" s="123"/>
      <c r="H994" s="122"/>
      <c r="I994" s="122"/>
      <c r="J994" s="122"/>
      <c r="K994" s="122"/>
      <c r="L994" s="124"/>
      <c r="M994" s="124"/>
      <c r="N994" s="124"/>
      <c r="O994" s="122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</row>
    <row r="995" spans="1:27" x14ac:dyDescent="0.25">
      <c r="A995" s="35"/>
      <c r="B995" s="35"/>
      <c r="C995" s="35"/>
      <c r="D995" s="35"/>
      <c r="E995" s="35"/>
      <c r="F995" s="122"/>
      <c r="G995" s="123"/>
      <c r="H995" s="122"/>
      <c r="I995" s="122"/>
      <c r="J995" s="122"/>
      <c r="K995" s="122"/>
      <c r="L995" s="124"/>
      <c r="M995" s="124"/>
      <c r="N995" s="124"/>
      <c r="O995" s="122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</row>
    <row r="996" spans="1:27" x14ac:dyDescent="0.25">
      <c r="A996" s="35"/>
      <c r="B996" s="35"/>
      <c r="C996" s="35"/>
      <c r="D996" s="35"/>
      <c r="E996" s="35"/>
      <c r="F996" s="122"/>
      <c r="G996" s="123"/>
      <c r="H996" s="122"/>
      <c r="I996" s="122"/>
      <c r="J996" s="122"/>
      <c r="K996" s="122"/>
      <c r="L996" s="124"/>
      <c r="M996" s="124"/>
      <c r="N996" s="124"/>
      <c r="O996" s="122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</row>
    <row r="997" spans="1:27" x14ac:dyDescent="0.25">
      <c r="A997" s="35"/>
      <c r="B997" s="35"/>
      <c r="C997" s="35"/>
      <c r="D997" s="35"/>
      <c r="E997" s="35"/>
      <c r="F997" s="122"/>
      <c r="G997" s="123"/>
      <c r="H997" s="122"/>
      <c r="I997" s="122"/>
      <c r="J997" s="122"/>
      <c r="K997" s="122"/>
      <c r="L997" s="124"/>
      <c r="M997" s="124"/>
      <c r="N997" s="124"/>
      <c r="O997" s="122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</row>
    <row r="998" spans="1:27" x14ac:dyDescent="0.25">
      <c r="A998" s="35"/>
      <c r="B998" s="35"/>
      <c r="C998" s="35"/>
      <c r="D998" s="35"/>
      <c r="E998" s="35"/>
      <c r="F998" s="122"/>
      <c r="G998" s="123"/>
      <c r="H998" s="122"/>
      <c r="I998" s="122"/>
      <c r="J998" s="122"/>
      <c r="K998" s="122"/>
      <c r="L998" s="124"/>
      <c r="M998" s="124"/>
      <c r="N998" s="124"/>
      <c r="O998" s="122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</row>
    <row r="999" spans="1:27" x14ac:dyDescent="0.25">
      <c r="A999" s="35"/>
      <c r="B999" s="35"/>
      <c r="C999" s="35"/>
      <c r="D999" s="35"/>
      <c r="E999" s="35"/>
      <c r="F999" s="122"/>
      <c r="G999" s="123"/>
      <c r="H999" s="122"/>
      <c r="I999" s="122"/>
      <c r="J999" s="122"/>
      <c r="K999" s="122"/>
      <c r="L999" s="124"/>
      <c r="M999" s="124"/>
      <c r="N999" s="124"/>
      <c r="O999" s="122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</row>
    <row r="1000" spans="1:27" x14ac:dyDescent="0.25">
      <c r="A1000" s="35"/>
      <c r="B1000" s="35"/>
      <c r="C1000" s="35"/>
      <c r="D1000" s="35"/>
      <c r="E1000" s="35"/>
      <c r="F1000" s="122"/>
      <c r="G1000" s="123"/>
      <c r="H1000" s="122"/>
      <c r="I1000" s="122"/>
      <c r="J1000" s="122"/>
      <c r="K1000" s="122"/>
      <c r="L1000" s="124"/>
      <c r="M1000" s="124"/>
      <c r="N1000" s="124"/>
      <c r="O1000" s="122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</row>
    <row r="1001" spans="1:27" x14ac:dyDescent="0.25">
      <c r="A1001" s="35"/>
      <c r="B1001" s="35"/>
      <c r="C1001" s="35"/>
      <c r="D1001" s="35"/>
      <c r="E1001" s="35"/>
      <c r="F1001" s="122"/>
      <c r="G1001" s="123"/>
      <c r="H1001" s="122"/>
      <c r="I1001" s="122"/>
      <c r="J1001" s="122"/>
      <c r="K1001" s="122"/>
      <c r="L1001" s="124"/>
      <c r="M1001" s="124"/>
      <c r="N1001" s="124"/>
      <c r="O1001" s="122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</row>
    <row r="1002" spans="1:27" x14ac:dyDescent="0.25">
      <c r="A1002" s="35"/>
      <c r="B1002" s="35"/>
      <c r="C1002" s="35"/>
      <c r="D1002" s="35"/>
      <c r="E1002" s="35"/>
      <c r="F1002" s="122"/>
      <c r="G1002" s="123"/>
      <c r="H1002" s="122"/>
      <c r="I1002" s="122"/>
      <c r="J1002" s="122"/>
      <c r="K1002" s="122"/>
      <c r="L1002" s="124"/>
      <c r="M1002" s="124"/>
      <c r="N1002" s="124"/>
      <c r="O1002" s="122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</row>
    <row r="1003" spans="1:27" x14ac:dyDescent="0.25">
      <c r="A1003" s="35"/>
      <c r="B1003" s="35"/>
      <c r="C1003" s="35"/>
      <c r="D1003" s="35"/>
      <c r="E1003" s="35"/>
      <c r="F1003" s="122"/>
      <c r="G1003" s="123"/>
      <c r="H1003" s="122"/>
      <c r="I1003" s="122"/>
      <c r="J1003" s="122"/>
      <c r="K1003" s="122"/>
      <c r="L1003" s="124"/>
      <c r="M1003" s="124"/>
      <c r="N1003" s="124"/>
      <c r="O1003" s="122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</row>
    <row r="1004" spans="1:27" x14ac:dyDescent="0.25">
      <c r="A1004" s="35"/>
      <c r="B1004" s="35"/>
      <c r="C1004" s="35"/>
      <c r="D1004" s="35"/>
      <c r="E1004" s="35"/>
      <c r="F1004" s="122"/>
      <c r="G1004" s="123"/>
      <c r="H1004" s="122"/>
      <c r="I1004" s="122"/>
      <c r="J1004" s="122"/>
      <c r="K1004" s="122"/>
      <c r="L1004" s="124"/>
      <c r="M1004" s="124"/>
      <c r="N1004" s="124"/>
      <c r="O1004" s="122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</row>
    <row r="1005" spans="1:27" x14ac:dyDescent="0.25">
      <c r="A1005" s="35"/>
      <c r="B1005" s="35"/>
      <c r="C1005" s="35"/>
      <c r="D1005" s="35"/>
      <c r="E1005" s="35"/>
      <c r="F1005" s="122"/>
      <c r="G1005" s="123"/>
      <c r="H1005" s="122"/>
      <c r="I1005" s="122"/>
      <c r="J1005" s="122"/>
      <c r="K1005" s="122"/>
      <c r="L1005" s="124"/>
      <c r="M1005" s="124"/>
      <c r="N1005" s="124"/>
      <c r="O1005" s="122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</row>
    <row r="1006" spans="1:27" x14ac:dyDescent="0.25">
      <c r="A1006" s="35"/>
      <c r="B1006" s="35"/>
      <c r="C1006" s="35"/>
      <c r="D1006" s="35"/>
      <c r="E1006" s="35"/>
      <c r="F1006" s="122"/>
      <c r="G1006" s="123"/>
      <c r="H1006" s="122"/>
      <c r="I1006" s="122"/>
      <c r="J1006" s="122"/>
      <c r="K1006" s="122"/>
      <c r="L1006" s="124"/>
      <c r="M1006" s="124"/>
      <c r="N1006" s="124"/>
      <c r="O1006" s="122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</row>
    <row r="1007" spans="1:27" x14ac:dyDescent="0.25">
      <c r="A1007" s="35"/>
      <c r="B1007" s="35"/>
      <c r="C1007" s="35"/>
      <c r="D1007" s="35"/>
      <c r="E1007" s="35"/>
      <c r="F1007" s="122"/>
      <c r="G1007" s="123"/>
      <c r="H1007" s="122"/>
      <c r="I1007" s="122"/>
      <c r="J1007" s="122"/>
      <c r="K1007" s="122"/>
      <c r="L1007" s="124"/>
      <c r="M1007" s="124"/>
      <c r="N1007" s="124"/>
      <c r="O1007" s="122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</row>
    <row r="1008" spans="1:27" x14ac:dyDescent="0.25">
      <c r="A1008" s="35"/>
      <c r="B1008" s="35"/>
      <c r="C1008" s="35"/>
      <c r="D1008" s="35"/>
      <c r="E1008" s="35"/>
      <c r="F1008" s="122"/>
      <c r="G1008" s="123"/>
      <c r="H1008" s="122"/>
      <c r="I1008" s="122"/>
      <c r="J1008" s="122"/>
      <c r="K1008" s="122"/>
      <c r="L1008" s="124"/>
      <c r="M1008" s="124"/>
      <c r="N1008" s="124"/>
      <c r="O1008" s="122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</row>
    <row r="1009" spans="1:27" x14ac:dyDescent="0.25">
      <c r="A1009" s="35"/>
      <c r="B1009" s="35"/>
      <c r="C1009" s="35"/>
      <c r="D1009" s="35"/>
      <c r="E1009" s="35"/>
      <c r="F1009" s="122"/>
      <c r="G1009" s="123"/>
      <c r="H1009" s="122"/>
      <c r="I1009" s="122"/>
      <c r="J1009" s="122"/>
      <c r="K1009" s="122"/>
      <c r="L1009" s="124"/>
      <c r="M1009" s="124"/>
      <c r="N1009" s="124"/>
      <c r="O1009" s="122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</row>
    <row r="1010" spans="1:27" x14ac:dyDescent="0.25">
      <c r="A1010" s="35"/>
      <c r="B1010" s="35"/>
      <c r="C1010" s="35"/>
      <c r="D1010" s="35"/>
      <c r="E1010" s="35"/>
      <c r="F1010" s="122"/>
      <c r="G1010" s="123"/>
      <c r="H1010" s="122"/>
      <c r="I1010" s="122"/>
      <c r="J1010" s="122"/>
      <c r="K1010" s="122"/>
      <c r="L1010" s="124"/>
      <c r="M1010" s="124"/>
      <c r="N1010" s="124"/>
      <c r="O1010" s="122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</row>
    <row r="1011" spans="1:27" x14ac:dyDescent="0.25">
      <c r="A1011" s="35"/>
      <c r="B1011" s="35"/>
      <c r="C1011" s="35"/>
      <c r="D1011" s="35"/>
      <c r="E1011" s="35"/>
      <c r="F1011" s="122"/>
      <c r="G1011" s="123"/>
      <c r="H1011" s="122"/>
      <c r="I1011" s="122"/>
      <c r="J1011" s="122"/>
      <c r="K1011" s="122"/>
      <c r="L1011" s="124"/>
      <c r="M1011" s="124"/>
      <c r="N1011" s="124"/>
      <c r="O1011" s="122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</row>
    <row r="1012" spans="1:27" x14ac:dyDescent="0.25">
      <c r="A1012" s="35"/>
      <c r="B1012" s="35"/>
      <c r="C1012" s="35"/>
      <c r="D1012" s="35"/>
      <c r="E1012" s="35"/>
      <c r="F1012" s="122"/>
      <c r="G1012" s="123"/>
      <c r="H1012" s="122"/>
      <c r="I1012" s="122"/>
      <c r="J1012" s="122"/>
      <c r="K1012" s="122"/>
      <c r="L1012" s="124"/>
      <c r="M1012" s="124"/>
      <c r="N1012" s="124"/>
      <c r="O1012" s="122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</row>
    <row r="1013" spans="1:27" x14ac:dyDescent="0.25">
      <c r="A1013" s="35"/>
      <c r="B1013" s="35"/>
      <c r="C1013" s="35"/>
      <c r="D1013" s="35"/>
      <c r="E1013" s="35"/>
      <c r="F1013" s="122"/>
      <c r="G1013" s="123"/>
      <c r="H1013" s="122"/>
      <c r="I1013" s="122"/>
      <c r="J1013" s="122"/>
      <c r="K1013" s="122"/>
      <c r="L1013" s="124"/>
      <c r="M1013" s="124"/>
      <c r="N1013" s="124"/>
      <c r="O1013" s="122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</row>
    <row r="1014" spans="1:27" x14ac:dyDescent="0.25">
      <c r="A1014" s="35"/>
      <c r="B1014" s="35"/>
      <c r="C1014" s="35"/>
      <c r="D1014" s="35"/>
      <c r="E1014" s="35"/>
      <c r="F1014" s="122"/>
      <c r="G1014" s="123"/>
      <c r="H1014" s="122"/>
      <c r="I1014" s="122"/>
      <c r="J1014" s="122"/>
      <c r="K1014" s="122"/>
      <c r="L1014" s="124"/>
      <c r="M1014" s="124"/>
      <c r="N1014" s="124"/>
      <c r="O1014" s="122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</row>
    <row r="1015" spans="1:27" x14ac:dyDescent="0.25">
      <c r="A1015" s="35"/>
      <c r="B1015" s="35"/>
      <c r="C1015" s="35"/>
      <c r="D1015" s="35"/>
      <c r="E1015" s="35"/>
      <c r="F1015" s="122"/>
      <c r="G1015" s="123"/>
      <c r="H1015" s="122"/>
      <c r="I1015" s="122"/>
      <c r="J1015" s="122"/>
      <c r="K1015" s="122"/>
      <c r="L1015" s="124"/>
      <c r="M1015" s="124"/>
      <c r="N1015" s="124"/>
      <c r="O1015" s="122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</row>
    <row r="1016" spans="1:27" x14ac:dyDescent="0.25">
      <c r="A1016" s="35"/>
      <c r="B1016" s="35"/>
      <c r="C1016" s="35"/>
      <c r="D1016" s="35"/>
      <c r="E1016" s="35"/>
      <c r="F1016" s="122"/>
      <c r="G1016" s="123"/>
      <c r="H1016" s="122"/>
      <c r="I1016" s="122"/>
      <c r="J1016" s="122"/>
      <c r="K1016" s="122"/>
      <c r="L1016" s="124"/>
      <c r="M1016" s="124"/>
      <c r="N1016" s="124"/>
      <c r="O1016" s="122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  <c r="AA1016" s="35"/>
    </row>
    <row r="1017" spans="1:27" x14ac:dyDescent="0.25">
      <c r="A1017" s="35"/>
      <c r="B1017" s="35"/>
      <c r="C1017" s="35"/>
      <c r="D1017" s="35"/>
      <c r="E1017" s="35"/>
      <c r="F1017" s="122"/>
      <c r="G1017" s="123"/>
      <c r="H1017" s="122"/>
      <c r="I1017" s="122"/>
      <c r="J1017" s="122"/>
      <c r="K1017" s="122"/>
      <c r="L1017" s="124"/>
      <c r="M1017" s="124"/>
      <c r="N1017" s="124"/>
      <c r="O1017" s="122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  <c r="AA1017" s="35"/>
    </row>
    <row r="1018" spans="1:27" x14ac:dyDescent="0.25">
      <c r="A1018" s="35"/>
      <c r="B1018" s="35"/>
      <c r="C1018" s="35"/>
      <c r="D1018" s="35"/>
      <c r="E1018" s="35"/>
      <c r="F1018" s="122"/>
      <c r="G1018" s="123"/>
      <c r="H1018" s="122"/>
      <c r="I1018" s="122"/>
      <c r="J1018" s="122"/>
      <c r="K1018" s="122"/>
      <c r="L1018" s="124"/>
      <c r="M1018" s="124"/>
      <c r="N1018" s="124"/>
      <c r="O1018" s="122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  <c r="AA1018" s="35"/>
    </row>
    <row r="1019" spans="1:27" x14ac:dyDescent="0.25">
      <c r="A1019" s="35"/>
      <c r="B1019" s="35"/>
      <c r="C1019" s="35"/>
      <c r="D1019" s="35"/>
      <c r="E1019" s="35"/>
      <c r="F1019" s="122"/>
      <c r="G1019" s="123"/>
      <c r="H1019" s="122"/>
      <c r="I1019" s="122"/>
      <c r="J1019" s="122"/>
      <c r="K1019" s="122"/>
      <c r="L1019" s="124"/>
      <c r="M1019" s="124"/>
      <c r="N1019" s="124"/>
      <c r="O1019" s="122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  <c r="AA1019" s="35"/>
    </row>
  </sheetData>
  <mergeCells count="8">
    <mergeCell ref="A59:B59"/>
    <mergeCell ref="A54:B54"/>
    <mergeCell ref="A45:D45"/>
    <mergeCell ref="B14:H14"/>
    <mergeCell ref="B15:H15"/>
    <mergeCell ref="B16:H16"/>
    <mergeCell ref="L19:N19"/>
    <mergeCell ref="G43:H43"/>
  </mergeCells>
  <pageMargins left="0.7" right="0.7" top="0.75" bottom="0.75" header="0" footer="0"/>
  <pageSetup paperSize="179" scale="60" fitToHeight="0" orientation="landscape" r:id="rId1"/>
  <rowBreaks count="1" manualBreakCount="1">
    <brk id="44" max="2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FF"/>
    <outlinePr summaryBelow="0" summaryRight="0"/>
    <pageSetUpPr fitToPage="1"/>
  </sheetPr>
  <dimension ref="A1:BB234"/>
  <sheetViews>
    <sheetView view="pageBreakPreview" topLeftCell="A13" zoomScale="79" zoomScaleNormal="100" workbookViewId="0">
      <selection activeCell="AS28" sqref="AS28"/>
    </sheetView>
  </sheetViews>
  <sheetFormatPr defaultColWidth="12.6640625" defaultRowHeight="15" customHeight="1" x14ac:dyDescent="0.25"/>
  <cols>
    <col min="1" max="1" width="18.88671875" customWidth="1"/>
    <col min="2" max="2" width="63.21875" bestFit="1" customWidth="1"/>
    <col min="3" max="3" width="11.33203125" hidden="1" customWidth="1"/>
    <col min="4" max="4" width="14.21875" customWidth="1"/>
    <col min="5" max="5" width="9.77734375" hidden="1" customWidth="1"/>
    <col min="6" max="6" width="28.77734375" hidden="1" customWidth="1"/>
    <col min="7" max="7" width="35.88671875" hidden="1" customWidth="1"/>
    <col min="8" max="8" width="21.44140625" hidden="1" customWidth="1"/>
    <col min="9" max="9" width="20.109375" customWidth="1"/>
    <col min="10" max="10" width="12.6640625" hidden="1" customWidth="1"/>
    <col min="11" max="11" width="16.44140625" hidden="1" customWidth="1"/>
    <col min="12" max="13" width="12" hidden="1" customWidth="1"/>
    <col min="14" max="14" width="13.44140625" hidden="1" customWidth="1"/>
    <col min="15" max="15" width="14.109375" hidden="1" customWidth="1"/>
    <col min="16" max="16" width="12.6640625" hidden="1" customWidth="1"/>
    <col min="17" max="23" width="12.6640625" customWidth="1"/>
    <col min="24" max="24" width="13.44140625" bestFit="1" customWidth="1"/>
    <col min="25" max="25" width="17.109375" customWidth="1"/>
    <col min="26" max="44" width="12.6640625" hidden="1" customWidth="1"/>
    <col min="45" max="45" width="21.88671875" customWidth="1"/>
    <col min="46" max="54" width="12.6640625" customWidth="1"/>
  </cols>
  <sheetData>
    <row r="1" spans="1:54" ht="12.75" customHeight="1" x14ac:dyDescent="0.25">
      <c r="A1" s="125" t="s">
        <v>74</v>
      </c>
      <c r="B1" s="125"/>
      <c r="C1" s="125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7"/>
      <c r="R1" s="127"/>
      <c r="S1" s="127"/>
      <c r="T1" s="127"/>
      <c r="U1" s="128"/>
      <c r="V1" s="128"/>
      <c r="W1" s="128"/>
      <c r="X1" s="128"/>
      <c r="Y1" s="126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30"/>
      <c r="AT1" s="503"/>
      <c r="AU1" s="131"/>
      <c r="AV1" s="131"/>
      <c r="AW1" s="131"/>
      <c r="AX1" s="131"/>
      <c r="AY1" s="131"/>
      <c r="AZ1" s="131"/>
      <c r="BA1" s="131"/>
      <c r="BB1" s="131"/>
    </row>
    <row r="2" spans="1:54" ht="12.75" customHeight="1" x14ac:dyDescent="0.25">
      <c r="A2" s="125"/>
      <c r="B2" s="125"/>
      <c r="C2" s="125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7"/>
      <c r="R2" s="127"/>
      <c r="S2" s="127"/>
      <c r="T2" s="127"/>
      <c r="U2" s="128"/>
      <c r="V2" s="128"/>
      <c r="W2" s="128"/>
      <c r="X2" s="128"/>
      <c r="Y2" s="126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30"/>
      <c r="AT2" s="499"/>
      <c r="AU2" s="131"/>
      <c r="AV2" s="131"/>
      <c r="AW2" s="131"/>
      <c r="AX2" s="131"/>
      <c r="AY2" s="131"/>
      <c r="AZ2" s="131"/>
      <c r="BA2" s="131"/>
      <c r="BB2" s="131"/>
    </row>
    <row r="3" spans="1:54" ht="12.75" customHeight="1" x14ac:dyDescent="0.25">
      <c r="A3" s="132"/>
      <c r="B3" s="133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5"/>
      <c r="R3" s="135"/>
      <c r="S3" s="135"/>
      <c r="T3" s="135"/>
      <c r="U3" s="136"/>
      <c r="V3" s="136"/>
      <c r="W3" s="136"/>
      <c r="X3" s="136"/>
      <c r="Y3" s="134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8"/>
      <c r="AT3" s="499"/>
      <c r="AU3" s="139"/>
      <c r="AV3" s="139"/>
      <c r="AW3" s="139"/>
      <c r="AX3" s="139"/>
      <c r="AY3" s="139"/>
      <c r="AZ3" s="139"/>
      <c r="BA3" s="139"/>
      <c r="BB3" s="139"/>
    </row>
    <row r="4" spans="1:54" ht="12.75" customHeight="1" x14ac:dyDescent="0.25">
      <c r="A4" s="132"/>
      <c r="B4" s="133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5"/>
      <c r="R4" s="135"/>
      <c r="S4" s="135"/>
      <c r="T4" s="135"/>
      <c r="U4" s="136"/>
      <c r="V4" s="136"/>
      <c r="W4" s="136"/>
      <c r="X4" s="136"/>
      <c r="Y4" s="134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8"/>
      <c r="AT4" s="499"/>
      <c r="AU4" s="139"/>
      <c r="AV4" s="139"/>
      <c r="AW4" s="139"/>
      <c r="AX4" s="139"/>
      <c r="AY4" s="139"/>
      <c r="AZ4" s="139"/>
      <c r="BA4" s="139"/>
      <c r="BB4" s="139"/>
    </row>
    <row r="5" spans="1:54" ht="12.75" customHeight="1" x14ac:dyDescent="0.25">
      <c r="A5" s="132"/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5"/>
      <c r="R5" s="135"/>
      <c r="S5" s="135"/>
      <c r="T5" s="135"/>
      <c r="U5" s="136"/>
      <c r="V5" s="136"/>
      <c r="W5" s="136"/>
      <c r="X5" s="136"/>
      <c r="Y5" s="134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8"/>
      <c r="AT5" s="499"/>
      <c r="AU5" s="139"/>
      <c r="AV5" s="139"/>
      <c r="AW5" s="139"/>
      <c r="AX5" s="139"/>
      <c r="AY5" s="139"/>
      <c r="AZ5" s="139"/>
      <c r="BA5" s="139"/>
      <c r="BB5" s="139"/>
    </row>
    <row r="6" spans="1:54" ht="12.75" customHeight="1" x14ac:dyDescent="0.25">
      <c r="A6" s="132"/>
      <c r="B6" s="133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5"/>
      <c r="R6" s="135"/>
      <c r="S6" s="135"/>
      <c r="T6" s="135"/>
      <c r="U6" s="136"/>
      <c r="V6" s="136"/>
      <c r="W6" s="136"/>
      <c r="X6" s="136"/>
      <c r="Y6" s="134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8"/>
      <c r="AT6" s="499"/>
      <c r="AU6" s="139"/>
      <c r="AV6" s="139"/>
      <c r="AW6" s="139"/>
      <c r="AX6" s="139"/>
      <c r="AY6" s="139"/>
      <c r="AZ6" s="139"/>
      <c r="BA6" s="139"/>
      <c r="BB6" s="139"/>
    </row>
    <row r="7" spans="1:54" ht="12.75" customHeight="1" x14ac:dyDescent="0.25">
      <c r="A7" s="132"/>
      <c r="B7" s="133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5"/>
      <c r="R7" s="135"/>
      <c r="S7" s="135"/>
      <c r="T7" s="135"/>
      <c r="U7" s="136"/>
      <c r="V7" s="136"/>
      <c r="W7" s="136"/>
      <c r="X7" s="136"/>
      <c r="Y7" s="134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8"/>
      <c r="AT7" s="499"/>
      <c r="AU7" s="139"/>
      <c r="AV7" s="139"/>
      <c r="AW7" s="139"/>
      <c r="AX7" s="139"/>
      <c r="AY7" s="139"/>
      <c r="AZ7" s="139"/>
      <c r="BA7" s="139"/>
      <c r="BB7" s="139"/>
    </row>
    <row r="8" spans="1:54" ht="12.75" customHeight="1" x14ac:dyDescent="0.25">
      <c r="A8" s="132"/>
      <c r="B8" s="133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5"/>
      <c r="R8" s="135"/>
      <c r="S8" s="135"/>
      <c r="T8" s="135"/>
      <c r="U8" s="136"/>
      <c r="V8" s="136"/>
      <c r="W8" s="136"/>
      <c r="X8" s="136"/>
      <c r="Y8" s="134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8"/>
      <c r="AT8" s="499"/>
      <c r="AU8" s="139"/>
      <c r="AV8" s="139"/>
      <c r="AW8" s="139"/>
      <c r="AX8" s="139"/>
      <c r="AY8" s="139"/>
      <c r="AZ8" s="139"/>
      <c r="BA8" s="139"/>
      <c r="BB8" s="139"/>
    </row>
    <row r="9" spans="1:54" ht="12.75" customHeight="1" x14ac:dyDescent="0.25">
      <c r="A9" s="132"/>
      <c r="B9" s="133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5"/>
      <c r="R9" s="135"/>
      <c r="S9" s="135"/>
      <c r="T9" s="135"/>
      <c r="U9" s="136"/>
      <c r="V9" s="136"/>
      <c r="W9" s="136"/>
      <c r="X9" s="136"/>
      <c r="Y9" s="134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8"/>
      <c r="AT9" s="499"/>
      <c r="AU9" s="139"/>
      <c r="AV9" s="139"/>
      <c r="AW9" s="139"/>
      <c r="AX9" s="139"/>
      <c r="AY9" s="139"/>
      <c r="AZ9" s="139"/>
      <c r="BA9" s="139"/>
      <c r="BB9" s="139"/>
    </row>
    <row r="10" spans="1:54" ht="12.75" customHeight="1" x14ac:dyDescent="0.25">
      <c r="A10" s="132"/>
      <c r="B10" s="133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5"/>
      <c r="R10" s="135"/>
      <c r="S10" s="135"/>
      <c r="T10" s="135"/>
      <c r="U10" s="136"/>
      <c r="V10" s="136"/>
      <c r="W10" s="136"/>
      <c r="X10" s="136"/>
      <c r="Y10" s="134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8"/>
      <c r="AT10" s="499"/>
      <c r="AU10" s="139"/>
      <c r="AV10" s="139"/>
      <c r="AW10" s="139"/>
      <c r="AX10" s="139"/>
      <c r="AY10" s="139"/>
      <c r="AZ10" s="139"/>
      <c r="BA10" s="139"/>
      <c r="BB10" s="139"/>
    </row>
    <row r="11" spans="1:54" ht="12.75" customHeight="1" x14ac:dyDescent="0.25">
      <c r="A11" s="132"/>
      <c r="B11" s="133"/>
      <c r="C11" s="134"/>
      <c r="D11" s="134" t="s">
        <v>74</v>
      </c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5"/>
      <c r="R11" s="135"/>
      <c r="S11" s="135"/>
      <c r="T11" s="135"/>
      <c r="U11" s="136"/>
      <c r="V11" s="136"/>
      <c r="W11" s="136"/>
      <c r="X11" s="136"/>
      <c r="Y11" s="134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8"/>
      <c r="AT11" s="499"/>
      <c r="AU11" s="139"/>
      <c r="AV11" s="139"/>
      <c r="AW11" s="139"/>
      <c r="AX11" s="139"/>
      <c r="AY11" s="139"/>
      <c r="AZ11" s="139"/>
      <c r="BA11" s="139"/>
      <c r="BB11" s="139"/>
    </row>
    <row r="12" spans="1:54" ht="12.75" customHeight="1" x14ac:dyDescent="0.25">
      <c r="A12" s="132"/>
      <c r="B12" s="133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5"/>
      <c r="R12" s="135"/>
      <c r="S12" s="135"/>
      <c r="T12" s="135"/>
      <c r="U12" s="136"/>
      <c r="V12" s="136"/>
      <c r="W12" s="136"/>
      <c r="X12" s="136"/>
      <c r="Y12" s="134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8"/>
      <c r="AT12" s="499"/>
      <c r="AU12" s="139"/>
      <c r="AV12" s="139"/>
      <c r="AW12" s="139"/>
      <c r="AX12" s="139"/>
      <c r="AY12" s="139"/>
      <c r="AZ12" s="139"/>
      <c r="BA12" s="139"/>
      <c r="BB12" s="139"/>
    </row>
    <row r="13" spans="1:54" ht="12.75" customHeight="1" x14ac:dyDescent="0.25">
      <c r="A13" s="132"/>
      <c r="B13" s="133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5"/>
      <c r="R13" s="135"/>
      <c r="S13" s="135"/>
      <c r="T13" s="135"/>
      <c r="U13" s="136"/>
      <c r="V13" s="136"/>
      <c r="W13" s="136"/>
      <c r="X13" s="136"/>
      <c r="Y13" s="134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8"/>
      <c r="AT13" s="499"/>
      <c r="AU13" s="139"/>
      <c r="AV13" s="139"/>
      <c r="AW13" s="139"/>
      <c r="AX13" s="139"/>
      <c r="AY13" s="139"/>
      <c r="AZ13" s="139"/>
      <c r="BA13" s="139"/>
      <c r="BB13" s="139"/>
    </row>
    <row r="14" spans="1:54" ht="12.75" customHeight="1" x14ac:dyDescent="0.25">
      <c r="A14" s="132"/>
      <c r="B14" s="133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5"/>
      <c r="R14" s="135"/>
      <c r="S14" s="135"/>
      <c r="T14" s="135"/>
      <c r="U14" s="136"/>
      <c r="V14" s="136"/>
      <c r="W14" s="136"/>
      <c r="X14" s="136"/>
      <c r="Y14" s="134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8"/>
      <c r="AT14" s="499"/>
      <c r="AU14" s="139"/>
      <c r="AV14" s="139"/>
      <c r="AW14" s="139"/>
      <c r="AX14" s="139"/>
      <c r="AY14" s="139"/>
      <c r="AZ14" s="139"/>
      <c r="BA14" s="139"/>
      <c r="BB14" s="139"/>
    </row>
    <row r="15" spans="1:54" ht="12.75" customHeight="1" x14ac:dyDescent="0.25">
      <c r="A15" s="140" t="s">
        <v>0</v>
      </c>
      <c r="B15" s="504" t="s">
        <v>1</v>
      </c>
      <c r="C15" s="484"/>
      <c r="D15" s="484"/>
      <c r="E15" s="484"/>
      <c r="F15" s="484"/>
      <c r="G15" s="484"/>
      <c r="H15" s="485"/>
      <c r="I15" s="134"/>
      <c r="J15" s="134"/>
      <c r="K15" s="134"/>
      <c r="L15" s="134"/>
      <c r="M15" s="134"/>
      <c r="N15" s="134"/>
      <c r="O15" s="134"/>
      <c r="P15" s="134"/>
      <c r="Q15" s="135"/>
      <c r="R15" s="135"/>
      <c r="S15" s="135"/>
      <c r="T15" s="135"/>
      <c r="U15" s="136"/>
      <c r="V15" s="136"/>
      <c r="W15" s="136"/>
      <c r="X15" s="136"/>
      <c r="Y15" s="134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8"/>
      <c r="AT15" s="499"/>
      <c r="AU15" s="139"/>
      <c r="AV15" s="139"/>
      <c r="AW15" s="139"/>
      <c r="AX15" s="139"/>
      <c r="AY15" s="139"/>
      <c r="AZ15" s="139"/>
      <c r="BA15" s="139"/>
      <c r="BB15" s="139"/>
    </row>
    <row r="16" spans="1:54" ht="12.75" customHeight="1" x14ac:dyDescent="0.25">
      <c r="A16" s="140" t="s">
        <v>2</v>
      </c>
      <c r="B16" s="504" t="s">
        <v>3</v>
      </c>
      <c r="C16" s="484"/>
      <c r="D16" s="484"/>
      <c r="E16" s="484"/>
      <c r="F16" s="484"/>
      <c r="G16" s="484"/>
      <c r="H16" s="485"/>
      <c r="I16" s="134"/>
      <c r="J16" s="134"/>
      <c r="K16" s="134"/>
      <c r="L16" s="134"/>
      <c r="M16" s="134"/>
      <c r="N16" s="134"/>
      <c r="O16" s="134"/>
      <c r="P16" s="134"/>
      <c r="Q16" s="135"/>
      <c r="R16" s="135"/>
      <c r="S16" s="135"/>
      <c r="T16" s="135"/>
      <c r="U16" s="136"/>
      <c r="V16" s="136"/>
      <c r="W16" s="136"/>
      <c r="X16" s="136"/>
      <c r="Y16" s="134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8"/>
      <c r="AT16" s="499"/>
      <c r="AU16" s="139"/>
      <c r="AV16" s="139"/>
      <c r="AW16" s="139"/>
      <c r="AX16" s="139"/>
      <c r="AY16" s="139"/>
      <c r="AZ16" s="139"/>
      <c r="BA16" s="139"/>
      <c r="BB16" s="139"/>
    </row>
    <row r="17" spans="1:54" ht="12.75" customHeight="1" x14ac:dyDescent="0.25">
      <c r="A17" s="140" t="s">
        <v>4</v>
      </c>
      <c r="B17" s="497">
        <f ca="1">TODAY()</f>
        <v>46251</v>
      </c>
      <c r="C17" s="484"/>
      <c r="D17" s="484"/>
      <c r="E17" s="484"/>
      <c r="F17" s="484"/>
      <c r="G17" s="484"/>
      <c r="H17" s="485"/>
      <c r="I17" s="134"/>
      <c r="J17" s="134"/>
      <c r="K17" s="134"/>
      <c r="L17" s="134"/>
      <c r="M17" s="134"/>
      <c r="N17" s="134"/>
      <c r="O17" s="134"/>
      <c r="P17" s="134"/>
      <c r="Q17" s="135"/>
      <c r="R17" s="135"/>
      <c r="S17" s="135"/>
      <c r="T17" s="135"/>
      <c r="U17" s="136"/>
      <c r="V17" s="136"/>
      <c r="W17" s="136"/>
      <c r="X17" s="136"/>
      <c r="Y17" s="134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8"/>
      <c r="AT17" s="499"/>
      <c r="AU17" s="139"/>
      <c r="AV17" s="139"/>
      <c r="AW17" s="139"/>
      <c r="AX17" s="139"/>
      <c r="AY17" s="139"/>
      <c r="AZ17" s="139"/>
      <c r="BA17" s="139"/>
      <c r="BB17" s="139"/>
    </row>
    <row r="18" spans="1:54" ht="12.75" customHeight="1" x14ac:dyDescent="0.25">
      <c r="A18" s="132"/>
      <c r="B18" s="133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5"/>
      <c r="R18" s="135"/>
      <c r="S18" s="135"/>
      <c r="T18" s="135"/>
      <c r="U18" s="136"/>
      <c r="V18" s="136"/>
      <c r="W18" s="136"/>
      <c r="X18" s="136"/>
      <c r="Y18" s="134"/>
      <c r="Z18" s="137"/>
      <c r="AA18" s="505" t="s">
        <v>75</v>
      </c>
      <c r="AB18" s="499"/>
      <c r="AC18" s="499"/>
      <c r="AD18" s="499"/>
      <c r="AE18" s="499"/>
      <c r="AF18" s="499"/>
      <c r="AG18" s="499"/>
      <c r="AH18" s="499"/>
      <c r="AI18" s="137"/>
      <c r="AJ18" s="506" t="s">
        <v>13</v>
      </c>
      <c r="AK18" s="499"/>
      <c r="AL18" s="499"/>
      <c r="AM18" s="499"/>
      <c r="AN18" s="499"/>
      <c r="AO18" s="499"/>
      <c r="AP18" s="499"/>
      <c r="AQ18" s="499"/>
      <c r="AR18" s="141"/>
      <c r="AS18" s="142" t="s">
        <v>76</v>
      </c>
      <c r="AT18" s="499"/>
      <c r="AU18" s="498" t="s">
        <v>77</v>
      </c>
      <c r="AV18" s="499"/>
      <c r="AW18" s="499"/>
      <c r="AX18" s="499"/>
      <c r="AY18" s="499"/>
      <c r="AZ18" s="499"/>
      <c r="BA18" s="499"/>
      <c r="BB18" s="499"/>
    </row>
    <row r="19" spans="1:54" ht="34.5" customHeight="1" x14ac:dyDescent="0.25">
      <c r="A19" s="143" t="s">
        <v>8</v>
      </c>
      <c r="B19" s="143" t="s">
        <v>78</v>
      </c>
      <c r="C19" s="144" t="s">
        <v>75</v>
      </c>
      <c r="D19" s="145" t="s">
        <v>75</v>
      </c>
      <c r="E19" s="145" t="s">
        <v>79</v>
      </c>
      <c r="F19" s="145" t="s">
        <v>80</v>
      </c>
      <c r="G19" s="145" t="s">
        <v>81</v>
      </c>
      <c r="H19" s="145" t="s">
        <v>82</v>
      </c>
      <c r="I19" s="145" t="s">
        <v>10</v>
      </c>
      <c r="J19" s="137"/>
      <c r="K19" s="146"/>
      <c r="L19" s="137"/>
      <c r="M19" s="137"/>
      <c r="N19" s="137"/>
      <c r="O19" s="137"/>
      <c r="P19" s="137"/>
      <c r="Q19" s="511" t="s">
        <v>75</v>
      </c>
      <c r="R19" s="492"/>
      <c r="S19" s="492"/>
      <c r="T19" s="512"/>
      <c r="U19" s="513" t="s">
        <v>13</v>
      </c>
      <c r="V19" s="492"/>
      <c r="W19" s="492"/>
      <c r="X19" s="512"/>
      <c r="Y19" s="147" t="s">
        <v>83</v>
      </c>
      <c r="Z19" s="137"/>
      <c r="AA19" s="148" t="s">
        <v>84</v>
      </c>
      <c r="AB19" s="148" t="s">
        <v>85</v>
      </c>
      <c r="AC19" s="148" t="s">
        <v>86</v>
      </c>
      <c r="AD19" s="148" t="s">
        <v>87</v>
      </c>
      <c r="AE19" s="148" t="s">
        <v>88</v>
      </c>
      <c r="AF19" s="148" t="s">
        <v>89</v>
      </c>
      <c r="AG19" s="148" t="s">
        <v>90</v>
      </c>
      <c r="AH19" s="148" t="s">
        <v>91</v>
      </c>
      <c r="AI19" s="149"/>
      <c r="AJ19" s="150" t="s">
        <v>84</v>
      </c>
      <c r="AK19" s="150" t="s">
        <v>85</v>
      </c>
      <c r="AL19" s="150" t="s">
        <v>86</v>
      </c>
      <c r="AM19" s="150" t="s">
        <v>87</v>
      </c>
      <c r="AN19" s="150" t="s">
        <v>88</v>
      </c>
      <c r="AO19" s="150" t="s">
        <v>89</v>
      </c>
      <c r="AP19" s="150" t="s">
        <v>90</v>
      </c>
      <c r="AQ19" s="150" t="s">
        <v>91</v>
      </c>
      <c r="AR19" s="149"/>
      <c r="AS19" s="142" t="s">
        <v>84</v>
      </c>
      <c r="AT19" s="499"/>
      <c r="AU19" s="151" t="s">
        <v>84</v>
      </c>
      <c r="AV19" s="151" t="s">
        <v>85</v>
      </c>
      <c r="AW19" s="151" t="s">
        <v>86</v>
      </c>
      <c r="AX19" s="151" t="s">
        <v>87</v>
      </c>
      <c r="AY19" s="151" t="s">
        <v>88</v>
      </c>
      <c r="AZ19" s="151" t="s">
        <v>89</v>
      </c>
      <c r="BA19" s="151" t="s">
        <v>90</v>
      </c>
      <c r="BB19" s="151" t="s">
        <v>91</v>
      </c>
    </row>
    <row r="20" spans="1:54" ht="15" customHeight="1" x14ac:dyDescent="0.25">
      <c r="A20" s="152" t="s">
        <v>17</v>
      </c>
      <c r="B20" s="153" t="s">
        <v>18</v>
      </c>
      <c r="C20" s="153"/>
      <c r="D20" s="154"/>
      <c r="E20" s="155"/>
      <c r="F20" s="155"/>
      <c r="G20" s="155"/>
      <c r="H20" s="155"/>
      <c r="I20" s="155"/>
      <c r="J20" s="137"/>
      <c r="K20" s="146"/>
      <c r="L20" s="137"/>
      <c r="M20" s="137"/>
      <c r="N20" s="137"/>
      <c r="O20" s="137"/>
      <c r="P20" s="137"/>
      <c r="Q20" s="156" t="s">
        <v>20</v>
      </c>
      <c r="R20" s="157" t="s">
        <v>19</v>
      </c>
      <c r="S20" s="157" t="s">
        <v>21</v>
      </c>
      <c r="T20" s="157" t="s">
        <v>50</v>
      </c>
      <c r="U20" s="158" t="s">
        <v>20</v>
      </c>
      <c r="V20" s="158" t="s">
        <v>19</v>
      </c>
      <c r="W20" s="158" t="s">
        <v>21</v>
      </c>
      <c r="X20" s="158" t="s">
        <v>50</v>
      </c>
      <c r="Y20" s="159" t="s">
        <v>92</v>
      </c>
      <c r="Z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8"/>
      <c r="AT20" s="499"/>
      <c r="AU20" s="139"/>
      <c r="AV20" s="139"/>
      <c r="AW20" s="139"/>
      <c r="AX20" s="139"/>
      <c r="AY20" s="139"/>
      <c r="AZ20" s="139"/>
      <c r="BA20" s="139"/>
      <c r="BB20" s="139"/>
    </row>
    <row r="21" spans="1:54" ht="12.75" customHeight="1" x14ac:dyDescent="0.25">
      <c r="A21" s="160"/>
      <c r="B21" s="161" t="s">
        <v>93</v>
      </c>
      <c r="C21" s="162">
        <v>1</v>
      </c>
      <c r="D21" s="162">
        <v>1</v>
      </c>
      <c r="E21" s="162" t="s">
        <v>94</v>
      </c>
      <c r="F21" s="163"/>
      <c r="G21" s="163"/>
      <c r="H21" s="163"/>
      <c r="I21" s="164"/>
      <c r="J21" s="137"/>
      <c r="K21" s="146"/>
      <c r="L21" s="137"/>
      <c r="M21" s="137"/>
      <c r="N21" s="137"/>
      <c r="O21" s="137"/>
      <c r="P21" s="137"/>
      <c r="Q21" s="165"/>
      <c r="R21" s="166"/>
      <c r="S21" s="166"/>
      <c r="T21" s="166"/>
      <c r="U21" s="167"/>
      <c r="V21" s="167"/>
      <c r="W21" s="167"/>
      <c r="X21" s="167"/>
      <c r="Y21" s="168"/>
      <c r="Z21" s="137"/>
      <c r="AA21" s="166"/>
      <c r="AB21" s="137"/>
      <c r="AC21" s="137"/>
      <c r="AD21" s="137"/>
      <c r="AE21" s="137"/>
      <c r="AF21" s="137"/>
      <c r="AG21" s="137"/>
      <c r="AH21" s="137"/>
      <c r="AI21" s="137"/>
      <c r="AJ21" s="169"/>
      <c r="AK21" s="137"/>
      <c r="AL21" s="137"/>
      <c r="AM21" s="137"/>
      <c r="AN21" s="137"/>
      <c r="AO21" s="137"/>
      <c r="AP21" s="137"/>
      <c r="AQ21" s="137"/>
      <c r="AR21" s="137"/>
      <c r="AS21" s="138"/>
      <c r="AT21" s="499"/>
      <c r="AU21" s="139"/>
      <c r="AV21" s="139"/>
      <c r="AW21" s="139"/>
      <c r="AX21" s="139"/>
      <c r="AY21" s="139"/>
      <c r="AZ21" s="139"/>
      <c r="BA21" s="139"/>
      <c r="BB21" s="139"/>
    </row>
    <row r="22" spans="1:54" ht="12.75" customHeight="1" x14ac:dyDescent="0.25">
      <c r="A22" s="160"/>
      <c r="B22" s="161" t="s">
        <v>95</v>
      </c>
      <c r="C22" s="162">
        <v>10</v>
      </c>
      <c r="D22" s="162">
        <v>8</v>
      </c>
      <c r="E22" s="162" t="s">
        <v>96</v>
      </c>
      <c r="F22" s="163"/>
      <c r="G22" s="163">
        <v>35000</v>
      </c>
      <c r="H22" s="163">
        <f>SUM(F22:G22)</f>
        <v>35000</v>
      </c>
      <c r="I22" s="164">
        <f>H22*D22</f>
        <v>280000</v>
      </c>
      <c r="J22" s="137"/>
      <c r="K22" s="146"/>
      <c r="L22" s="137"/>
      <c r="M22" s="137"/>
      <c r="N22" s="137"/>
      <c r="O22" s="137"/>
      <c r="P22" s="137"/>
      <c r="Q22" s="165">
        <f>SUM(AA22:AH22)</f>
        <v>2.4</v>
      </c>
      <c r="R22" s="166">
        <f>Y22*D22</f>
        <v>2</v>
      </c>
      <c r="S22" s="166">
        <f>SUM(Q22:R22)</f>
        <v>4.4000000000000004</v>
      </c>
      <c r="T22" s="166">
        <f>D22-S22</f>
        <v>3.5999999999999996</v>
      </c>
      <c r="U22" s="167">
        <f>SUM(AJ21:AQ21)</f>
        <v>0</v>
      </c>
      <c r="V22" s="167">
        <f>Y22*I22</f>
        <v>70000</v>
      </c>
      <c r="W22" s="167">
        <f>SUM(U22:V22)</f>
        <v>70000</v>
      </c>
      <c r="X22" s="167">
        <f>I22-W22</f>
        <v>210000</v>
      </c>
      <c r="Y22" s="168">
        <f>SUM(AS22)</f>
        <v>0.25</v>
      </c>
      <c r="Z22" s="137"/>
      <c r="AA22" s="166">
        <v>2.4</v>
      </c>
      <c r="AB22" s="137"/>
      <c r="AC22" s="137"/>
      <c r="AD22" s="137"/>
      <c r="AE22" s="137"/>
      <c r="AF22" s="137"/>
      <c r="AG22" s="137"/>
      <c r="AH22" s="137"/>
      <c r="AI22" s="137"/>
      <c r="AJ22" s="169">
        <v>84000</v>
      </c>
      <c r="AK22" s="137"/>
      <c r="AL22" s="137"/>
      <c r="AM22" s="137"/>
      <c r="AN22" s="137"/>
      <c r="AO22" s="137"/>
      <c r="AP22" s="137"/>
      <c r="AQ22" s="137"/>
      <c r="AR22" s="137"/>
      <c r="AS22" s="138">
        <v>0.25</v>
      </c>
      <c r="AT22" s="499"/>
      <c r="AU22" s="139">
        <v>0.3</v>
      </c>
      <c r="AV22" s="138">
        <v>0.2</v>
      </c>
      <c r="AW22" s="139"/>
      <c r="AX22" s="139"/>
      <c r="AY22" s="139"/>
      <c r="AZ22" s="139"/>
      <c r="BA22" s="139"/>
      <c r="BB22" s="139"/>
    </row>
    <row r="23" spans="1:54" ht="12.75" customHeight="1" x14ac:dyDescent="0.25">
      <c r="A23" s="160"/>
      <c r="B23" s="161" t="s">
        <v>97</v>
      </c>
      <c r="C23" s="162">
        <v>1</v>
      </c>
      <c r="D23" s="162"/>
      <c r="E23" s="162" t="s">
        <v>94</v>
      </c>
      <c r="F23" s="170"/>
      <c r="G23" s="170" t="s">
        <v>98</v>
      </c>
      <c r="H23" s="170" t="s">
        <v>98</v>
      </c>
      <c r="I23" s="164"/>
      <c r="J23" s="137"/>
      <c r="K23" s="146"/>
      <c r="L23" s="137"/>
      <c r="M23" s="137"/>
      <c r="N23" s="137"/>
      <c r="O23" s="137"/>
      <c r="P23" s="137"/>
      <c r="Q23" s="165"/>
      <c r="R23" s="166"/>
      <c r="S23" s="166"/>
      <c r="T23" s="166"/>
      <c r="U23" s="167"/>
      <c r="V23" s="167"/>
      <c r="W23" s="167"/>
      <c r="X23" s="167"/>
      <c r="Y23" s="168"/>
      <c r="Z23" s="137"/>
      <c r="AA23" s="166"/>
      <c r="AB23" s="137"/>
      <c r="AC23" s="137"/>
      <c r="AD23" s="137"/>
      <c r="AE23" s="137"/>
      <c r="AF23" s="137"/>
      <c r="AG23" s="137"/>
      <c r="AH23" s="137"/>
      <c r="AI23" s="137"/>
      <c r="AJ23" s="169"/>
      <c r="AK23" s="137"/>
      <c r="AL23" s="137"/>
      <c r="AM23" s="137"/>
      <c r="AN23" s="137"/>
      <c r="AO23" s="137"/>
      <c r="AP23" s="137"/>
      <c r="AQ23" s="137"/>
      <c r="AR23" s="137"/>
      <c r="AS23" s="138"/>
      <c r="AT23" s="499"/>
      <c r="AU23" s="139"/>
      <c r="AV23" s="138"/>
      <c r="AW23" s="139"/>
      <c r="AX23" s="139"/>
      <c r="AY23" s="139"/>
      <c r="AZ23" s="139"/>
      <c r="BA23" s="139"/>
      <c r="BB23" s="139"/>
    </row>
    <row r="24" spans="1:54" ht="12.75" customHeight="1" x14ac:dyDescent="0.25">
      <c r="A24" s="160"/>
      <c r="B24" s="161" t="s">
        <v>99</v>
      </c>
      <c r="C24" s="162">
        <v>10</v>
      </c>
      <c r="D24" s="162">
        <v>8</v>
      </c>
      <c r="E24" s="162" t="s">
        <v>96</v>
      </c>
      <c r="F24" s="163"/>
      <c r="G24" s="163">
        <v>8000</v>
      </c>
      <c r="H24" s="163">
        <f t="shared" ref="H24:H25" si="0">SUM(F24:G24)</f>
        <v>8000</v>
      </c>
      <c r="I24" s="164">
        <f t="shared" ref="I24:I25" si="1">H24*D24</f>
        <v>64000</v>
      </c>
      <c r="J24" s="137"/>
      <c r="K24" s="146"/>
      <c r="L24" s="137"/>
      <c r="M24" s="137"/>
      <c r="N24" s="137"/>
      <c r="O24" s="137"/>
      <c r="P24" s="137"/>
      <c r="Q24" s="165">
        <f t="shared" ref="Q24:Q25" si="2">SUM(AA24:AH24)</f>
        <v>2.4</v>
      </c>
      <c r="R24" s="166">
        <f t="shared" ref="R24:R25" si="3">Y24*D24</f>
        <v>2</v>
      </c>
      <c r="S24" s="166">
        <f t="shared" ref="S24:S25" si="4">SUM(Q24:R24)</f>
        <v>4.4000000000000004</v>
      </c>
      <c r="T24" s="166">
        <f t="shared" ref="T24:T25" si="5">D24-S24</f>
        <v>3.5999999999999996</v>
      </c>
      <c r="U24" s="167">
        <f t="shared" ref="U24:U25" si="6">SUM(AJ23:AQ23)</f>
        <v>0</v>
      </c>
      <c r="V24" s="167">
        <f t="shared" ref="V24:V25" si="7">Y24*I24</f>
        <v>16000</v>
      </c>
      <c r="W24" s="167">
        <f t="shared" ref="W24:W25" si="8">SUM(U24:V24)</f>
        <v>16000</v>
      </c>
      <c r="X24" s="167">
        <f t="shared" ref="X24:X25" si="9">I24-W24</f>
        <v>48000</v>
      </c>
      <c r="Y24" s="168">
        <f t="shared" ref="Y24:Y25" si="10">SUM(AS24)</f>
        <v>0.25</v>
      </c>
      <c r="Z24" s="137"/>
      <c r="AA24" s="166">
        <v>2.4</v>
      </c>
      <c r="AB24" s="137"/>
      <c r="AC24" s="137"/>
      <c r="AD24" s="137"/>
      <c r="AE24" s="137"/>
      <c r="AF24" s="137"/>
      <c r="AG24" s="137"/>
      <c r="AH24" s="137"/>
      <c r="AI24" s="137"/>
      <c r="AJ24" s="169">
        <v>19200</v>
      </c>
      <c r="AK24" s="137"/>
      <c r="AL24" s="137"/>
      <c r="AM24" s="137"/>
      <c r="AN24" s="137"/>
      <c r="AO24" s="137"/>
      <c r="AP24" s="137"/>
      <c r="AQ24" s="137"/>
      <c r="AR24" s="137"/>
      <c r="AS24" s="138">
        <v>0.25</v>
      </c>
      <c r="AT24" s="499"/>
      <c r="AU24" s="139">
        <v>0.3</v>
      </c>
      <c r="AV24" s="138">
        <v>0.2</v>
      </c>
      <c r="AW24" s="139"/>
      <c r="AX24" s="139"/>
      <c r="AY24" s="139"/>
      <c r="AZ24" s="139"/>
      <c r="BA24" s="139"/>
      <c r="BB24" s="139"/>
    </row>
    <row r="25" spans="1:54" ht="12.75" customHeight="1" x14ac:dyDescent="0.25">
      <c r="A25" s="160"/>
      <c r="B25" s="161" t="s">
        <v>100</v>
      </c>
      <c r="C25" s="162">
        <v>10</v>
      </c>
      <c r="D25" s="162">
        <v>8</v>
      </c>
      <c r="E25" s="162" t="s">
        <v>96</v>
      </c>
      <c r="F25" s="163"/>
      <c r="G25" s="163">
        <v>15000</v>
      </c>
      <c r="H25" s="163">
        <f t="shared" si="0"/>
        <v>15000</v>
      </c>
      <c r="I25" s="164">
        <f t="shared" si="1"/>
        <v>120000</v>
      </c>
      <c r="J25" s="137"/>
      <c r="K25" s="146"/>
      <c r="L25" s="137"/>
      <c r="M25" s="137"/>
      <c r="N25" s="137"/>
      <c r="O25" s="137"/>
      <c r="P25" s="137"/>
      <c r="Q25" s="165">
        <f t="shared" si="2"/>
        <v>2.4</v>
      </c>
      <c r="R25" s="166">
        <f t="shared" si="3"/>
        <v>2</v>
      </c>
      <c r="S25" s="166">
        <f t="shared" si="4"/>
        <v>4.4000000000000004</v>
      </c>
      <c r="T25" s="166">
        <f t="shared" si="5"/>
        <v>3.5999999999999996</v>
      </c>
      <c r="U25" s="167">
        <f t="shared" si="6"/>
        <v>19200</v>
      </c>
      <c r="V25" s="167">
        <f t="shared" si="7"/>
        <v>30000</v>
      </c>
      <c r="W25" s="167">
        <f t="shared" si="8"/>
        <v>49200</v>
      </c>
      <c r="X25" s="167">
        <f t="shared" si="9"/>
        <v>70800</v>
      </c>
      <c r="Y25" s="168">
        <f t="shared" si="10"/>
        <v>0.25</v>
      </c>
      <c r="Z25" s="137"/>
      <c r="AA25" s="166">
        <v>2.4</v>
      </c>
      <c r="AB25" s="137"/>
      <c r="AC25" s="137"/>
      <c r="AD25" s="137"/>
      <c r="AE25" s="137"/>
      <c r="AF25" s="137"/>
      <c r="AG25" s="137"/>
      <c r="AH25" s="137"/>
      <c r="AI25" s="137"/>
      <c r="AJ25" s="169">
        <v>36000</v>
      </c>
      <c r="AK25" s="137"/>
      <c r="AL25" s="137"/>
      <c r="AM25" s="137"/>
      <c r="AN25" s="137"/>
      <c r="AO25" s="137"/>
      <c r="AP25" s="137"/>
      <c r="AQ25" s="137"/>
      <c r="AR25" s="137"/>
      <c r="AS25" s="138">
        <v>0.25</v>
      </c>
      <c r="AT25" s="499"/>
      <c r="AU25" s="139">
        <v>0.3</v>
      </c>
      <c r="AV25" s="138">
        <v>0.2</v>
      </c>
      <c r="AW25" s="139"/>
      <c r="AX25" s="139"/>
      <c r="AY25" s="139"/>
      <c r="AZ25" s="139"/>
      <c r="BA25" s="139"/>
      <c r="BB25" s="139"/>
    </row>
    <row r="26" spans="1:54" ht="12.75" customHeight="1" x14ac:dyDescent="0.25">
      <c r="A26" s="160"/>
      <c r="B26" s="161" t="s">
        <v>101</v>
      </c>
      <c r="C26" s="162">
        <v>1</v>
      </c>
      <c r="D26" s="162">
        <v>1</v>
      </c>
      <c r="E26" s="162" t="s">
        <v>94</v>
      </c>
      <c r="F26" s="162"/>
      <c r="G26" s="162" t="s">
        <v>102</v>
      </c>
      <c r="H26" s="170" t="s">
        <v>103</v>
      </c>
      <c r="I26" s="164"/>
      <c r="J26" s="137"/>
      <c r="K26" s="146"/>
      <c r="L26" s="137"/>
      <c r="M26" s="137"/>
      <c r="N26" s="137"/>
      <c r="O26" s="137"/>
      <c r="P26" s="137"/>
      <c r="Q26" s="165"/>
      <c r="R26" s="166"/>
      <c r="S26" s="166"/>
      <c r="T26" s="166"/>
      <c r="U26" s="167"/>
      <c r="V26" s="167"/>
      <c r="W26" s="167"/>
      <c r="X26" s="167"/>
      <c r="Y26" s="168"/>
      <c r="Z26" s="137"/>
      <c r="AA26" s="166"/>
      <c r="AB26" s="137"/>
      <c r="AC26" s="137"/>
      <c r="AD26" s="137"/>
      <c r="AE26" s="137"/>
      <c r="AF26" s="137"/>
      <c r="AG26" s="137"/>
      <c r="AH26" s="137"/>
      <c r="AI26" s="137"/>
      <c r="AJ26" s="169"/>
      <c r="AK26" s="137"/>
      <c r="AL26" s="137"/>
      <c r="AM26" s="137"/>
      <c r="AN26" s="137"/>
      <c r="AO26" s="137"/>
      <c r="AP26" s="137"/>
      <c r="AQ26" s="137"/>
      <c r="AR26" s="137"/>
      <c r="AS26" s="138"/>
      <c r="AT26" s="499"/>
      <c r="AU26" s="139"/>
      <c r="AV26" s="138"/>
      <c r="AW26" s="139"/>
      <c r="AX26" s="139"/>
      <c r="AY26" s="139"/>
      <c r="AZ26" s="139"/>
      <c r="BA26" s="139"/>
      <c r="BB26" s="139"/>
    </row>
    <row r="27" spans="1:54" ht="12.75" customHeight="1" x14ac:dyDescent="0.25">
      <c r="A27" s="160"/>
      <c r="B27" s="161" t="s">
        <v>104</v>
      </c>
      <c r="C27" s="162">
        <v>1</v>
      </c>
      <c r="D27" s="162">
        <v>1</v>
      </c>
      <c r="E27" s="162" t="s">
        <v>94</v>
      </c>
      <c r="F27" s="163"/>
      <c r="G27" s="163">
        <v>60000</v>
      </c>
      <c r="H27" s="163">
        <f>SUM(F27:G27)</f>
        <v>60000</v>
      </c>
      <c r="I27" s="164">
        <f>H27*D27</f>
        <v>60000</v>
      </c>
      <c r="J27" s="137"/>
      <c r="K27" s="146"/>
      <c r="L27" s="137"/>
      <c r="M27" s="137"/>
      <c r="N27" s="137"/>
      <c r="O27" s="137"/>
      <c r="P27" s="137"/>
      <c r="Q27" s="165">
        <f>SUM(AA27:AH27)</f>
        <v>0.3</v>
      </c>
      <c r="R27" s="166">
        <f>Y27*D27</f>
        <v>0.25</v>
      </c>
      <c r="S27" s="166">
        <f>SUM(Q27:R27)</f>
        <v>0.55000000000000004</v>
      </c>
      <c r="T27" s="166">
        <f>D27-S27</f>
        <v>0.44999999999999996</v>
      </c>
      <c r="U27" s="167">
        <f>SUM(AJ26:AQ26)</f>
        <v>0</v>
      </c>
      <c r="V27" s="167">
        <f>Y27*I27</f>
        <v>15000</v>
      </c>
      <c r="W27" s="167">
        <f>SUM(U27:V27)</f>
        <v>15000</v>
      </c>
      <c r="X27" s="167">
        <f>I27-W27</f>
        <v>45000</v>
      </c>
      <c r="Y27" s="168">
        <f>SUM(AS27)</f>
        <v>0.25</v>
      </c>
      <c r="Z27" s="137"/>
      <c r="AA27" s="166">
        <v>0.3</v>
      </c>
      <c r="AB27" s="137"/>
      <c r="AC27" s="137"/>
      <c r="AD27" s="137"/>
      <c r="AE27" s="137"/>
      <c r="AF27" s="137"/>
      <c r="AG27" s="137"/>
      <c r="AH27" s="137"/>
      <c r="AI27" s="137"/>
      <c r="AJ27" s="169">
        <v>18000</v>
      </c>
      <c r="AK27" s="137"/>
      <c r="AL27" s="137"/>
      <c r="AM27" s="137"/>
      <c r="AN27" s="137"/>
      <c r="AO27" s="137"/>
      <c r="AP27" s="137"/>
      <c r="AQ27" s="137"/>
      <c r="AR27" s="137"/>
      <c r="AS27" s="138">
        <v>0.25</v>
      </c>
      <c r="AT27" s="499"/>
      <c r="AU27" s="139">
        <v>0.3</v>
      </c>
      <c r="AV27" s="138">
        <v>0.2</v>
      </c>
      <c r="AW27" s="139"/>
      <c r="AX27" s="139"/>
      <c r="AY27" s="139"/>
      <c r="AZ27" s="139"/>
      <c r="BA27" s="139"/>
      <c r="BB27" s="139"/>
    </row>
    <row r="28" spans="1:54" ht="12.75" customHeight="1" x14ac:dyDescent="0.25">
      <c r="A28" s="160"/>
      <c r="B28" s="161" t="s">
        <v>105</v>
      </c>
      <c r="C28" s="162">
        <v>1</v>
      </c>
      <c r="D28" s="162">
        <v>1</v>
      </c>
      <c r="E28" s="162" t="s">
        <v>94</v>
      </c>
      <c r="F28" s="162"/>
      <c r="G28" s="162"/>
      <c r="H28" s="162" t="s">
        <v>106</v>
      </c>
      <c r="I28" s="164"/>
      <c r="J28" s="137"/>
      <c r="K28" s="146"/>
      <c r="L28" s="137"/>
      <c r="M28" s="137"/>
      <c r="N28" s="137"/>
      <c r="O28" s="137"/>
      <c r="P28" s="137"/>
      <c r="Q28" s="165"/>
      <c r="R28" s="166"/>
      <c r="S28" s="166"/>
      <c r="T28" s="166"/>
      <c r="U28" s="167"/>
      <c r="V28" s="167"/>
      <c r="W28" s="167"/>
      <c r="X28" s="167"/>
      <c r="Y28" s="168"/>
      <c r="Z28" s="137"/>
      <c r="AA28" s="166"/>
      <c r="AB28" s="137"/>
      <c r="AC28" s="137"/>
      <c r="AD28" s="137"/>
      <c r="AE28" s="137"/>
      <c r="AF28" s="137"/>
      <c r="AG28" s="137"/>
      <c r="AH28" s="137"/>
      <c r="AI28" s="137"/>
      <c r="AJ28" s="169"/>
      <c r="AK28" s="137"/>
      <c r="AL28" s="137"/>
      <c r="AM28" s="137"/>
      <c r="AN28" s="137"/>
      <c r="AO28" s="137"/>
      <c r="AP28" s="137"/>
      <c r="AQ28" s="137"/>
      <c r="AR28" s="137"/>
      <c r="AS28" s="138"/>
      <c r="AT28" s="499"/>
      <c r="AU28" s="139"/>
      <c r="AV28" s="138"/>
      <c r="AW28" s="139"/>
      <c r="AX28" s="139"/>
      <c r="AY28" s="139"/>
      <c r="AZ28" s="139"/>
      <c r="BA28" s="139"/>
      <c r="BB28" s="139"/>
    </row>
    <row r="29" spans="1:54" ht="12.75" customHeight="1" x14ac:dyDescent="0.25">
      <c r="A29" s="160"/>
      <c r="B29" s="161" t="s">
        <v>107</v>
      </c>
      <c r="C29" s="162">
        <v>1</v>
      </c>
      <c r="D29" s="162">
        <v>1</v>
      </c>
      <c r="E29" s="162" t="s">
        <v>94</v>
      </c>
      <c r="F29" s="162"/>
      <c r="G29" s="162"/>
      <c r="H29" s="162" t="s">
        <v>106</v>
      </c>
      <c r="I29" s="164"/>
      <c r="J29" s="137"/>
      <c r="K29" s="146"/>
      <c r="L29" s="137"/>
      <c r="M29" s="137"/>
      <c r="N29" s="137"/>
      <c r="O29" s="137"/>
      <c r="P29" s="137"/>
      <c r="Q29" s="165"/>
      <c r="R29" s="166"/>
      <c r="S29" s="166"/>
      <c r="T29" s="166"/>
      <c r="U29" s="167"/>
      <c r="V29" s="167"/>
      <c r="W29" s="167"/>
      <c r="X29" s="167"/>
      <c r="Y29" s="168"/>
      <c r="Z29" s="137"/>
      <c r="AA29" s="166"/>
      <c r="AB29" s="137"/>
      <c r="AC29" s="137"/>
      <c r="AD29" s="137"/>
      <c r="AE29" s="137"/>
      <c r="AF29" s="137"/>
      <c r="AG29" s="137"/>
      <c r="AH29" s="137"/>
      <c r="AI29" s="137"/>
      <c r="AJ29" s="169"/>
      <c r="AK29" s="137"/>
      <c r="AL29" s="137"/>
      <c r="AM29" s="137"/>
      <c r="AN29" s="137"/>
      <c r="AO29" s="137"/>
      <c r="AP29" s="137"/>
      <c r="AQ29" s="137"/>
      <c r="AR29" s="137"/>
      <c r="AS29" s="138"/>
      <c r="AT29" s="499"/>
      <c r="AU29" s="139"/>
      <c r="AV29" s="138"/>
      <c r="AW29" s="139"/>
      <c r="AX29" s="139"/>
      <c r="AY29" s="139"/>
      <c r="AZ29" s="139"/>
      <c r="BA29" s="139"/>
      <c r="BB29" s="139"/>
    </row>
    <row r="30" spans="1:54" ht="12.75" customHeight="1" x14ac:dyDescent="0.25">
      <c r="A30" s="160"/>
      <c r="B30" s="161" t="s">
        <v>108</v>
      </c>
      <c r="C30" s="162">
        <v>1</v>
      </c>
      <c r="D30" s="162">
        <v>1</v>
      </c>
      <c r="E30" s="162" t="s">
        <v>94</v>
      </c>
      <c r="F30" s="162"/>
      <c r="G30" s="163">
        <v>75000</v>
      </c>
      <c r="H30" s="163">
        <f>SUM(F30:G30)</f>
        <v>75000</v>
      </c>
      <c r="I30" s="164">
        <f>H30*D30</f>
        <v>75000</v>
      </c>
      <c r="J30" s="137"/>
      <c r="K30" s="146"/>
      <c r="L30" s="137"/>
      <c r="M30" s="137"/>
      <c r="N30" s="137"/>
      <c r="O30" s="137"/>
      <c r="P30" s="137"/>
      <c r="Q30" s="165">
        <f>SUM(AA30:AH30)</f>
        <v>0.3</v>
      </c>
      <c r="R30" s="166">
        <f>Y30*D30</f>
        <v>0.35</v>
      </c>
      <c r="S30" s="166">
        <f>SUM(Q30:R30)</f>
        <v>0.64999999999999991</v>
      </c>
      <c r="T30" s="166">
        <f>D30-S30</f>
        <v>0.35000000000000009</v>
      </c>
      <c r="U30" s="167">
        <f>SUM(AJ29:AQ29)</f>
        <v>0</v>
      </c>
      <c r="V30" s="167">
        <f>Y30*I30</f>
        <v>26250</v>
      </c>
      <c r="W30" s="167">
        <f>SUM(U30:V30)</f>
        <v>26250</v>
      </c>
      <c r="X30" s="167">
        <f>I30-W30</f>
        <v>48750</v>
      </c>
      <c r="Y30" s="168">
        <f>SUM(AS30)</f>
        <v>0.35</v>
      </c>
      <c r="Z30" s="137"/>
      <c r="AA30" s="166">
        <v>0.3</v>
      </c>
      <c r="AB30" s="137"/>
      <c r="AC30" s="137"/>
      <c r="AD30" s="137"/>
      <c r="AE30" s="137"/>
      <c r="AF30" s="137"/>
      <c r="AG30" s="137"/>
      <c r="AH30" s="137"/>
      <c r="AI30" s="137"/>
      <c r="AJ30" s="169">
        <v>22500</v>
      </c>
      <c r="AK30" s="137"/>
      <c r="AL30" s="137"/>
      <c r="AM30" s="137"/>
      <c r="AN30" s="137"/>
      <c r="AO30" s="137"/>
      <c r="AP30" s="137"/>
      <c r="AQ30" s="137"/>
      <c r="AR30" s="137"/>
      <c r="AS30" s="138">
        <v>0.35</v>
      </c>
      <c r="AT30" s="499"/>
      <c r="AU30" s="139">
        <v>0.3</v>
      </c>
      <c r="AV30" s="138">
        <v>0.2</v>
      </c>
      <c r="AW30" s="139"/>
      <c r="AX30" s="139"/>
      <c r="AY30" s="139"/>
      <c r="AZ30" s="139"/>
      <c r="BA30" s="139"/>
      <c r="BB30" s="139"/>
    </row>
    <row r="31" spans="1:54" ht="12.75" customHeight="1" x14ac:dyDescent="0.25">
      <c r="A31" s="171"/>
      <c r="B31" s="500" t="s">
        <v>22</v>
      </c>
      <c r="C31" s="501"/>
      <c r="D31" s="501"/>
      <c r="E31" s="501"/>
      <c r="F31" s="501"/>
      <c r="G31" s="501"/>
      <c r="H31" s="502"/>
      <c r="I31" s="172">
        <f>SUM(I21:I30)</f>
        <v>599000</v>
      </c>
      <c r="J31" s="173"/>
      <c r="K31" s="174"/>
      <c r="L31" s="173"/>
      <c r="M31" s="173"/>
      <c r="N31" s="173"/>
      <c r="O31" s="173"/>
      <c r="P31" s="175"/>
      <c r="Q31" s="176">
        <f t="shared" ref="Q31:X31" si="11">SUM(Q22:Q30)</f>
        <v>7.7999999999999989</v>
      </c>
      <c r="R31" s="177">
        <f t="shared" si="11"/>
        <v>6.6</v>
      </c>
      <c r="S31" s="177">
        <f t="shared" si="11"/>
        <v>14.400000000000002</v>
      </c>
      <c r="T31" s="177">
        <f t="shared" si="11"/>
        <v>11.599999999999998</v>
      </c>
      <c r="U31" s="178">
        <f t="shared" si="11"/>
        <v>19200</v>
      </c>
      <c r="V31" s="178">
        <f t="shared" si="11"/>
        <v>157250</v>
      </c>
      <c r="W31" s="178">
        <f t="shared" si="11"/>
        <v>176450</v>
      </c>
      <c r="X31" s="178">
        <f t="shared" si="11"/>
        <v>422550</v>
      </c>
      <c r="Y31" s="179">
        <f>SUM(Y22:Y30)/COUNT(Y22:Y30)</f>
        <v>0.27</v>
      </c>
      <c r="Z31" s="180"/>
      <c r="AA31" s="177">
        <v>7.7999999999999989</v>
      </c>
      <c r="AB31" s="173"/>
      <c r="AC31" s="173"/>
      <c r="AD31" s="181"/>
      <c r="AE31" s="181"/>
      <c r="AF31" s="181"/>
      <c r="AG31" s="181"/>
      <c r="AH31" s="181"/>
      <c r="AI31" s="181"/>
      <c r="AJ31" s="182">
        <v>179700</v>
      </c>
      <c r="AK31" s="181"/>
      <c r="AL31" s="181"/>
      <c r="AM31" s="181"/>
      <c r="AN31" s="181"/>
      <c r="AO31" s="181"/>
      <c r="AP31" s="181"/>
      <c r="AQ31" s="181"/>
      <c r="AR31" s="181"/>
      <c r="AS31" s="142"/>
      <c r="AT31" s="499"/>
      <c r="AU31" s="183">
        <v>0.3</v>
      </c>
      <c r="AV31" s="468">
        <f>SUM(AV22:AV30)/COUNT(AV22:AV30)</f>
        <v>0.2</v>
      </c>
      <c r="AW31" s="183"/>
      <c r="AX31" s="183"/>
      <c r="AY31" s="183"/>
      <c r="AZ31" s="183"/>
      <c r="BA31" s="183"/>
      <c r="BB31" s="183"/>
    </row>
    <row r="32" spans="1:54" ht="12.75" customHeight="1" x14ac:dyDescent="0.25">
      <c r="A32" s="184" t="s">
        <v>23</v>
      </c>
      <c r="B32" s="509" t="s">
        <v>24</v>
      </c>
      <c r="C32" s="501"/>
      <c r="D32" s="501"/>
      <c r="E32" s="501"/>
      <c r="F32" s="501"/>
      <c r="G32" s="501"/>
      <c r="H32" s="502"/>
      <c r="I32" s="185"/>
      <c r="J32" s="137"/>
      <c r="K32" s="146"/>
      <c r="L32" s="137"/>
      <c r="M32" s="137"/>
      <c r="N32" s="137"/>
      <c r="O32" s="137"/>
      <c r="P32" s="137"/>
      <c r="Q32" s="165"/>
      <c r="R32" s="166"/>
      <c r="S32" s="166"/>
      <c r="T32" s="166"/>
      <c r="U32" s="167"/>
      <c r="V32" s="167"/>
      <c r="W32" s="167"/>
      <c r="X32" s="167"/>
      <c r="Y32" s="168"/>
      <c r="Z32" s="137"/>
      <c r="AA32" s="166"/>
      <c r="AB32" s="137"/>
      <c r="AC32" s="137"/>
      <c r="AD32" s="137"/>
      <c r="AE32" s="137"/>
      <c r="AF32" s="137"/>
      <c r="AG32" s="137"/>
      <c r="AH32" s="137"/>
      <c r="AI32" s="137"/>
      <c r="AJ32" s="169"/>
      <c r="AK32" s="137"/>
      <c r="AL32" s="137"/>
      <c r="AM32" s="137"/>
      <c r="AN32" s="137"/>
      <c r="AO32" s="137"/>
      <c r="AP32" s="137"/>
      <c r="AQ32" s="137"/>
      <c r="AR32" s="137"/>
      <c r="AS32" s="138"/>
      <c r="AT32" s="499"/>
      <c r="AU32" s="139"/>
      <c r="AV32" s="138"/>
      <c r="AW32" s="139"/>
      <c r="AX32" s="139"/>
      <c r="AY32" s="139"/>
      <c r="AZ32" s="139"/>
      <c r="BA32" s="139"/>
      <c r="BB32" s="139"/>
    </row>
    <row r="33" spans="1:54" ht="12.75" customHeight="1" x14ac:dyDescent="0.25">
      <c r="A33" s="186"/>
      <c r="B33" s="187" t="s">
        <v>109</v>
      </c>
      <c r="C33" s="188"/>
      <c r="D33" s="188"/>
      <c r="E33" s="188"/>
      <c r="F33" s="188"/>
      <c r="G33" s="188"/>
      <c r="H33" s="188"/>
      <c r="I33" s="188"/>
      <c r="J33" s="189"/>
      <c r="K33" s="190"/>
      <c r="L33" s="189"/>
      <c r="M33" s="189"/>
      <c r="N33" s="189"/>
      <c r="O33" s="189"/>
      <c r="P33" s="191"/>
      <c r="Q33" s="192"/>
      <c r="R33" s="193"/>
      <c r="S33" s="193"/>
      <c r="T33" s="193"/>
      <c r="U33" s="194"/>
      <c r="V33" s="194"/>
      <c r="W33" s="194"/>
      <c r="X33" s="194"/>
      <c r="Y33" s="195"/>
      <c r="Z33" s="196"/>
      <c r="AA33" s="193"/>
      <c r="AB33" s="189"/>
      <c r="AC33" s="189"/>
      <c r="AD33" s="197"/>
      <c r="AE33" s="197"/>
      <c r="AF33" s="197"/>
      <c r="AG33" s="197"/>
      <c r="AH33" s="197"/>
      <c r="AI33" s="197"/>
      <c r="AJ33" s="198"/>
      <c r="AK33" s="197"/>
      <c r="AL33" s="197"/>
      <c r="AM33" s="197"/>
      <c r="AN33" s="197"/>
      <c r="AO33" s="197"/>
      <c r="AP33" s="197"/>
      <c r="AQ33" s="197"/>
      <c r="AR33" s="137"/>
      <c r="AS33" s="138"/>
      <c r="AT33" s="499"/>
      <c r="AU33" s="139"/>
      <c r="AV33" s="138"/>
      <c r="AW33" s="139"/>
      <c r="AX33" s="139"/>
      <c r="AY33" s="139"/>
      <c r="AZ33" s="139"/>
      <c r="BA33" s="139"/>
      <c r="BB33" s="139"/>
    </row>
    <row r="34" spans="1:54" ht="12.75" customHeight="1" x14ac:dyDescent="0.25">
      <c r="A34" s="186"/>
      <c r="B34" s="199" t="s">
        <v>110</v>
      </c>
      <c r="C34" s="188"/>
      <c r="D34" s="188"/>
      <c r="E34" s="188"/>
      <c r="F34" s="188"/>
      <c r="G34" s="188"/>
      <c r="H34" s="188"/>
      <c r="I34" s="188"/>
      <c r="J34" s="189"/>
      <c r="K34" s="190"/>
      <c r="L34" s="189"/>
      <c r="M34" s="189"/>
      <c r="N34" s="189"/>
      <c r="O34" s="189"/>
      <c r="P34" s="191"/>
      <c r="Q34" s="192"/>
      <c r="R34" s="193"/>
      <c r="S34" s="193"/>
      <c r="T34" s="193"/>
      <c r="U34" s="194"/>
      <c r="V34" s="194"/>
      <c r="W34" s="194"/>
      <c r="X34" s="194"/>
      <c r="Y34" s="195"/>
      <c r="Z34" s="196"/>
      <c r="AA34" s="193"/>
      <c r="AB34" s="189"/>
      <c r="AC34" s="189"/>
      <c r="AD34" s="197"/>
      <c r="AE34" s="197"/>
      <c r="AF34" s="197"/>
      <c r="AG34" s="197"/>
      <c r="AH34" s="197"/>
      <c r="AI34" s="197"/>
      <c r="AJ34" s="198"/>
      <c r="AK34" s="197"/>
      <c r="AL34" s="197"/>
      <c r="AM34" s="197"/>
      <c r="AN34" s="197"/>
      <c r="AO34" s="197"/>
      <c r="AP34" s="197"/>
      <c r="AQ34" s="197"/>
      <c r="AR34" s="137"/>
      <c r="AS34" s="138"/>
      <c r="AT34" s="499"/>
      <c r="AU34" s="139"/>
      <c r="AV34" s="138"/>
      <c r="AW34" s="139"/>
      <c r="AX34" s="139"/>
      <c r="AY34" s="139"/>
      <c r="AZ34" s="139"/>
      <c r="BA34" s="139"/>
      <c r="BB34" s="139"/>
    </row>
    <row r="35" spans="1:54" ht="12.75" customHeight="1" x14ac:dyDescent="0.25">
      <c r="A35" s="200"/>
      <c r="B35" s="201" t="s">
        <v>111</v>
      </c>
      <c r="C35" s="202"/>
      <c r="D35" s="203"/>
      <c r="E35" s="203"/>
      <c r="F35" s="203"/>
      <c r="G35" s="203"/>
      <c r="H35" s="203"/>
      <c r="I35" s="203"/>
      <c r="J35" s="137"/>
      <c r="K35" s="146"/>
      <c r="L35" s="137"/>
      <c r="M35" s="137">
        <v>60.4</v>
      </c>
      <c r="N35" s="137"/>
      <c r="O35" s="137"/>
      <c r="P35" s="137"/>
      <c r="Q35" s="165"/>
      <c r="R35" s="166"/>
      <c r="S35" s="166"/>
      <c r="T35" s="166"/>
      <c r="U35" s="167"/>
      <c r="V35" s="167"/>
      <c r="W35" s="167"/>
      <c r="X35" s="167"/>
      <c r="Y35" s="168"/>
      <c r="Z35" s="137"/>
      <c r="AA35" s="166"/>
      <c r="AB35" s="137"/>
      <c r="AC35" s="137"/>
      <c r="AD35" s="137"/>
      <c r="AE35" s="137"/>
      <c r="AF35" s="137"/>
      <c r="AG35" s="137"/>
      <c r="AH35" s="137"/>
      <c r="AI35" s="137"/>
      <c r="AJ35" s="169"/>
      <c r="AK35" s="137"/>
      <c r="AL35" s="137"/>
      <c r="AM35" s="137"/>
      <c r="AN35" s="137"/>
      <c r="AO35" s="137"/>
      <c r="AP35" s="137"/>
      <c r="AQ35" s="137"/>
      <c r="AR35" s="137"/>
      <c r="AS35" s="138"/>
      <c r="AT35" s="499"/>
      <c r="AU35" s="139"/>
      <c r="AV35" s="138"/>
      <c r="AW35" s="139"/>
      <c r="AX35" s="139"/>
      <c r="AY35" s="139"/>
      <c r="AZ35" s="139"/>
      <c r="BA35" s="139"/>
      <c r="BB35" s="139"/>
    </row>
    <row r="36" spans="1:54" ht="12.75" customHeight="1" x14ac:dyDescent="0.25">
      <c r="A36" s="200"/>
      <c r="B36" s="204" t="s">
        <v>112</v>
      </c>
      <c r="C36" s="202">
        <v>88.72</v>
      </c>
      <c r="D36" s="203">
        <f t="shared" ref="D36:D38" si="12">C36*$K$39</f>
        <v>97.592000000000013</v>
      </c>
      <c r="E36" s="203" t="s">
        <v>6</v>
      </c>
      <c r="F36" s="203">
        <f>'Material and Labor Cost'!$D$8</f>
        <v>250.00000000000003</v>
      </c>
      <c r="G36" s="203">
        <f>'Material and Labor Cost'!$F$8</f>
        <v>350</v>
      </c>
      <c r="H36" s="203">
        <f t="shared" ref="H36:H41" si="13">SUM(F36:G36)</f>
        <v>600</v>
      </c>
      <c r="I36" s="203">
        <f t="shared" ref="I36:I41" si="14">H36*D36</f>
        <v>58555.200000000004</v>
      </c>
      <c r="J36" s="137"/>
      <c r="K36" s="146"/>
      <c r="L36" s="137"/>
      <c r="M36" s="137">
        <f>C36/M35</f>
        <v>1.4688741721854304</v>
      </c>
      <c r="N36" s="137"/>
      <c r="O36" s="137"/>
      <c r="P36" s="137"/>
      <c r="Q36" s="165">
        <f t="shared" ref="Q36:Q41" si="15">SUM(AA36:AH36)</f>
        <v>48.796000000000006</v>
      </c>
      <c r="R36" s="166">
        <f t="shared" ref="R36:R41" si="16">Y36*D36</f>
        <v>9.7592000000000017</v>
      </c>
      <c r="S36" s="166">
        <f t="shared" ref="S36:S41" si="17">SUM(Q36:R36)</f>
        <v>58.555200000000006</v>
      </c>
      <c r="T36" s="166">
        <f t="shared" ref="T36:T41" si="18">D36-S36</f>
        <v>39.036800000000007</v>
      </c>
      <c r="U36" s="167">
        <f t="shared" ref="U36:U41" si="19">SUM(AJ35:AQ35)</f>
        <v>0</v>
      </c>
      <c r="V36" s="167">
        <f t="shared" ref="V36:V41" si="20">Y36*I36</f>
        <v>5855.52</v>
      </c>
      <c r="W36" s="167">
        <f t="shared" ref="W36:W41" si="21">SUM(U36:V36)</f>
        <v>5855.52</v>
      </c>
      <c r="X36" s="167">
        <f t="shared" ref="X36:X41" si="22">I36-W36</f>
        <v>52699.680000000008</v>
      </c>
      <c r="Y36" s="168">
        <f t="shared" ref="Y36:Y41" si="23">SUM(AS36)</f>
        <v>0.1</v>
      </c>
      <c r="Z36" s="137"/>
      <c r="AA36" s="166">
        <v>48.796000000000006</v>
      </c>
      <c r="AB36" s="137"/>
      <c r="AC36" s="137"/>
      <c r="AD36" s="137"/>
      <c r="AE36" s="137"/>
      <c r="AF36" s="137"/>
      <c r="AG36" s="137"/>
      <c r="AH36" s="137"/>
      <c r="AI36" s="137"/>
      <c r="AJ36" s="169">
        <v>29277.600000000002</v>
      </c>
      <c r="AK36" s="137"/>
      <c r="AL36" s="137"/>
      <c r="AM36" s="137"/>
      <c r="AN36" s="137"/>
      <c r="AO36" s="137"/>
      <c r="AP36" s="137"/>
      <c r="AQ36" s="137"/>
      <c r="AR36" s="137"/>
      <c r="AS36" s="138">
        <v>0.1</v>
      </c>
      <c r="AT36" s="499"/>
      <c r="AU36" s="139">
        <v>0.5</v>
      </c>
      <c r="AV36" s="138">
        <v>0.4</v>
      </c>
      <c r="AW36" s="139"/>
      <c r="AX36" s="139"/>
      <c r="AY36" s="139"/>
      <c r="AZ36" s="139"/>
      <c r="BA36" s="139"/>
      <c r="BB36" s="139"/>
    </row>
    <row r="37" spans="1:54" ht="12.75" customHeight="1" x14ac:dyDescent="0.25">
      <c r="A37" s="200"/>
      <c r="B37" s="204" t="s">
        <v>113</v>
      </c>
      <c r="C37" s="202">
        <f>45*$M$36</f>
        <v>66.099337748344368</v>
      </c>
      <c r="D37" s="203">
        <f t="shared" si="12"/>
        <v>72.709271523178813</v>
      </c>
      <c r="E37" s="203" t="s">
        <v>114</v>
      </c>
      <c r="F37" s="203">
        <f>'Material and Labor Cost'!$D$9</f>
        <v>126.50000000000001</v>
      </c>
      <c r="G37" s="203">
        <f>'Material and Labor Cost'!$F$9</f>
        <v>70</v>
      </c>
      <c r="H37" s="203">
        <f t="shared" si="13"/>
        <v>196.5</v>
      </c>
      <c r="I37" s="203">
        <f t="shared" si="14"/>
        <v>14287.371854304636</v>
      </c>
      <c r="J37" s="137"/>
      <c r="K37" s="146"/>
      <c r="L37" s="137"/>
      <c r="M37" s="137"/>
      <c r="N37" s="205">
        <v>85</v>
      </c>
      <c r="O37" s="137"/>
      <c r="P37" s="137"/>
      <c r="Q37" s="165">
        <f t="shared" si="15"/>
        <v>36.354635761589407</v>
      </c>
      <c r="R37" s="166">
        <f t="shared" si="16"/>
        <v>7.2709271523178813</v>
      </c>
      <c r="S37" s="166">
        <f t="shared" si="17"/>
        <v>43.625562913907288</v>
      </c>
      <c r="T37" s="166">
        <f t="shared" si="18"/>
        <v>29.083708609271525</v>
      </c>
      <c r="U37" s="167">
        <f t="shared" si="19"/>
        <v>29277.600000000002</v>
      </c>
      <c r="V37" s="167">
        <f t="shared" si="20"/>
        <v>1428.7371854304638</v>
      </c>
      <c r="W37" s="167">
        <f t="shared" si="21"/>
        <v>30706.337185430464</v>
      </c>
      <c r="X37" s="167">
        <f t="shared" si="22"/>
        <v>-16418.96533112583</v>
      </c>
      <c r="Y37" s="168">
        <f t="shared" si="23"/>
        <v>0.1</v>
      </c>
      <c r="Z37" s="137"/>
      <c r="AA37" s="166">
        <v>36.354635761589407</v>
      </c>
      <c r="AB37" s="137"/>
      <c r="AC37" s="137"/>
      <c r="AD37" s="137"/>
      <c r="AE37" s="137"/>
      <c r="AF37" s="137"/>
      <c r="AG37" s="137"/>
      <c r="AH37" s="137"/>
      <c r="AI37" s="137"/>
      <c r="AJ37" s="169">
        <v>7143.6859271523181</v>
      </c>
      <c r="AK37" s="137"/>
      <c r="AL37" s="137"/>
      <c r="AM37" s="137"/>
      <c r="AN37" s="137"/>
      <c r="AO37" s="137"/>
      <c r="AP37" s="137"/>
      <c r="AQ37" s="137"/>
      <c r="AR37" s="137"/>
      <c r="AS37" s="138">
        <v>0.1</v>
      </c>
      <c r="AT37" s="499"/>
      <c r="AU37" s="139">
        <v>0.5</v>
      </c>
      <c r="AV37" s="138">
        <v>0.4</v>
      </c>
      <c r="AW37" s="139"/>
      <c r="AX37" s="139"/>
      <c r="AY37" s="139"/>
      <c r="AZ37" s="139"/>
      <c r="BA37" s="139"/>
      <c r="BB37" s="139"/>
    </row>
    <row r="38" spans="1:54" ht="12.75" customHeight="1" x14ac:dyDescent="0.25">
      <c r="A38" s="200"/>
      <c r="B38" s="204" t="s">
        <v>115</v>
      </c>
      <c r="C38" s="202">
        <f t="shared" ref="C38:C41" si="24">N37*$M$36</f>
        <v>124.85430463576158</v>
      </c>
      <c r="D38" s="203">
        <f t="shared" si="12"/>
        <v>137.33973509933776</v>
      </c>
      <c r="E38" s="203" t="s">
        <v>114</v>
      </c>
      <c r="F38" s="203">
        <f>'Material and Labor Cost'!$D$10</f>
        <v>126.50000000000001</v>
      </c>
      <c r="G38" s="203">
        <f>'Material and Labor Cost'!$F$10</f>
        <v>70</v>
      </c>
      <c r="H38" s="203">
        <f t="shared" si="13"/>
        <v>196.5</v>
      </c>
      <c r="I38" s="203">
        <f t="shared" si="14"/>
        <v>26987.257947019869</v>
      </c>
      <c r="J38" s="137"/>
      <c r="K38" s="141" t="s">
        <v>116</v>
      </c>
      <c r="L38" s="137"/>
      <c r="M38" s="137"/>
      <c r="N38" s="205">
        <v>30</v>
      </c>
      <c r="O38" s="137"/>
      <c r="P38" s="137"/>
      <c r="Q38" s="165">
        <f t="shared" si="15"/>
        <v>68.669867549668879</v>
      </c>
      <c r="R38" s="166">
        <f t="shared" si="16"/>
        <v>13.733973509933776</v>
      </c>
      <c r="S38" s="166">
        <f t="shared" si="17"/>
        <v>82.403841059602655</v>
      </c>
      <c r="T38" s="166">
        <f t="shared" si="18"/>
        <v>54.935894039735103</v>
      </c>
      <c r="U38" s="167">
        <f t="shared" si="19"/>
        <v>7143.6859271523181</v>
      </c>
      <c r="V38" s="167">
        <f t="shared" si="20"/>
        <v>2698.7257947019871</v>
      </c>
      <c r="W38" s="167">
        <f t="shared" si="21"/>
        <v>9842.4117218543051</v>
      </c>
      <c r="X38" s="167">
        <f t="shared" si="22"/>
        <v>17144.846225165566</v>
      </c>
      <c r="Y38" s="168">
        <f t="shared" si="23"/>
        <v>0.1</v>
      </c>
      <c r="Z38" s="137"/>
      <c r="AA38" s="166">
        <v>68.669867549668879</v>
      </c>
      <c r="AB38" s="137"/>
      <c r="AC38" s="137"/>
      <c r="AD38" s="137"/>
      <c r="AE38" s="137"/>
      <c r="AF38" s="137"/>
      <c r="AG38" s="137"/>
      <c r="AH38" s="137"/>
      <c r="AI38" s="137"/>
      <c r="AJ38" s="169">
        <v>13493.628973509934</v>
      </c>
      <c r="AK38" s="137"/>
      <c r="AL38" s="137"/>
      <c r="AM38" s="137"/>
      <c r="AN38" s="137"/>
      <c r="AO38" s="137"/>
      <c r="AP38" s="137"/>
      <c r="AQ38" s="137"/>
      <c r="AR38" s="137"/>
      <c r="AS38" s="138">
        <v>0.1</v>
      </c>
      <c r="AT38" s="499"/>
      <c r="AU38" s="139">
        <v>0.5</v>
      </c>
      <c r="AV38" s="138">
        <v>0.4</v>
      </c>
      <c r="AW38" s="139"/>
      <c r="AX38" s="139"/>
      <c r="AY38" s="139"/>
      <c r="AZ38" s="139"/>
      <c r="BA38" s="139"/>
      <c r="BB38" s="139"/>
    </row>
    <row r="39" spans="1:54" ht="12.75" customHeight="1" x14ac:dyDescent="0.25">
      <c r="A39" s="200"/>
      <c r="B39" s="204" t="s">
        <v>117</v>
      </c>
      <c r="C39" s="202">
        <f t="shared" si="24"/>
        <v>44.066225165562912</v>
      </c>
      <c r="D39" s="203">
        <f t="shared" ref="D39:D41" si="25">ROUNDUP(C39*$K$39,0)</f>
        <v>49</v>
      </c>
      <c r="E39" s="203" t="s">
        <v>118</v>
      </c>
      <c r="F39" s="203">
        <f>'Material and Labor Cost'!$D$11</f>
        <v>30.000000000000004</v>
      </c>
      <c r="G39" s="203">
        <f>'Material and Labor Cost'!$F$11</f>
        <v>20</v>
      </c>
      <c r="H39" s="203">
        <f t="shared" si="13"/>
        <v>50</v>
      </c>
      <c r="I39" s="203">
        <f t="shared" si="14"/>
        <v>2450</v>
      </c>
      <c r="J39" s="137"/>
      <c r="K39" s="206">
        <v>1.1000000000000001</v>
      </c>
      <c r="L39" s="137"/>
      <c r="M39" s="137"/>
      <c r="N39" s="205">
        <v>110</v>
      </c>
      <c r="O39" s="137"/>
      <c r="P39" s="137"/>
      <c r="Q39" s="165">
        <f t="shared" si="15"/>
        <v>24.5</v>
      </c>
      <c r="R39" s="166">
        <f t="shared" si="16"/>
        <v>4.9000000000000004</v>
      </c>
      <c r="S39" s="166">
        <f t="shared" si="17"/>
        <v>29.4</v>
      </c>
      <c r="T39" s="166">
        <f t="shared" si="18"/>
        <v>19.600000000000001</v>
      </c>
      <c r="U39" s="167">
        <f t="shared" si="19"/>
        <v>13493.628973509934</v>
      </c>
      <c r="V39" s="167">
        <f t="shared" si="20"/>
        <v>245</v>
      </c>
      <c r="W39" s="167">
        <f t="shared" si="21"/>
        <v>13738.628973509934</v>
      </c>
      <c r="X39" s="167">
        <f t="shared" si="22"/>
        <v>-11288.628973509934</v>
      </c>
      <c r="Y39" s="168">
        <f t="shared" si="23"/>
        <v>0.1</v>
      </c>
      <c r="Z39" s="137"/>
      <c r="AA39" s="166">
        <v>24.5</v>
      </c>
      <c r="AB39" s="137"/>
      <c r="AC39" s="137"/>
      <c r="AD39" s="137"/>
      <c r="AE39" s="137"/>
      <c r="AF39" s="137"/>
      <c r="AG39" s="137"/>
      <c r="AH39" s="137"/>
      <c r="AI39" s="137"/>
      <c r="AJ39" s="169">
        <v>1225</v>
      </c>
      <c r="AK39" s="137"/>
      <c r="AL39" s="137"/>
      <c r="AM39" s="137"/>
      <c r="AN39" s="137"/>
      <c r="AO39" s="137"/>
      <c r="AP39" s="137"/>
      <c r="AQ39" s="137"/>
      <c r="AR39" s="137"/>
      <c r="AS39" s="138">
        <v>0.1</v>
      </c>
      <c r="AT39" s="499"/>
      <c r="AU39" s="139">
        <v>0.5</v>
      </c>
      <c r="AV39" s="138">
        <v>0.4</v>
      </c>
      <c r="AW39" s="139"/>
      <c r="AX39" s="139"/>
      <c r="AY39" s="139"/>
      <c r="AZ39" s="139"/>
      <c r="BA39" s="139"/>
      <c r="BB39" s="139"/>
    </row>
    <row r="40" spans="1:54" ht="12.75" customHeight="1" x14ac:dyDescent="0.25">
      <c r="A40" s="200"/>
      <c r="B40" s="204" t="s">
        <v>119</v>
      </c>
      <c r="C40" s="202">
        <f t="shared" si="24"/>
        <v>161.57615894039733</v>
      </c>
      <c r="D40" s="203">
        <f t="shared" si="25"/>
        <v>178</v>
      </c>
      <c r="E40" s="203" t="s">
        <v>118</v>
      </c>
      <c r="F40" s="203">
        <f>'Material and Labor Cost'!$D$12</f>
        <v>10</v>
      </c>
      <c r="G40" s="203">
        <f>'Material and Labor Cost'!$F$12</f>
        <v>20</v>
      </c>
      <c r="H40" s="203">
        <f t="shared" si="13"/>
        <v>30</v>
      </c>
      <c r="I40" s="203">
        <f t="shared" si="14"/>
        <v>5340</v>
      </c>
      <c r="J40" s="137"/>
      <c r="K40" s="146"/>
      <c r="L40" s="137"/>
      <c r="M40" s="137"/>
      <c r="N40" s="205">
        <v>46.32</v>
      </c>
      <c r="O40" s="137"/>
      <c r="P40" s="137"/>
      <c r="Q40" s="165">
        <f t="shared" si="15"/>
        <v>89</v>
      </c>
      <c r="R40" s="166">
        <f t="shared" si="16"/>
        <v>17.8</v>
      </c>
      <c r="S40" s="166">
        <f t="shared" si="17"/>
        <v>106.8</v>
      </c>
      <c r="T40" s="166">
        <f t="shared" si="18"/>
        <v>71.2</v>
      </c>
      <c r="U40" s="167">
        <f t="shared" si="19"/>
        <v>1225</v>
      </c>
      <c r="V40" s="167">
        <f t="shared" si="20"/>
        <v>534</v>
      </c>
      <c r="W40" s="167">
        <f t="shared" si="21"/>
        <v>1759</v>
      </c>
      <c r="X40" s="167">
        <f t="shared" si="22"/>
        <v>3581</v>
      </c>
      <c r="Y40" s="168">
        <f t="shared" si="23"/>
        <v>0.1</v>
      </c>
      <c r="Z40" s="137"/>
      <c r="AA40" s="166">
        <v>89</v>
      </c>
      <c r="AB40" s="137"/>
      <c r="AC40" s="137"/>
      <c r="AD40" s="137"/>
      <c r="AE40" s="137"/>
      <c r="AF40" s="137"/>
      <c r="AG40" s="137"/>
      <c r="AH40" s="137"/>
      <c r="AI40" s="137"/>
      <c r="AJ40" s="169">
        <v>2670</v>
      </c>
      <c r="AK40" s="137"/>
      <c r="AL40" s="137"/>
      <c r="AM40" s="137"/>
      <c r="AN40" s="137"/>
      <c r="AO40" s="137"/>
      <c r="AP40" s="137"/>
      <c r="AQ40" s="137"/>
      <c r="AR40" s="137"/>
      <c r="AS40" s="138">
        <v>0.1</v>
      </c>
      <c r="AT40" s="499"/>
      <c r="AU40" s="139">
        <v>0.5</v>
      </c>
      <c r="AV40" s="138">
        <v>0.4</v>
      </c>
      <c r="AW40" s="139"/>
      <c r="AX40" s="139"/>
      <c r="AY40" s="139"/>
      <c r="AZ40" s="139"/>
      <c r="BA40" s="139"/>
      <c r="BB40" s="139"/>
    </row>
    <row r="41" spans="1:54" ht="12.75" customHeight="1" x14ac:dyDescent="0.25">
      <c r="A41" s="200"/>
      <c r="B41" s="204" t="s">
        <v>120</v>
      </c>
      <c r="C41" s="202">
        <f t="shared" si="24"/>
        <v>68.038251655629139</v>
      </c>
      <c r="D41" s="203">
        <f t="shared" si="25"/>
        <v>75</v>
      </c>
      <c r="E41" s="203" t="s">
        <v>114</v>
      </c>
      <c r="F41" s="203">
        <f>'Material and Labor Cost'!$D$13</f>
        <v>110.00000000000001</v>
      </c>
      <c r="G41" s="203">
        <f>'Material and Labor Cost'!$F$13</f>
        <v>60.000000000000007</v>
      </c>
      <c r="H41" s="203">
        <f t="shared" si="13"/>
        <v>170.00000000000003</v>
      </c>
      <c r="I41" s="203">
        <f t="shared" si="14"/>
        <v>12750.000000000002</v>
      </c>
      <c r="J41" s="137"/>
      <c r="K41" s="146"/>
      <c r="L41" s="137"/>
      <c r="M41" s="137"/>
      <c r="N41" s="137"/>
      <c r="O41" s="137"/>
      <c r="P41" s="137"/>
      <c r="Q41" s="165">
        <f t="shared" si="15"/>
        <v>37.5</v>
      </c>
      <c r="R41" s="166">
        <f t="shared" si="16"/>
        <v>7.5</v>
      </c>
      <c r="S41" s="166">
        <f t="shared" si="17"/>
        <v>45</v>
      </c>
      <c r="T41" s="166">
        <f t="shared" si="18"/>
        <v>30</v>
      </c>
      <c r="U41" s="167">
        <f t="shared" si="19"/>
        <v>2670</v>
      </c>
      <c r="V41" s="167">
        <f t="shared" si="20"/>
        <v>1275.0000000000002</v>
      </c>
      <c r="W41" s="167">
        <f t="shared" si="21"/>
        <v>3945</v>
      </c>
      <c r="X41" s="167">
        <f t="shared" si="22"/>
        <v>8805.0000000000018</v>
      </c>
      <c r="Y41" s="168">
        <f t="shared" si="23"/>
        <v>0.1</v>
      </c>
      <c r="Z41" s="137"/>
      <c r="AA41" s="166">
        <v>37.5</v>
      </c>
      <c r="AB41" s="137"/>
      <c r="AC41" s="137"/>
      <c r="AD41" s="137"/>
      <c r="AE41" s="137"/>
      <c r="AF41" s="137"/>
      <c r="AG41" s="137"/>
      <c r="AH41" s="137"/>
      <c r="AI41" s="137"/>
      <c r="AJ41" s="169">
        <v>6375.0000000000009</v>
      </c>
      <c r="AK41" s="137"/>
      <c r="AL41" s="137"/>
      <c r="AM41" s="137"/>
      <c r="AN41" s="137"/>
      <c r="AO41" s="137"/>
      <c r="AP41" s="137"/>
      <c r="AQ41" s="137"/>
      <c r="AR41" s="137"/>
      <c r="AS41" s="138">
        <v>0.1</v>
      </c>
      <c r="AT41" s="499"/>
      <c r="AU41" s="139">
        <v>0.5</v>
      </c>
      <c r="AV41" s="138">
        <v>0.4</v>
      </c>
      <c r="AW41" s="139"/>
      <c r="AX41" s="139"/>
      <c r="AY41" s="139"/>
      <c r="AZ41" s="139"/>
      <c r="BA41" s="139"/>
      <c r="BB41" s="139"/>
    </row>
    <row r="42" spans="1:54" ht="12.75" customHeight="1" x14ac:dyDescent="0.25">
      <c r="A42" s="200"/>
      <c r="B42" s="204"/>
      <c r="C42" s="202"/>
      <c r="D42" s="203"/>
      <c r="E42" s="203"/>
      <c r="F42" s="203"/>
      <c r="G42" s="203"/>
      <c r="H42" s="203"/>
      <c r="I42" s="203"/>
      <c r="J42" s="137"/>
      <c r="K42" s="141" t="s">
        <v>121</v>
      </c>
      <c r="L42" s="137"/>
      <c r="M42" s="137"/>
      <c r="N42" s="137"/>
      <c r="O42" s="137"/>
      <c r="P42" s="137"/>
      <c r="Q42" s="165"/>
      <c r="R42" s="166"/>
      <c r="S42" s="166"/>
      <c r="T42" s="166"/>
      <c r="U42" s="167"/>
      <c r="V42" s="167"/>
      <c r="W42" s="167"/>
      <c r="X42" s="167"/>
      <c r="Y42" s="168"/>
      <c r="Z42" s="137"/>
      <c r="AA42" s="166"/>
      <c r="AB42" s="137"/>
      <c r="AC42" s="137"/>
      <c r="AD42" s="137"/>
      <c r="AE42" s="137"/>
      <c r="AF42" s="137"/>
      <c r="AG42" s="137"/>
      <c r="AH42" s="137"/>
      <c r="AI42" s="137"/>
      <c r="AJ42" s="169"/>
      <c r="AK42" s="137"/>
      <c r="AL42" s="137"/>
      <c r="AM42" s="137"/>
      <c r="AN42" s="137"/>
      <c r="AO42" s="137"/>
      <c r="AP42" s="137"/>
      <c r="AQ42" s="137"/>
      <c r="AR42" s="137"/>
      <c r="AS42" s="138"/>
      <c r="AT42" s="499"/>
      <c r="AU42" s="139"/>
      <c r="AV42" s="138"/>
      <c r="AW42" s="139"/>
      <c r="AX42" s="139"/>
      <c r="AY42" s="139"/>
      <c r="AZ42" s="139"/>
      <c r="BA42" s="139"/>
      <c r="BB42" s="139"/>
    </row>
    <row r="43" spans="1:54" ht="12.75" customHeight="1" x14ac:dyDescent="0.25">
      <c r="A43" s="200"/>
      <c r="B43" s="201" t="s">
        <v>122</v>
      </c>
      <c r="C43" s="202"/>
      <c r="D43" s="203"/>
      <c r="E43" s="203"/>
      <c r="F43" s="203"/>
      <c r="G43" s="203"/>
      <c r="H43" s="203"/>
      <c r="I43" s="203"/>
      <c r="J43" s="137"/>
      <c r="K43" s="206"/>
      <c r="L43" s="137"/>
      <c r="M43" s="137"/>
      <c r="N43" s="137"/>
      <c r="O43" s="137"/>
      <c r="P43" s="137"/>
      <c r="Q43" s="165"/>
      <c r="R43" s="166"/>
      <c r="S43" s="166"/>
      <c r="T43" s="166"/>
      <c r="U43" s="167"/>
      <c r="V43" s="167"/>
      <c r="W43" s="167"/>
      <c r="X43" s="167"/>
      <c r="Y43" s="168"/>
      <c r="Z43" s="137"/>
      <c r="AA43" s="166"/>
      <c r="AB43" s="137"/>
      <c r="AC43" s="137"/>
      <c r="AD43" s="137"/>
      <c r="AE43" s="137"/>
      <c r="AF43" s="137"/>
      <c r="AG43" s="137"/>
      <c r="AH43" s="137"/>
      <c r="AI43" s="137"/>
      <c r="AJ43" s="169"/>
      <c r="AK43" s="137"/>
      <c r="AL43" s="137"/>
      <c r="AM43" s="137"/>
      <c r="AN43" s="137"/>
      <c r="AO43" s="137"/>
      <c r="AP43" s="137"/>
      <c r="AQ43" s="137"/>
      <c r="AR43" s="137"/>
      <c r="AS43" s="138"/>
      <c r="AT43" s="499"/>
      <c r="AU43" s="139"/>
      <c r="AV43" s="138"/>
      <c r="AW43" s="139"/>
      <c r="AX43" s="139"/>
      <c r="AY43" s="139"/>
      <c r="AZ43" s="139"/>
      <c r="BA43" s="139"/>
      <c r="BB43" s="139"/>
    </row>
    <row r="44" spans="1:54" ht="12.75" customHeight="1" x14ac:dyDescent="0.25">
      <c r="A44" s="200"/>
      <c r="B44" s="204" t="s">
        <v>123</v>
      </c>
      <c r="C44" s="202">
        <v>4</v>
      </c>
      <c r="D44" s="203">
        <f t="shared" ref="D44:D46" si="26">C44*$K$39</f>
        <v>4.4000000000000004</v>
      </c>
      <c r="E44" s="203" t="s">
        <v>6</v>
      </c>
      <c r="F44" s="203">
        <f>'Material and Labor Cost'!$D$18</f>
        <v>250.00000000000003</v>
      </c>
      <c r="G44" s="203">
        <f>'Material and Labor Cost'!$F$18</f>
        <v>350</v>
      </c>
      <c r="H44" s="203">
        <f t="shared" ref="H44:H49" si="27">SUM(F44:G44)</f>
        <v>600</v>
      </c>
      <c r="I44" s="203">
        <f t="shared" ref="I44:I49" si="28">H44*D44</f>
        <v>2640</v>
      </c>
      <c r="J44" s="137"/>
      <c r="K44" s="206">
        <v>0.05</v>
      </c>
      <c r="L44" s="137"/>
      <c r="M44" s="137"/>
      <c r="N44" s="137"/>
      <c r="O44" s="137"/>
      <c r="P44" s="137"/>
      <c r="Q44" s="165">
        <f t="shared" ref="Q44:Q49" si="29">SUM(AA44:AH44)</f>
        <v>1.32</v>
      </c>
      <c r="R44" s="166">
        <f t="shared" ref="R44:R49" si="30">Y44*D44</f>
        <v>1.276</v>
      </c>
      <c r="S44" s="166">
        <f t="shared" ref="S44:S49" si="31">SUM(Q44:R44)</f>
        <v>2.5960000000000001</v>
      </c>
      <c r="T44" s="166">
        <f t="shared" ref="T44:T49" si="32">D44-S44</f>
        <v>1.8040000000000003</v>
      </c>
      <c r="U44" s="167">
        <f t="shared" ref="U44:U49" si="33">SUM(AJ43:AQ43)</f>
        <v>0</v>
      </c>
      <c r="V44" s="167">
        <f t="shared" ref="V44:V49" si="34">Y44*I44</f>
        <v>765.59999999999991</v>
      </c>
      <c r="W44" s="167">
        <f t="shared" ref="W44:W49" si="35">SUM(U44:V44)</f>
        <v>765.59999999999991</v>
      </c>
      <c r="X44" s="167">
        <f t="shared" ref="X44:X49" si="36">I44-W44</f>
        <v>1874.4</v>
      </c>
      <c r="Y44" s="168">
        <f t="shared" ref="Y44:Y49" si="37">SUM(AS44)</f>
        <v>0.28999999999999998</v>
      </c>
      <c r="Z44" s="137"/>
      <c r="AA44" s="166">
        <v>1.32</v>
      </c>
      <c r="AB44" s="137"/>
      <c r="AC44" s="137"/>
      <c r="AD44" s="137"/>
      <c r="AE44" s="137"/>
      <c r="AF44" s="137"/>
      <c r="AG44" s="137"/>
      <c r="AH44" s="137"/>
      <c r="AI44" s="137"/>
      <c r="AJ44" s="169">
        <v>792</v>
      </c>
      <c r="AK44" s="137"/>
      <c r="AL44" s="137"/>
      <c r="AM44" s="137"/>
      <c r="AN44" s="137"/>
      <c r="AO44" s="137"/>
      <c r="AP44" s="137"/>
      <c r="AQ44" s="137"/>
      <c r="AR44" s="137"/>
      <c r="AS44" s="138">
        <v>0.28999999999999998</v>
      </c>
      <c r="AT44" s="499"/>
      <c r="AU44" s="139">
        <v>0.3</v>
      </c>
      <c r="AV44" s="138">
        <v>0.4</v>
      </c>
      <c r="AW44" s="139"/>
      <c r="AX44" s="139"/>
      <c r="AY44" s="139"/>
      <c r="AZ44" s="139"/>
      <c r="BA44" s="139"/>
      <c r="BB44" s="139"/>
    </row>
    <row r="45" spans="1:54" ht="12.75" customHeight="1" x14ac:dyDescent="0.25">
      <c r="A45" s="200"/>
      <c r="B45" s="204" t="s">
        <v>113</v>
      </c>
      <c r="C45" s="202">
        <v>3.3333333333333335</v>
      </c>
      <c r="D45" s="203">
        <f t="shared" si="26"/>
        <v>3.666666666666667</v>
      </c>
      <c r="E45" s="203" t="s">
        <v>114</v>
      </c>
      <c r="F45" s="203">
        <f>'Material and Labor Cost'!$D$9</f>
        <v>126.50000000000001</v>
      </c>
      <c r="G45" s="203">
        <f>'Material and Labor Cost'!$F$9</f>
        <v>70</v>
      </c>
      <c r="H45" s="203">
        <f t="shared" si="27"/>
        <v>196.5</v>
      </c>
      <c r="I45" s="203">
        <f t="shared" si="28"/>
        <v>720.50000000000011</v>
      </c>
      <c r="J45" s="137"/>
      <c r="K45" s="146"/>
      <c r="L45" s="137"/>
      <c r="M45" s="137"/>
      <c r="N45" s="137"/>
      <c r="O45" s="137"/>
      <c r="P45" s="137"/>
      <c r="Q45" s="165">
        <f t="shared" si="29"/>
        <v>1.1000000000000001</v>
      </c>
      <c r="R45" s="166">
        <f t="shared" si="30"/>
        <v>1.0633333333333332</v>
      </c>
      <c r="S45" s="166">
        <f t="shared" si="31"/>
        <v>2.1633333333333331</v>
      </c>
      <c r="T45" s="166">
        <f t="shared" si="32"/>
        <v>1.5033333333333339</v>
      </c>
      <c r="U45" s="167">
        <f t="shared" si="33"/>
        <v>792</v>
      </c>
      <c r="V45" s="167">
        <f t="shared" si="34"/>
        <v>208.94500000000002</v>
      </c>
      <c r="W45" s="167">
        <f t="shared" si="35"/>
        <v>1000.9450000000001</v>
      </c>
      <c r="X45" s="167">
        <f t="shared" si="36"/>
        <v>-280.44499999999994</v>
      </c>
      <c r="Y45" s="168">
        <f t="shared" si="37"/>
        <v>0.28999999999999998</v>
      </c>
      <c r="Z45" s="137"/>
      <c r="AA45" s="166">
        <v>1.1000000000000001</v>
      </c>
      <c r="AB45" s="137"/>
      <c r="AC45" s="137"/>
      <c r="AD45" s="137"/>
      <c r="AE45" s="137"/>
      <c r="AF45" s="137"/>
      <c r="AG45" s="137"/>
      <c r="AH45" s="137"/>
      <c r="AI45" s="137"/>
      <c r="AJ45" s="169">
        <v>216.15000000000003</v>
      </c>
      <c r="AK45" s="137"/>
      <c r="AL45" s="137"/>
      <c r="AM45" s="137"/>
      <c r="AN45" s="137"/>
      <c r="AO45" s="137"/>
      <c r="AP45" s="137"/>
      <c r="AQ45" s="137"/>
      <c r="AR45" s="137"/>
      <c r="AS45" s="138">
        <v>0.28999999999999998</v>
      </c>
      <c r="AT45" s="499"/>
      <c r="AU45" s="139">
        <v>0.3</v>
      </c>
      <c r="AV45" s="138">
        <v>0.4</v>
      </c>
      <c r="AW45" s="139"/>
      <c r="AX45" s="139"/>
      <c r="AY45" s="139"/>
      <c r="AZ45" s="139"/>
      <c r="BA45" s="139"/>
      <c r="BB45" s="139"/>
    </row>
    <row r="46" spans="1:54" ht="12.75" customHeight="1" x14ac:dyDescent="0.25">
      <c r="A46" s="200"/>
      <c r="B46" s="204" t="s">
        <v>115</v>
      </c>
      <c r="C46" s="202">
        <v>6.666666666666667</v>
      </c>
      <c r="D46" s="203">
        <f t="shared" si="26"/>
        <v>7.3333333333333339</v>
      </c>
      <c r="E46" s="203" t="s">
        <v>114</v>
      </c>
      <c r="F46" s="203">
        <f>'Material and Labor Cost'!$D$10</f>
        <v>126.50000000000001</v>
      </c>
      <c r="G46" s="203">
        <f>'Material and Labor Cost'!$F$10</f>
        <v>70</v>
      </c>
      <c r="H46" s="203">
        <f t="shared" si="27"/>
        <v>196.5</v>
      </c>
      <c r="I46" s="203">
        <f t="shared" si="28"/>
        <v>1441.0000000000002</v>
      </c>
      <c r="J46" s="137"/>
      <c r="K46" s="146"/>
      <c r="L46" s="137"/>
      <c r="M46" s="137"/>
      <c r="N46" s="137"/>
      <c r="O46" s="137"/>
      <c r="P46" s="137"/>
      <c r="Q46" s="165">
        <f t="shared" si="29"/>
        <v>2.2000000000000002</v>
      </c>
      <c r="R46" s="166">
        <f t="shared" si="30"/>
        <v>2.1266666666666665</v>
      </c>
      <c r="S46" s="166">
        <f t="shared" si="31"/>
        <v>4.3266666666666662</v>
      </c>
      <c r="T46" s="166">
        <f t="shared" si="32"/>
        <v>3.0066666666666677</v>
      </c>
      <c r="U46" s="167">
        <f t="shared" si="33"/>
        <v>216.15000000000003</v>
      </c>
      <c r="V46" s="167">
        <f t="shared" si="34"/>
        <v>417.89000000000004</v>
      </c>
      <c r="W46" s="167">
        <f t="shared" si="35"/>
        <v>634.04000000000008</v>
      </c>
      <c r="X46" s="167">
        <f t="shared" si="36"/>
        <v>806.96000000000015</v>
      </c>
      <c r="Y46" s="168">
        <f t="shared" si="37"/>
        <v>0.28999999999999998</v>
      </c>
      <c r="Z46" s="137"/>
      <c r="AA46" s="166">
        <v>2.2000000000000002</v>
      </c>
      <c r="AB46" s="137"/>
      <c r="AC46" s="137"/>
      <c r="AD46" s="137"/>
      <c r="AE46" s="137"/>
      <c r="AF46" s="137"/>
      <c r="AG46" s="137"/>
      <c r="AH46" s="137"/>
      <c r="AI46" s="137"/>
      <c r="AJ46" s="169">
        <v>432.30000000000007</v>
      </c>
      <c r="AK46" s="137"/>
      <c r="AL46" s="137"/>
      <c r="AM46" s="137"/>
      <c r="AN46" s="137"/>
      <c r="AO46" s="137"/>
      <c r="AP46" s="137"/>
      <c r="AQ46" s="137"/>
      <c r="AR46" s="137"/>
      <c r="AS46" s="138">
        <v>0.28999999999999998</v>
      </c>
      <c r="AT46" s="499"/>
      <c r="AU46" s="139">
        <v>0.3</v>
      </c>
      <c r="AV46" s="138">
        <v>0.4</v>
      </c>
      <c r="AW46" s="139"/>
      <c r="AX46" s="139"/>
      <c r="AY46" s="139"/>
      <c r="AZ46" s="139"/>
      <c r="BA46" s="139"/>
      <c r="BB46" s="139"/>
    </row>
    <row r="47" spans="1:54" ht="12.75" customHeight="1" x14ac:dyDescent="0.25">
      <c r="A47" s="200"/>
      <c r="B47" s="204" t="s">
        <v>117</v>
      </c>
      <c r="C47" s="202">
        <v>4</v>
      </c>
      <c r="D47" s="203">
        <f t="shared" ref="D47:D49" si="38">ROUNDUP(C47*$K$39,0)</f>
        <v>5</v>
      </c>
      <c r="E47" s="203" t="s">
        <v>118</v>
      </c>
      <c r="F47" s="203">
        <f>'Material and Labor Cost'!$D$11</f>
        <v>30.000000000000004</v>
      </c>
      <c r="G47" s="203">
        <f>'Material and Labor Cost'!$F$11</f>
        <v>20</v>
      </c>
      <c r="H47" s="203">
        <f t="shared" si="27"/>
        <v>50</v>
      </c>
      <c r="I47" s="203">
        <f t="shared" si="28"/>
        <v>250</v>
      </c>
      <c r="J47" s="137"/>
      <c r="K47" s="146"/>
      <c r="L47" s="137"/>
      <c r="M47" s="137"/>
      <c r="N47" s="137"/>
      <c r="O47" s="137"/>
      <c r="P47" s="137"/>
      <c r="Q47" s="165">
        <f t="shared" si="29"/>
        <v>1.5</v>
      </c>
      <c r="R47" s="166">
        <f t="shared" si="30"/>
        <v>1.45</v>
      </c>
      <c r="S47" s="166">
        <f t="shared" si="31"/>
        <v>2.95</v>
      </c>
      <c r="T47" s="166">
        <f t="shared" si="32"/>
        <v>2.0499999999999998</v>
      </c>
      <c r="U47" s="167">
        <f t="shared" si="33"/>
        <v>432.30000000000007</v>
      </c>
      <c r="V47" s="167">
        <f t="shared" si="34"/>
        <v>72.5</v>
      </c>
      <c r="W47" s="167">
        <f t="shared" si="35"/>
        <v>504.80000000000007</v>
      </c>
      <c r="X47" s="167">
        <f t="shared" si="36"/>
        <v>-254.80000000000007</v>
      </c>
      <c r="Y47" s="168">
        <f t="shared" si="37"/>
        <v>0.28999999999999998</v>
      </c>
      <c r="Z47" s="137"/>
      <c r="AA47" s="166">
        <v>1.5</v>
      </c>
      <c r="AB47" s="137"/>
      <c r="AC47" s="137"/>
      <c r="AD47" s="137"/>
      <c r="AE47" s="137"/>
      <c r="AF47" s="137"/>
      <c r="AG47" s="137"/>
      <c r="AH47" s="137"/>
      <c r="AI47" s="137"/>
      <c r="AJ47" s="169">
        <v>75</v>
      </c>
      <c r="AK47" s="137"/>
      <c r="AL47" s="137"/>
      <c r="AM47" s="137"/>
      <c r="AN47" s="137"/>
      <c r="AO47" s="137"/>
      <c r="AP47" s="137"/>
      <c r="AQ47" s="137"/>
      <c r="AR47" s="137"/>
      <c r="AS47" s="138">
        <v>0.28999999999999998</v>
      </c>
      <c r="AT47" s="499"/>
      <c r="AU47" s="139">
        <v>0.3</v>
      </c>
      <c r="AV47" s="138">
        <v>0.4</v>
      </c>
      <c r="AW47" s="139"/>
      <c r="AX47" s="139"/>
      <c r="AY47" s="139"/>
      <c r="AZ47" s="139"/>
      <c r="BA47" s="139"/>
      <c r="BB47" s="139"/>
    </row>
    <row r="48" spans="1:54" ht="12.75" customHeight="1" x14ac:dyDescent="0.25">
      <c r="A48" s="200"/>
      <c r="B48" s="204" t="s">
        <v>119</v>
      </c>
      <c r="C48" s="202">
        <v>12</v>
      </c>
      <c r="D48" s="203">
        <f t="shared" si="38"/>
        <v>14</v>
      </c>
      <c r="E48" s="203" t="s">
        <v>118</v>
      </c>
      <c r="F48" s="203">
        <f>'Material and Labor Cost'!$D$12</f>
        <v>10</v>
      </c>
      <c r="G48" s="203">
        <f>'Material and Labor Cost'!$F$12</f>
        <v>20</v>
      </c>
      <c r="H48" s="203">
        <f t="shared" si="27"/>
        <v>30</v>
      </c>
      <c r="I48" s="203">
        <f t="shared" si="28"/>
        <v>420</v>
      </c>
      <c r="J48" s="137"/>
      <c r="K48" s="146"/>
      <c r="L48" s="137"/>
      <c r="M48" s="137"/>
      <c r="N48" s="137"/>
      <c r="O48" s="137"/>
      <c r="P48" s="137"/>
      <c r="Q48" s="165">
        <f t="shared" si="29"/>
        <v>4.2</v>
      </c>
      <c r="R48" s="166">
        <f t="shared" si="30"/>
        <v>4.0599999999999996</v>
      </c>
      <c r="S48" s="166">
        <f t="shared" si="31"/>
        <v>8.26</v>
      </c>
      <c r="T48" s="166">
        <f t="shared" si="32"/>
        <v>5.74</v>
      </c>
      <c r="U48" s="167">
        <f t="shared" si="33"/>
        <v>75</v>
      </c>
      <c r="V48" s="167">
        <f t="shared" si="34"/>
        <v>121.8</v>
      </c>
      <c r="W48" s="167">
        <f t="shared" si="35"/>
        <v>196.8</v>
      </c>
      <c r="X48" s="167">
        <f t="shared" si="36"/>
        <v>223.2</v>
      </c>
      <c r="Y48" s="168">
        <f t="shared" si="37"/>
        <v>0.28999999999999998</v>
      </c>
      <c r="Z48" s="137"/>
      <c r="AA48" s="166">
        <v>4.2</v>
      </c>
      <c r="AB48" s="137"/>
      <c r="AC48" s="137"/>
      <c r="AD48" s="137"/>
      <c r="AE48" s="137"/>
      <c r="AF48" s="137"/>
      <c r="AG48" s="137"/>
      <c r="AH48" s="137"/>
      <c r="AI48" s="137"/>
      <c r="AJ48" s="169">
        <v>126</v>
      </c>
      <c r="AK48" s="137"/>
      <c r="AL48" s="137"/>
      <c r="AM48" s="137"/>
      <c r="AN48" s="137"/>
      <c r="AO48" s="137"/>
      <c r="AP48" s="137"/>
      <c r="AQ48" s="137"/>
      <c r="AR48" s="137"/>
      <c r="AS48" s="138">
        <v>0.28999999999999998</v>
      </c>
      <c r="AT48" s="499"/>
      <c r="AU48" s="139">
        <v>0.3</v>
      </c>
      <c r="AV48" s="138">
        <v>0.4</v>
      </c>
      <c r="AW48" s="139"/>
      <c r="AX48" s="139"/>
      <c r="AY48" s="139"/>
      <c r="AZ48" s="139"/>
      <c r="BA48" s="139"/>
      <c r="BB48" s="139"/>
    </row>
    <row r="49" spans="1:54" ht="12.75" customHeight="1" x14ac:dyDescent="0.25">
      <c r="A49" s="200"/>
      <c r="B49" s="204" t="s">
        <v>120</v>
      </c>
      <c r="C49" s="202">
        <v>7</v>
      </c>
      <c r="D49" s="203">
        <f t="shared" si="38"/>
        <v>8</v>
      </c>
      <c r="E49" s="203" t="s">
        <v>114</v>
      </c>
      <c r="F49" s="203">
        <f>'Material and Labor Cost'!$D$13</f>
        <v>110.00000000000001</v>
      </c>
      <c r="G49" s="203">
        <f>'Material and Labor Cost'!$F$13</f>
        <v>60.000000000000007</v>
      </c>
      <c r="H49" s="203">
        <f t="shared" si="27"/>
        <v>170.00000000000003</v>
      </c>
      <c r="I49" s="203">
        <f t="shared" si="28"/>
        <v>1360.0000000000002</v>
      </c>
      <c r="J49" s="137"/>
      <c r="K49" s="146"/>
      <c r="L49" s="137"/>
      <c r="M49" s="137"/>
      <c r="N49" s="137"/>
      <c r="O49" s="137"/>
      <c r="P49" s="137"/>
      <c r="Q49" s="165">
        <f t="shared" si="29"/>
        <v>2.4</v>
      </c>
      <c r="R49" s="166">
        <f t="shared" si="30"/>
        <v>2.3199999999999998</v>
      </c>
      <c r="S49" s="166">
        <f t="shared" si="31"/>
        <v>4.72</v>
      </c>
      <c r="T49" s="166">
        <f t="shared" si="32"/>
        <v>3.2800000000000002</v>
      </c>
      <c r="U49" s="167">
        <f t="shared" si="33"/>
        <v>126</v>
      </c>
      <c r="V49" s="167">
        <f t="shared" si="34"/>
        <v>394.40000000000003</v>
      </c>
      <c r="W49" s="167">
        <f t="shared" si="35"/>
        <v>520.40000000000009</v>
      </c>
      <c r="X49" s="167">
        <f t="shared" si="36"/>
        <v>839.60000000000014</v>
      </c>
      <c r="Y49" s="168">
        <f t="shared" si="37"/>
        <v>0.28999999999999998</v>
      </c>
      <c r="Z49" s="137"/>
      <c r="AA49" s="166">
        <v>2.4</v>
      </c>
      <c r="AB49" s="137"/>
      <c r="AC49" s="137"/>
      <c r="AD49" s="137"/>
      <c r="AE49" s="137"/>
      <c r="AF49" s="137"/>
      <c r="AG49" s="137"/>
      <c r="AH49" s="137"/>
      <c r="AI49" s="137"/>
      <c r="AJ49" s="169">
        <v>408.00000000000006</v>
      </c>
      <c r="AK49" s="137"/>
      <c r="AL49" s="137"/>
      <c r="AM49" s="137"/>
      <c r="AN49" s="137"/>
      <c r="AO49" s="137"/>
      <c r="AP49" s="137"/>
      <c r="AQ49" s="137"/>
      <c r="AR49" s="137"/>
      <c r="AS49" s="138">
        <v>0.28999999999999998</v>
      </c>
      <c r="AT49" s="499"/>
      <c r="AU49" s="139">
        <v>0.3</v>
      </c>
      <c r="AV49" s="138">
        <v>0.4</v>
      </c>
      <c r="AW49" s="139"/>
      <c r="AX49" s="139"/>
      <c r="AY49" s="139"/>
      <c r="AZ49" s="139"/>
      <c r="BA49" s="139"/>
      <c r="BB49" s="139"/>
    </row>
    <row r="50" spans="1:54" ht="12.75" customHeight="1" x14ac:dyDescent="0.25">
      <c r="A50" s="200"/>
      <c r="B50" s="204"/>
      <c r="C50" s="202"/>
      <c r="D50" s="203"/>
      <c r="E50" s="203"/>
      <c r="F50" s="203"/>
      <c r="G50" s="203"/>
      <c r="H50" s="203"/>
      <c r="I50" s="203"/>
      <c r="J50" s="137"/>
      <c r="K50" s="146"/>
      <c r="L50" s="137"/>
      <c r="M50" s="137"/>
      <c r="N50" s="137"/>
      <c r="O50" s="137"/>
      <c r="P50" s="137"/>
      <c r="Q50" s="165"/>
      <c r="R50" s="166"/>
      <c r="S50" s="166"/>
      <c r="T50" s="166"/>
      <c r="U50" s="167"/>
      <c r="V50" s="167"/>
      <c r="W50" s="167"/>
      <c r="X50" s="167"/>
      <c r="Y50" s="168"/>
      <c r="Z50" s="137"/>
      <c r="AA50" s="166"/>
      <c r="AB50" s="137"/>
      <c r="AC50" s="137"/>
      <c r="AD50" s="137"/>
      <c r="AE50" s="137"/>
      <c r="AF50" s="137"/>
      <c r="AG50" s="137"/>
      <c r="AH50" s="137"/>
      <c r="AI50" s="137"/>
      <c r="AJ50" s="169"/>
      <c r="AK50" s="137"/>
      <c r="AL50" s="137"/>
      <c r="AM50" s="137"/>
      <c r="AN50" s="137"/>
      <c r="AO50" s="137"/>
      <c r="AP50" s="137"/>
      <c r="AQ50" s="137"/>
      <c r="AR50" s="137"/>
      <c r="AS50" s="138"/>
      <c r="AT50" s="499"/>
      <c r="AU50" s="139"/>
      <c r="AV50" s="138"/>
      <c r="AW50" s="139"/>
      <c r="AX50" s="139"/>
      <c r="AY50" s="139"/>
      <c r="AZ50" s="139"/>
      <c r="BA50" s="139"/>
      <c r="BB50" s="139"/>
    </row>
    <row r="51" spans="1:54" ht="12.75" customHeight="1" x14ac:dyDescent="0.25">
      <c r="A51" s="200"/>
      <c r="B51" s="204" t="s">
        <v>124</v>
      </c>
      <c r="C51" s="202">
        <f>(C36+C44)*2</f>
        <v>185.44</v>
      </c>
      <c r="D51" s="203">
        <f>C51*$K$39</f>
        <v>203.98400000000001</v>
      </c>
      <c r="E51" s="203" t="s">
        <v>6</v>
      </c>
      <c r="F51" s="203">
        <f>'Material and Labor Cost'!$D$14</f>
        <v>250.00000000000003</v>
      </c>
      <c r="G51" s="203">
        <f>'Material and Labor Cost'!$F$14</f>
        <v>350</v>
      </c>
      <c r="H51" s="203">
        <f>SUM(F51:G51)</f>
        <v>600</v>
      </c>
      <c r="I51" s="203">
        <f>H51*D51</f>
        <v>122390.40000000001</v>
      </c>
      <c r="J51" s="137"/>
      <c r="K51" s="146"/>
      <c r="L51" s="137"/>
      <c r="M51" s="137"/>
      <c r="N51" s="137"/>
      <c r="O51" s="137"/>
      <c r="P51" s="137"/>
      <c r="Q51" s="165">
        <f>SUM(AA51:AH51)</f>
        <v>61.1952</v>
      </c>
      <c r="R51" s="166">
        <f>Y51*D51</f>
        <v>59.155360000000002</v>
      </c>
      <c r="S51" s="166">
        <f>SUM(Q51:R51)</f>
        <v>120.35056</v>
      </c>
      <c r="T51" s="166">
        <f>D51-S51</f>
        <v>83.633440000000007</v>
      </c>
      <c r="U51" s="167">
        <f>SUM(AJ50:AQ50)</f>
        <v>0</v>
      </c>
      <c r="V51" s="167">
        <f>Y51*I51</f>
        <v>35493.216</v>
      </c>
      <c r="W51" s="167">
        <f>SUM(U51:V51)</f>
        <v>35493.216</v>
      </c>
      <c r="X51" s="167">
        <f>I51-W51</f>
        <v>86897.184000000008</v>
      </c>
      <c r="Y51" s="168">
        <f>SUM(AS51)</f>
        <v>0.28999999999999998</v>
      </c>
      <c r="Z51" s="137"/>
      <c r="AA51" s="166">
        <v>61.1952</v>
      </c>
      <c r="AB51" s="137"/>
      <c r="AC51" s="137"/>
      <c r="AD51" s="137"/>
      <c r="AE51" s="137"/>
      <c r="AF51" s="137"/>
      <c r="AG51" s="137"/>
      <c r="AH51" s="137"/>
      <c r="AI51" s="137"/>
      <c r="AJ51" s="169">
        <v>36717.120000000003</v>
      </c>
      <c r="AK51" s="137"/>
      <c r="AL51" s="137"/>
      <c r="AM51" s="137"/>
      <c r="AN51" s="137"/>
      <c r="AO51" s="137"/>
      <c r="AP51" s="137"/>
      <c r="AQ51" s="137"/>
      <c r="AR51" s="137"/>
      <c r="AS51" s="138">
        <v>0.28999999999999998</v>
      </c>
      <c r="AT51" s="499"/>
      <c r="AU51" s="139">
        <v>0.3</v>
      </c>
      <c r="AV51" s="138">
        <v>0.4</v>
      </c>
      <c r="AW51" s="139"/>
      <c r="AX51" s="139"/>
      <c r="AY51" s="139"/>
      <c r="AZ51" s="139"/>
      <c r="BA51" s="139"/>
      <c r="BB51" s="139"/>
    </row>
    <row r="52" spans="1:54" ht="12.75" customHeight="1" x14ac:dyDescent="0.25">
      <c r="A52" s="200"/>
      <c r="B52" s="204"/>
      <c r="C52" s="202"/>
      <c r="D52" s="203"/>
      <c r="E52" s="203"/>
      <c r="F52" s="203"/>
      <c r="G52" s="203"/>
      <c r="H52" s="203"/>
      <c r="I52" s="203"/>
      <c r="J52" s="137"/>
      <c r="K52" s="146"/>
      <c r="L52" s="137"/>
      <c r="M52" s="137"/>
      <c r="N52" s="137"/>
      <c r="O52" s="137"/>
      <c r="P52" s="137"/>
      <c r="Q52" s="165"/>
      <c r="R52" s="166"/>
      <c r="S52" s="166"/>
      <c r="T52" s="166"/>
      <c r="U52" s="167"/>
      <c r="V52" s="167"/>
      <c r="W52" s="167"/>
      <c r="X52" s="167"/>
      <c r="Y52" s="168"/>
      <c r="Z52" s="137"/>
      <c r="AA52" s="166"/>
      <c r="AB52" s="137"/>
      <c r="AC52" s="137"/>
      <c r="AD52" s="137"/>
      <c r="AE52" s="137"/>
      <c r="AF52" s="137"/>
      <c r="AG52" s="137"/>
      <c r="AH52" s="137"/>
      <c r="AI52" s="137"/>
      <c r="AJ52" s="169"/>
      <c r="AK52" s="137"/>
      <c r="AL52" s="137"/>
      <c r="AM52" s="137"/>
      <c r="AN52" s="137"/>
      <c r="AO52" s="137"/>
      <c r="AP52" s="137"/>
      <c r="AQ52" s="137"/>
      <c r="AR52" s="137"/>
      <c r="AS52" s="138"/>
      <c r="AT52" s="499"/>
      <c r="AU52" s="139"/>
      <c r="AV52" s="138"/>
      <c r="AW52" s="139"/>
      <c r="AX52" s="139"/>
      <c r="AY52" s="139"/>
      <c r="AZ52" s="139"/>
      <c r="BA52" s="139"/>
      <c r="BB52" s="139"/>
    </row>
    <row r="53" spans="1:54" ht="12.75" customHeight="1" x14ac:dyDescent="0.25">
      <c r="A53" s="207"/>
      <c r="B53" s="208" t="s">
        <v>125</v>
      </c>
      <c r="C53" s="209"/>
      <c r="D53" s="209"/>
      <c r="E53" s="209"/>
      <c r="F53" s="209"/>
      <c r="G53" s="209"/>
      <c r="H53" s="209"/>
      <c r="I53" s="209"/>
      <c r="J53" s="210"/>
      <c r="K53" s="211"/>
      <c r="L53" s="211"/>
      <c r="M53" s="212"/>
      <c r="N53" s="210"/>
      <c r="O53" s="210"/>
      <c r="P53" s="213"/>
      <c r="Q53" s="214"/>
      <c r="R53" s="215"/>
      <c r="S53" s="215"/>
      <c r="T53" s="215"/>
      <c r="U53" s="216"/>
      <c r="V53" s="216"/>
      <c r="W53" s="216"/>
      <c r="X53" s="216"/>
      <c r="Y53" s="217"/>
      <c r="Z53" s="218"/>
      <c r="AA53" s="215"/>
      <c r="AB53" s="210"/>
      <c r="AC53" s="210"/>
      <c r="AD53" s="211"/>
      <c r="AE53" s="211"/>
      <c r="AF53" s="211"/>
      <c r="AG53" s="211"/>
      <c r="AH53" s="211"/>
      <c r="AI53" s="211"/>
      <c r="AJ53" s="219"/>
      <c r="AK53" s="211"/>
      <c r="AL53" s="211"/>
      <c r="AM53" s="211"/>
      <c r="AN53" s="211"/>
      <c r="AO53" s="211"/>
      <c r="AP53" s="211"/>
      <c r="AQ53" s="211"/>
      <c r="AR53" s="211"/>
      <c r="AS53" s="138"/>
      <c r="AT53" s="499"/>
      <c r="AU53" s="220"/>
      <c r="AV53" s="138"/>
      <c r="AW53" s="220"/>
      <c r="AX53" s="220"/>
      <c r="AY53" s="220"/>
      <c r="AZ53" s="220"/>
      <c r="BA53" s="220"/>
      <c r="BB53" s="220"/>
    </row>
    <row r="54" spans="1:54" ht="12.75" customHeight="1" x14ac:dyDescent="0.25">
      <c r="A54" s="200"/>
      <c r="B54" s="204" t="s">
        <v>126</v>
      </c>
      <c r="C54" s="202">
        <v>39</v>
      </c>
      <c r="D54" s="203">
        <f t="shared" ref="D54:D56" si="39">C54*$K$39</f>
        <v>42.900000000000006</v>
      </c>
      <c r="E54" s="203" t="s">
        <v>6</v>
      </c>
      <c r="F54" s="203">
        <f>'Material and Labor Cost'!$D$15</f>
        <v>250.00000000000003</v>
      </c>
      <c r="G54" s="203">
        <f>'Material and Labor Cost'!$F$15</f>
        <v>350</v>
      </c>
      <c r="H54" s="203">
        <f t="shared" ref="H54:H60" si="40">SUM(F54:G54)</f>
        <v>600</v>
      </c>
      <c r="I54" s="203">
        <f t="shared" ref="I54:I60" si="41">H54*D54</f>
        <v>25740.000000000004</v>
      </c>
      <c r="J54" s="137"/>
      <c r="K54" s="137"/>
      <c r="L54" s="137"/>
      <c r="M54" s="146">
        <v>39</v>
      </c>
      <c r="N54" s="221">
        <v>24.5</v>
      </c>
      <c r="O54" s="137"/>
      <c r="P54" s="137"/>
      <c r="Q54" s="165">
        <f t="shared" ref="Q54:Q60" si="42">SUM(AA54:AH54)</f>
        <v>21.450000000000003</v>
      </c>
      <c r="R54" s="166">
        <f t="shared" ref="R54:R60" si="43">Y54*D54</f>
        <v>3.8610000000000002</v>
      </c>
      <c r="S54" s="166">
        <f t="shared" ref="S54:S60" si="44">SUM(Q54:R54)</f>
        <v>25.311000000000003</v>
      </c>
      <c r="T54" s="166">
        <f t="shared" ref="T54:T60" si="45">D54-S54</f>
        <v>17.589000000000002</v>
      </c>
      <c r="U54" s="167">
        <f t="shared" ref="U54:U60" si="46">SUM(AJ53:AQ53)</f>
        <v>0</v>
      </c>
      <c r="V54" s="167">
        <f t="shared" ref="V54:V60" si="47">Y54*I54</f>
        <v>2316.6000000000004</v>
      </c>
      <c r="W54" s="167">
        <f t="shared" ref="W54:W60" si="48">SUM(U54:V54)</f>
        <v>2316.6000000000004</v>
      </c>
      <c r="X54" s="167">
        <f t="shared" ref="X54:X60" si="49">I54-W54</f>
        <v>23423.4</v>
      </c>
      <c r="Y54" s="168">
        <f t="shared" ref="Y54:Y60" si="50">SUM(AS54)</f>
        <v>0.09</v>
      </c>
      <c r="Z54" s="137"/>
      <c r="AA54" s="166">
        <v>21.450000000000003</v>
      </c>
      <c r="AB54" s="137"/>
      <c r="AC54" s="137"/>
      <c r="AD54" s="137"/>
      <c r="AE54" s="137"/>
      <c r="AF54" s="137"/>
      <c r="AG54" s="137"/>
      <c r="AH54" s="137"/>
      <c r="AI54" s="137"/>
      <c r="AJ54" s="169">
        <v>12870.000000000002</v>
      </c>
      <c r="AK54" s="137"/>
      <c r="AL54" s="137"/>
      <c r="AM54" s="137"/>
      <c r="AN54" s="137"/>
      <c r="AO54" s="137"/>
      <c r="AP54" s="137"/>
      <c r="AQ54" s="137"/>
      <c r="AR54" s="137"/>
      <c r="AS54" s="138">
        <v>0.09</v>
      </c>
      <c r="AT54" s="499"/>
      <c r="AU54" s="139">
        <v>0.5</v>
      </c>
      <c r="AV54" s="138">
        <v>0.4</v>
      </c>
      <c r="AW54" s="139"/>
      <c r="AX54" s="139"/>
      <c r="AY54" s="139"/>
      <c r="AZ54" s="139"/>
      <c r="BA54" s="139"/>
      <c r="BB54" s="139"/>
    </row>
    <row r="55" spans="1:54" ht="12.75" customHeight="1" x14ac:dyDescent="0.25">
      <c r="A55" s="200"/>
      <c r="B55" s="204" t="s">
        <v>113</v>
      </c>
      <c r="C55" s="202">
        <f t="shared" ref="C55:C60" si="51">N55*$M$55</f>
        <v>44.770408163265309</v>
      </c>
      <c r="D55" s="203">
        <f t="shared" si="39"/>
        <v>49.247448979591844</v>
      </c>
      <c r="E55" s="203" t="s">
        <v>114</v>
      </c>
      <c r="F55" s="203">
        <f>'Material and Labor Cost'!$D$9</f>
        <v>126.50000000000001</v>
      </c>
      <c r="G55" s="203">
        <f>'Material and Labor Cost'!$F$9</f>
        <v>70</v>
      </c>
      <c r="H55" s="203">
        <f t="shared" si="40"/>
        <v>196.5</v>
      </c>
      <c r="I55" s="203">
        <f t="shared" si="41"/>
        <v>9677.1237244897966</v>
      </c>
      <c r="J55" s="137"/>
      <c r="K55" s="137"/>
      <c r="L55" s="137"/>
      <c r="M55" s="146">
        <f>M54/N54</f>
        <v>1.5918367346938775</v>
      </c>
      <c r="N55" s="221">
        <v>28.125</v>
      </c>
      <c r="O55" s="137"/>
      <c r="P55" s="137"/>
      <c r="Q55" s="165">
        <f t="shared" si="42"/>
        <v>24.623724489795922</v>
      </c>
      <c r="R55" s="166">
        <f t="shared" si="43"/>
        <v>4.4322704081632658</v>
      </c>
      <c r="S55" s="166">
        <f t="shared" si="44"/>
        <v>29.055994897959188</v>
      </c>
      <c r="T55" s="166">
        <f t="shared" si="45"/>
        <v>20.191454081632656</v>
      </c>
      <c r="U55" s="167">
        <f t="shared" si="46"/>
        <v>12870.000000000002</v>
      </c>
      <c r="V55" s="167">
        <f t="shared" si="47"/>
        <v>870.94113520408166</v>
      </c>
      <c r="W55" s="167">
        <f t="shared" si="48"/>
        <v>13740.941135204084</v>
      </c>
      <c r="X55" s="167">
        <f t="shared" si="49"/>
        <v>-4063.8174107142877</v>
      </c>
      <c r="Y55" s="168">
        <f t="shared" si="50"/>
        <v>0.09</v>
      </c>
      <c r="Z55" s="137"/>
      <c r="AA55" s="166">
        <v>24.623724489795922</v>
      </c>
      <c r="AB55" s="137"/>
      <c r="AC55" s="137"/>
      <c r="AD55" s="137"/>
      <c r="AE55" s="137"/>
      <c r="AF55" s="137"/>
      <c r="AG55" s="137"/>
      <c r="AH55" s="137"/>
      <c r="AI55" s="137"/>
      <c r="AJ55" s="169">
        <v>4838.5618622448983</v>
      </c>
      <c r="AK55" s="137"/>
      <c r="AL55" s="137"/>
      <c r="AM55" s="137"/>
      <c r="AN55" s="137"/>
      <c r="AO55" s="137"/>
      <c r="AP55" s="137"/>
      <c r="AQ55" s="137"/>
      <c r="AR55" s="137"/>
      <c r="AS55" s="138">
        <v>0.09</v>
      </c>
      <c r="AT55" s="499"/>
      <c r="AU55" s="139">
        <v>0.5</v>
      </c>
      <c r="AV55" s="138">
        <v>0.4</v>
      </c>
      <c r="AW55" s="139"/>
      <c r="AX55" s="139"/>
      <c r="AY55" s="139"/>
      <c r="AZ55" s="139"/>
      <c r="BA55" s="139"/>
      <c r="BB55" s="139"/>
    </row>
    <row r="56" spans="1:54" ht="12.75" customHeight="1" x14ac:dyDescent="0.25">
      <c r="A56" s="200"/>
      <c r="B56" s="204" t="s">
        <v>115</v>
      </c>
      <c r="C56" s="202">
        <f t="shared" si="51"/>
        <v>72.136734693877557</v>
      </c>
      <c r="D56" s="203">
        <f t="shared" si="39"/>
        <v>79.350408163265314</v>
      </c>
      <c r="E56" s="203" t="s">
        <v>114</v>
      </c>
      <c r="F56" s="203">
        <f>'Material and Labor Cost'!$D$10</f>
        <v>126.50000000000001</v>
      </c>
      <c r="G56" s="203">
        <f>'Material and Labor Cost'!$F$10</f>
        <v>70</v>
      </c>
      <c r="H56" s="203">
        <f t="shared" si="40"/>
        <v>196.5</v>
      </c>
      <c r="I56" s="203">
        <f t="shared" si="41"/>
        <v>15592.355204081634</v>
      </c>
      <c r="J56" s="137"/>
      <c r="K56" s="137"/>
      <c r="L56" s="137"/>
      <c r="M56" s="146"/>
      <c r="N56" s="221">
        <v>45.31666666666667</v>
      </c>
      <c r="O56" s="137"/>
      <c r="P56" s="137"/>
      <c r="Q56" s="165">
        <f t="shared" si="42"/>
        <v>39.675204081632657</v>
      </c>
      <c r="R56" s="166">
        <f t="shared" si="43"/>
        <v>7.1415367346938776</v>
      </c>
      <c r="S56" s="166">
        <f t="shared" si="44"/>
        <v>46.816740816326536</v>
      </c>
      <c r="T56" s="166">
        <f t="shared" si="45"/>
        <v>32.533667346938778</v>
      </c>
      <c r="U56" s="167">
        <f t="shared" si="46"/>
        <v>4838.5618622448983</v>
      </c>
      <c r="V56" s="167">
        <f t="shared" si="47"/>
        <v>1403.3119683673469</v>
      </c>
      <c r="W56" s="167">
        <f t="shared" si="48"/>
        <v>6241.873830612245</v>
      </c>
      <c r="X56" s="167">
        <f t="shared" si="49"/>
        <v>9350.4813734693889</v>
      </c>
      <c r="Y56" s="168">
        <f t="shared" si="50"/>
        <v>0.09</v>
      </c>
      <c r="Z56" s="137"/>
      <c r="AA56" s="166">
        <v>39.675204081632657</v>
      </c>
      <c r="AB56" s="137"/>
      <c r="AC56" s="137"/>
      <c r="AD56" s="137"/>
      <c r="AE56" s="137"/>
      <c r="AF56" s="137"/>
      <c r="AG56" s="137"/>
      <c r="AH56" s="137"/>
      <c r="AI56" s="137"/>
      <c r="AJ56" s="169">
        <v>7796.177602040817</v>
      </c>
      <c r="AK56" s="137"/>
      <c r="AL56" s="137"/>
      <c r="AM56" s="137"/>
      <c r="AN56" s="137"/>
      <c r="AO56" s="137"/>
      <c r="AP56" s="137"/>
      <c r="AQ56" s="137"/>
      <c r="AR56" s="137"/>
      <c r="AS56" s="138">
        <v>0.09</v>
      </c>
      <c r="AT56" s="499"/>
      <c r="AU56" s="139">
        <v>0.5</v>
      </c>
      <c r="AV56" s="138">
        <v>0.4</v>
      </c>
      <c r="AW56" s="139"/>
      <c r="AX56" s="139"/>
      <c r="AY56" s="139"/>
      <c r="AZ56" s="139"/>
      <c r="BA56" s="139"/>
      <c r="BB56" s="139"/>
    </row>
    <row r="57" spans="1:54" ht="12.75" customHeight="1" x14ac:dyDescent="0.25">
      <c r="A57" s="200"/>
      <c r="B57" s="204" t="s">
        <v>117</v>
      </c>
      <c r="C57" s="202">
        <f t="shared" si="51"/>
        <v>14.326530612244898</v>
      </c>
      <c r="D57" s="203">
        <f t="shared" ref="D57:D58" si="52">ROUNDUP(C57*$K$39,0)</f>
        <v>16</v>
      </c>
      <c r="E57" s="203" t="s">
        <v>118</v>
      </c>
      <c r="F57" s="203">
        <f>'Material and Labor Cost'!$D$11</f>
        <v>30.000000000000004</v>
      </c>
      <c r="G57" s="203">
        <f>'Material and Labor Cost'!$F$11</f>
        <v>20</v>
      </c>
      <c r="H57" s="203">
        <f t="shared" si="40"/>
        <v>50</v>
      </c>
      <c r="I57" s="203">
        <f t="shared" si="41"/>
        <v>800</v>
      </c>
      <c r="J57" s="137"/>
      <c r="K57" s="137"/>
      <c r="L57" s="137"/>
      <c r="M57" s="146"/>
      <c r="N57" s="221">
        <v>9</v>
      </c>
      <c r="O57" s="137"/>
      <c r="P57" s="137"/>
      <c r="Q57" s="165">
        <f t="shared" si="42"/>
        <v>8</v>
      </c>
      <c r="R57" s="166">
        <f t="shared" si="43"/>
        <v>1.44</v>
      </c>
      <c r="S57" s="166">
        <f t="shared" si="44"/>
        <v>9.44</v>
      </c>
      <c r="T57" s="166">
        <f t="shared" si="45"/>
        <v>6.5600000000000005</v>
      </c>
      <c r="U57" s="167">
        <f t="shared" si="46"/>
        <v>7796.177602040817</v>
      </c>
      <c r="V57" s="167">
        <f t="shared" si="47"/>
        <v>72</v>
      </c>
      <c r="W57" s="167">
        <f t="shared" si="48"/>
        <v>7868.177602040817</v>
      </c>
      <c r="X57" s="167">
        <f t="shared" si="49"/>
        <v>-7068.177602040817</v>
      </c>
      <c r="Y57" s="168">
        <f t="shared" si="50"/>
        <v>0.09</v>
      </c>
      <c r="Z57" s="137"/>
      <c r="AA57" s="166">
        <v>8</v>
      </c>
      <c r="AB57" s="137"/>
      <c r="AC57" s="137"/>
      <c r="AD57" s="137"/>
      <c r="AE57" s="137"/>
      <c r="AF57" s="137"/>
      <c r="AG57" s="137"/>
      <c r="AH57" s="137"/>
      <c r="AI57" s="137"/>
      <c r="AJ57" s="169">
        <v>400</v>
      </c>
      <c r="AK57" s="137"/>
      <c r="AL57" s="137"/>
      <c r="AM57" s="137"/>
      <c r="AN57" s="137"/>
      <c r="AO57" s="137"/>
      <c r="AP57" s="137"/>
      <c r="AQ57" s="137"/>
      <c r="AR57" s="137"/>
      <c r="AS57" s="138">
        <v>0.09</v>
      </c>
      <c r="AT57" s="499"/>
      <c r="AU57" s="139">
        <v>0.5</v>
      </c>
      <c r="AV57" s="138">
        <v>0.4</v>
      </c>
      <c r="AW57" s="139"/>
      <c r="AX57" s="139"/>
      <c r="AY57" s="139"/>
      <c r="AZ57" s="139"/>
      <c r="BA57" s="139"/>
      <c r="BB57" s="139"/>
    </row>
    <row r="58" spans="1:54" ht="12.75" customHeight="1" x14ac:dyDescent="0.25">
      <c r="A58" s="200"/>
      <c r="B58" s="204" t="s">
        <v>119</v>
      </c>
      <c r="C58" s="202">
        <f t="shared" si="51"/>
        <v>216.48979591836735</v>
      </c>
      <c r="D58" s="203">
        <f t="shared" si="52"/>
        <v>239</v>
      </c>
      <c r="E58" s="203" t="s">
        <v>118</v>
      </c>
      <c r="F58" s="203">
        <f>'Material and Labor Cost'!$D$12</f>
        <v>10</v>
      </c>
      <c r="G58" s="203">
        <f>'Material and Labor Cost'!$F$12</f>
        <v>20</v>
      </c>
      <c r="H58" s="203">
        <f t="shared" si="40"/>
        <v>30</v>
      </c>
      <c r="I58" s="203">
        <f t="shared" si="41"/>
        <v>7170</v>
      </c>
      <c r="J58" s="137"/>
      <c r="K58" s="137"/>
      <c r="L58" s="137"/>
      <c r="M58" s="146"/>
      <c r="N58" s="221">
        <v>136</v>
      </c>
      <c r="O58" s="137"/>
      <c r="P58" s="137"/>
      <c r="Q58" s="165">
        <f t="shared" si="42"/>
        <v>119.5</v>
      </c>
      <c r="R58" s="166">
        <f t="shared" si="43"/>
        <v>21.509999999999998</v>
      </c>
      <c r="S58" s="166">
        <f t="shared" si="44"/>
        <v>141.01</v>
      </c>
      <c r="T58" s="166">
        <f t="shared" si="45"/>
        <v>97.990000000000009</v>
      </c>
      <c r="U58" s="167">
        <f t="shared" si="46"/>
        <v>400</v>
      </c>
      <c r="V58" s="167">
        <f t="shared" si="47"/>
        <v>645.29999999999995</v>
      </c>
      <c r="W58" s="167">
        <f t="shared" si="48"/>
        <v>1045.3</v>
      </c>
      <c r="X58" s="167">
        <f t="shared" si="49"/>
        <v>6124.7</v>
      </c>
      <c r="Y58" s="168">
        <f t="shared" si="50"/>
        <v>0.09</v>
      </c>
      <c r="Z58" s="137"/>
      <c r="AA58" s="166">
        <v>119.5</v>
      </c>
      <c r="AB58" s="137"/>
      <c r="AC58" s="137"/>
      <c r="AD58" s="137"/>
      <c r="AE58" s="137"/>
      <c r="AF58" s="137"/>
      <c r="AG58" s="137"/>
      <c r="AH58" s="137"/>
      <c r="AI58" s="137"/>
      <c r="AJ58" s="169">
        <v>3585</v>
      </c>
      <c r="AK58" s="137"/>
      <c r="AL58" s="137"/>
      <c r="AM58" s="137"/>
      <c r="AN58" s="137"/>
      <c r="AO58" s="137"/>
      <c r="AP58" s="137"/>
      <c r="AQ58" s="137"/>
      <c r="AR58" s="137"/>
      <c r="AS58" s="138">
        <v>0.09</v>
      </c>
      <c r="AT58" s="499"/>
      <c r="AU58" s="139">
        <v>0.5</v>
      </c>
      <c r="AV58" s="138">
        <v>0.4</v>
      </c>
      <c r="AW58" s="139"/>
      <c r="AX58" s="139"/>
      <c r="AY58" s="139"/>
      <c r="AZ58" s="139"/>
      <c r="BA58" s="139"/>
      <c r="BB58" s="139"/>
    </row>
    <row r="59" spans="1:54" ht="12.75" customHeight="1" x14ac:dyDescent="0.25">
      <c r="A59" s="200"/>
      <c r="B59" s="204" t="s">
        <v>127</v>
      </c>
      <c r="C59" s="202">
        <f t="shared" si="51"/>
        <v>2.0057142857142858</v>
      </c>
      <c r="D59" s="203">
        <f t="shared" ref="D59:D60" si="53">C59*$K$39</f>
        <v>2.2062857142857144</v>
      </c>
      <c r="E59" s="203" t="s">
        <v>114</v>
      </c>
      <c r="F59" s="203">
        <f>'Material and Labor Cost'!$D$16</f>
        <v>110.00000000000001</v>
      </c>
      <c r="G59" s="203">
        <f>'Material and Labor Cost'!$F$16</f>
        <v>20</v>
      </c>
      <c r="H59" s="203">
        <f t="shared" si="40"/>
        <v>130</v>
      </c>
      <c r="I59" s="203">
        <f t="shared" si="41"/>
        <v>286.81714285714287</v>
      </c>
      <c r="J59" s="137"/>
      <c r="K59" s="137"/>
      <c r="L59" s="137"/>
      <c r="M59" s="146"/>
      <c r="N59" s="221">
        <v>1.26</v>
      </c>
      <c r="O59" s="137"/>
      <c r="P59" s="137"/>
      <c r="Q59" s="165">
        <f t="shared" si="42"/>
        <v>1.1031428571428572</v>
      </c>
      <c r="R59" s="166">
        <f t="shared" si="43"/>
        <v>0.19856571428571429</v>
      </c>
      <c r="S59" s="166">
        <f t="shared" si="44"/>
        <v>1.3017085714285714</v>
      </c>
      <c r="T59" s="166">
        <f t="shared" si="45"/>
        <v>0.90457714285714297</v>
      </c>
      <c r="U59" s="167">
        <f t="shared" si="46"/>
        <v>3585</v>
      </c>
      <c r="V59" s="167">
        <f t="shared" si="47"/>
        <v>25.813542857142856</v>
      </c>
      <c r="W59" s="167">
        <f t="shared" si="48"/>
        <v>3610.8135428571427</v>
      </c>
      <c r="X59" s="167">
        <f t="shared" si="49"/>
        <v>-3323.9964</v>
      </c>
      <c r="Y59" s="168">
        <f t="shared" si="50"/>
        <v>0.09</v>
      </c>
      <c r="Z59" s="137"/>
      <c r="AA59" s="166">
        <v>1.1031428571428572</v>
      </c>
      <c r="AB59" s="137"/>
      <c r="AC59" s="137"/>
      <c r="AD59" s="137"/>
      <c r="AE59" s="137"/>
      <c r="AF59" s="137"/>
      <c r="AG59" s="137"/>
      <c r="AH59" s="137"/>
      <c r="AI59" s="137"/>
      <c r="AJ59" s="169">
        <v>143.40857142857143</v>
      </c>
      <c r="AK59" s="137"/>
      <c r="AL59" s="137"/>
      <c r="AM59" s="137"/>
      <c r="AN59" s="137"/>
      <c r="AO59" s="137"/>
      <c r="AP59" s="137"/>
      <c r="AQ59" s="137"/>
      <c r="AR59" s="137"/>
      <c r="AS59" s="138">
        <v>0.09</v>
      </c>
      <c r="AT59" s="499"/>
      <c r="AU59" s="139">
        <v>0.5</v>
      </c>
      <c r="AV59" s="138">
        <v>0.4</v>
      </c>
      <c r="AW59" s="139"/>
      <c r="AX59" s="139"/>
      <c r="AY59" s="139"/>
      <c r="AZ59" s="139"/>
      <c r="BA59" s="139"/>
      <c r="BB59" s="139"/>
    </row>
    <row r="60" spans="1:54" ht="12.75" customHeight="1" x14ac:dyDescent="0.25">
      <c r="A60" s="200"/>
      <c r="B60" s="204" t="s">
        <v>128</v>
      </c>
      <c r="C60" s="202">
        <f t="shared" si="51"/>
        <v>77.044897959183672</v>
      </c>
      <c r="D60" s="203">
        <f t="shared" si="53"/>
        <v>84.749387755102049</v>
      </c>
      <c r="E60" s="203" t="s">
        <v>114</v>
      </c>
      <c r="F60" s="203">
        <f>'Material and Labor Cost'!$D$17</f>
        <v>110.00000000000001</v>
      </c>
      <c r="G60" s="203">
        <f>'Material and Labor Cost'!$F$17</f>
        <v>20</v>
      </c>
      <c r="H60" s="203">
        <f t="shared" si="40"/>
        <v>130</v>
      </c>
      <c r="I60" s="203">
        <f t="shared" si="41"/>
        <v>11017.420408163267</v>
      </c>
      <c r="J60" s="137"/>
      <c r="K60" s="137"/>
      <c r="L60" s="137"/>
      <c r="M60" s="146"/>
      <c r="N60" s="221">
        <v>48.4</v>
      </c>
      <c r="O60" s="137"/>
      <c r="P60" s="137"/>
      <c r="Q60" s="165">
        <f t="shared" si="42"/>
        <v>42.374693877551024</v>
      </c>
      <c r="R60" s="166">
        <f t="shared" si="43"/>
        <v>7.627444897959184</v>
      </c>
      <c r="S60" s="166">
        <f t="shared" si="44"/>
        <v>50.002138775510211</v>
      </c>
      <c r="T60" s="166">
        <f t="shared" si="45"/>
        <v>34.747248979591838</v>
      </c>
      <c r="U60" s="167">
        <f t="shared" si="46"/>
        <v>143.40857142857143</v>
      </c>
      <c r="V60" s="167">
        <f t="shared" si="47"/>
        <v>991.56783673469397</v>
      </c>
      <c r="W60" s="167">
        <f t="shared" si="48"/>
        <v>1134.9764081632654</v>
      </c>
      <c r="X60" s="167">
        <f t="shared" si="49"/>
        <v>9882.4440000000013</v>
      </c>
      <c r="Y60" s="168">
        <f t="shared" si="50"/>
        <v>0.09</v>
      </c>
      <c r="Z60" s="137"/>
      <c r="AA60" s="166">
        <v>42.374693877551024</v>
      </c>
      <c r="AB60" s="137"/>
      <c r="AC60" s="137"/>
      <c r="AD60" s="137"/>
      <c r="AE60" s="137"/>
      <c r="AF60" s="137"/>
      <c r="AG60" s="137"/>
      <c r="AH60" s="137"/>
      <c r="AI60" s="137"/>
      <c r="AJ60" s="169">
        <v>5508.7102040816335</v>
      </c>
      <c r="AK60" s="137"/>
      <c r="AL60" s="137"/>
      <c r="AM60" s="137"/>
      <c r="AN60" s="137"/>
      <c r="AO60" s="137"/>
      <c r="AP60" s="137"/>
      <c r="AQ60" s="137"/>
      <c r="AR60" s="137"/>
      <c r="AS60" s="138">
        <v>0.09</v>
      </c>
      <c r="AT60" s="499"/>
      <c r="AU60" s="139">
        <v>0.5</v>
      </c>
      <c r="AV60" s="138">
        <v>0.4</v>
      </c>
      <c r="AW60" s="139"/>
      <c r="AX60" s="139"/>
      <c r="AY60" s="139"/>
      <c r="AZ60" s="139"/>
      <c r="BA60" s="139"/>
      <c r="BB60" s="139"/>
    </row>
    <row r="61" spans="1:54" ht="12.75" customHeight="1" x14ac:dyDescent="0.25">
      <c r="A61" s="200"/>
      <c r="B61" s="204"/>
      <c r="C61" s="202"/>
      <c r="D61" s="203"/>
      <c r="E61" s="203"/>
      <c r="F61" s="203"/>
      <c r="G61" s="203"/>
      <c r="H61" s="203"/>
      <c r="I61" s="203"/>
      <c r="J61" s="137"/>
      <c r="K61" s="137"/>
      <c r="L61" s="137"/>
      <c r="M61" s="146"/>
      <c r="N61" s="137"/>
      <c r="O61" s="137"/>
      <c r="P61" s="137"/>
      <c r="Q61" s="165"/>
      <c r="R61" s="166"/>
      <c r="S61" s="166"/>
      <c r="T61" s="166"/>
      <c r="U61" s="167"/>
      <c r="V61" s="167"/>
      <c r="W61" s="167"/>
      <c r="X61" s="167"/>
      <c r="Y61" s="168"/>
      <c r="Z61" s="137"/>
      <c r="AA61" s="166"/>
      <c r="AB61" s="137"/>
      <c r="AC61" s="137"/>
      <c r="AD61" s="137"/>
      <c r="AE61" s="137"/>
      <c r="AF61" s="137"/>
      <c r="AG61" s="137"/>
      <c r="AH61" s="137"/>
      <c r="AI61" s="137"/>
      <c r="AJ61" s="169"/>
      <c r="AK61" s="137"/>
      <c r="AL61" s="137"/>
      <c r="AM61" s="137"/>
      <c r="AN61" s="137"/>
      <c r="AO61" s="137"/>
      <c r="AP61" s="137"/>
      <c r="AQ61" s="137"/>
      <c r="AR61" s="137"/>
      <c r="AS61" s="138"/>
      <c r="AT61" s="499"/>
      <c r="AU61" s="139"/>
      <c r="AV61" s="138"/>
      <c r="AW61" s="139"/>
      <c r="AX61" s="139"/>
      <c r="AY61" s="139"/>
      <c r="AZ61" s="139"/>
      <c r="BA61" s="139"/>
      <c r="BB61" s="139"/>
    </row>
    <row r="62" spans="1:54" ht="12.75" customHeight="1" x14ac:dyDescent="0.25">
      <c r="A62" s="200"/>
      <c r="B62" s="204" t="s">
        <v>129</v>
      </c>
      <c r="C62" s="202"/>
      <c r="D62" s="203">
        <v>1</v>
      </c>
      <c r="E62" s="203" t="s">
        <v>94</v>
      </c>
      <c r="F62" s="203"/>
      <c r="G62" s="203"/>
      <c r="H62" s="203"/>
      <c r="I62" s="203">
        <f>SUM(I35:I60)*$K$44</f>
        <v>15993.77231404582</v>
      </c>
      <c r="J62" s="137"/>
      <c r="K62" s="146"/>
      <c r="L62" s="137"/>
      <c r="M62" s="137"/>
      <c r="N62" s="137"/>
      <c r="O62" s="137"/>
      <c r="P62" s="137"/>
      <c r="Q62" s="165">
        <f>SUM(AA62:AH62)</f>
        <v>0.5</v>
      </c>
      <c r="R62" s="166">
        <f>Y62*D62</f>
        <v>0.1</v>
      </c>
      <c r="S62" s="166">
        <f>SUM(Q62:R62)</f>
        <v>0.6</v>
      </c>
      <c r="T62" s="166">
        <f>D62-S62</f>
        <v>0.4</v>
      </c>
      <c r="U62" s="167">
        <f>SUM(AJ61:AQ61)</f>
        <v>0</v>
      </c>
      <c r="V62" s="167">
        <f>Y62*I62</f>
        <v>1599.3772314045821</v>
      </c>
      <c r="W62" s="167">
        <f>SUM(U62:V62)</f>
        <v>1599.3772314045821</v>
      </c>
      <c r="X62" s="167">
        <f>I62-W62</f>
        <v>14394.395082641238</v>
      </c>
      <c r="Y62" s="168">
        <f>SUM(AS62)</f>
        <v>0.1</v>
      </c>
      <c r="Z62" s="137"/>
      <c r="AA62" s="166">
        <v>0.5</v>
      </c>
      <c r="AB62" s="137"/>
      <c r="AC62" s="137"/>
      <c r="AD62" s="137"/>
      <c r="AE62" s="137"/>
      <c r="AF62" s="137"/>
      <c r="AG62" s="137"/>
      <c r="AH62" s="137"/>
      <c r="AI62" s="137"/>
      <c r="AJ62" s="169">
        <v>7996.8861570229101</v>
      </c>
      <c r="AK62" s="137"/>
      <c r="AL62" s="137"/>
      <c r="AM62" s="137"/>
      <c r="AN62" s="137"/>
      <c r="AO62" s="137"/>
      <c r="AP62" s="137"/>
      <c r="AQ62" s="137"/>
      <c r="AR62" s="137"/>
      <c r="AS62" s="138">
        <v>0.1</v>
      </c>
      <c r="AT62" s="499"/>
      <c r="AU62" s="139">
        <v>0.5</v>
      </c>
      <c r="AV62" s="138">
        <v>0.4</v>
      </c>
      <c r="AW62" s="139"/>
      <c r="AX62" s="139"/>
      <c r="AY62" s="139"/>
      <c r="AZ62" s="139"/>
      <c r="BA62" s="139"/>
      <c r="BB62" s="139"/>
    </row>
    <row r="63" spans="1:54" ht="12.75" customHeight="1" x14ac:dyDescent="0.25">
      <c r="A63" s="207"/>
      <c r="B63" s="500" t="s">
        <v>130</v>
      </c>
      <c r="C63" s="501"/>
      <c r="D63" s="501"/>
      <c r="E63" s="501"/>
      <c r="F63" s="501"/>
      <c r="G63" s="501"/>
      <c r="H63" s="502"/>
      <c r="I63" s="172">
        <f>SUM(I36:I62)</f>
        <v>335869.21859496221</v>
      </c>
      <c r="J63" s="210"/>
      <c r="K63" s="212"/>
      <c r="L63" s="210"/>
      <c r="M63" s="210"/>
      <c r="N63" s="210"/>
      <c r="O63" s="210"/>
      <c r="P63" s="213"/>
      <c r="Q63" s="176">
        <f t="shared" ref="Q63:X63" si="54">SUM(Q36:Q62)</f>
        <v>635.96246861738075</v>
      </c>
      <c r="R63" s="177">
        <f t="shared" si="54"/>
        <v>178.72627841735368</v>
      </c>
      <c r="S63" s="177">
        <f t="shared" si="54"/>
        <v>814.68874703473443</v>
      </c>
      <c r="T63" s="177">
        <f t="shared" si="54"/>
        <v>555.78979020002703</v>
      </c>
      <c r="U63" s="178">
        <f t="shared" si="54"/>
        <v>85084.512936376545</v>
      </c>
      <c r="V63" s="178">
        <f t="shared" si="54"/>
        <v>57436.245694700301</v>
      </c>
      <c r="W63" s="178">
        <f t="shared" si="54"/>
        <v>142520.75863107687</v>
      </c>
      <c r="X63" s="178">
        <f t="shared" si="54"/>
        <v>193348.45996388531</v>
      </c>
      <c r="Y63" s="179">
        <f>SUM(Y36:Y62)/COUNT(Y36:Y62)</f>
        <v>0.15999999999999995</v>
      </c>
      <c r="Z63" s="218"/>
      <c r="AA63" s="177">
        <v>635.96246861738075</v>
      </c>
      <c r="AB63" s="210"/>
      <c r="AC63" s="210"/>
      <c r="AD63" s="211"/>
      <c r="AE63" s="211"/>
      <c r="AF63" s="211"/>
      <c r="AG63" s="211"/>
      <c r="AH63" s="211"/>
      <c r="AI63" s="211"/>
      <c r="AJ63" s="219">
        <v>142090.2292974811</v>
      </c>
      <c r="AK63" s="211"/>
      <c r="AL63" s="211"/>
      <c r="AM63" s="211"/>
      <c r="AN63" s="211"/>
      <c r="AO63" s="211"/>
      <c r="AP63" s="211"/>
      <c r="AQ63" s="211"/>
      <c r="AR63" s="211"/>
      <c r="AS63" s="138"/>
      <c r="AT63" s="499"/>
      <c r="AU63" s="179">
        <f>SUM(AU36:AU62)/COUNT(AU36:AU62)</f>
        <v>0.43333333333333324</v>
      </c>
      <c r="AV63" s="179">
        <f>SUM(AV36:AV62)/COUNT(AV36:AV62)</f>
        <v>0.40000000000000008</v>
      </c>
      <c r="AW63" s="220"/>
      <c r="AX63" s="220"/>
      <c r="AY63" s="220"/>
      <c r="AZ63" s="220"/>
      <c r="BA63" s="220"/>
      <c r="BB63" s="220"/>
    </row>
    <row r="64" spans="1:54" ht="12.75" customHeight="1" x14ac:dyDescent="0.25">
      <c r="A64" s="186"/>
      <c r="B64" s="187" t="s">
        <v>131</v>
      </c>
      <c r="C64" s="188"/>
      <c r="D64" s="188"/>
      <c r="E64" s="188"/>
      <c r="F64" s="188"/>
      <c r="G64" s="188"/>
      <c r="H64" s="188"/>
      <c r="I64" s="188"/>
      <c r="J64" s="189"/>
      <c r="K64" s="190"/>
      <c r="L64" s="189"/>
      <c r="M64" s="189"/>
      <c r="N64" s="189"/>
      <c r="O64" s="189"/>
      <c r="P64" s="191"/>
      <c r="Q64" s="192"/>
      <c r="R64" s="193"/>
      <c r="S64" s="193"/>
      <c r="T64" s="193"/>
      <c r="U64" s="194"/>
      <c r="V64" s="194"/>
      <c r="W64" s="194"/>
      <c r="X64" s="194"/>
      <c r="Y64" s="195"/>
      <c r="Z64" s="196"/>
      <c r="AA64" s="193"/>
      <c r="AB64" s="189"/>
      <c r="AC64" s="189"/>
      <c r="AD64" s="197"/>
      <c r="AE64" s="197"/>
      <c r="AF64" s="197"/>
      <c r="AG64" s="197"/>
      <c r="AH64" s="197"/>
      <c r="AI64" s="197"/>
      <c r="AJ64" s="198"/>
      <c r="AK64" s="197"/>
      <c r="AL64" s="197"/>
      <c r="AM64" s="197"/>
      <c r="AN64" s="197"/>
      <c r="AO64" s="197"/>
      <c r="AP64" s="197"/>
      <c r="AQ64" s="197"/>
      <c r="AR64" s="137"/>
      <c r="AS64" s="138"/>
      <c r="AT64" s="499"/>
      <c r="AU64" s="139"/>
      <c r="AV64" s="138"/>
      <c r="AW64" s="139"/>
      <c r="AX64" s="139"/>
      <c r="AY64" s="139"/>
      <c r="AZ64" s="139"/>
      <c r="BA64" s="139"/>
      <c r="BB64" s="139"/>
    </row>
    <row r="65" spans="1:54" ht="12.75" customHeight="1" x14ac:dyDescent="0.25">
      <c r="A65" s="200"/>
      <c r="B65" s="201" t="s">
        <v>132</v>
      </c>
      <c r="C65" s="202"/>
      <c r="D65" s="203"/>
      <c r="E65" s="203"/>
      <c r="F65" s="203"/>
      <c r="G65" s="203"/>
      <c r="H65" s="203"/>
      <c r="I65" s="203"/>
      <c r="J65" s="137"/>
      <c r="K65" s="146"/>
      <c r="L65" s="137"/>
      <c r="M65" s="137"/>
      <c r="N65" s="137"/>
      <c r="O65" s="137"/>
      <c r="P65" s="137"/>
      <c r="Q65" s="165"/>
      <c r="R65" s="166"/>
      <c r="S65" s="166"/>
      <c r="T65" s="166"/>
      <c r="U65" s="167"/>
      <c r="V65" s="167"/>
      <c r="W65" s="167"/>
      <c r="X65" s="167"/>
      <c r="Y65" s="168"/>
      <c r="Z65" s="137"/>
      <c r="AA65" s="166"/>
      <c r="AB65" s="137"/>
      <c r="AC65" s="137"/>
      <c r="AD65" s="137"/>
      <c r="AE65" s="137"/>
      <c r="AF65" s="137"/>
      <c r="AG65" s="137"/>
      <c r="AH65" s="137"/>
      <c r="AI65" s="137"/>
      <c r="AJ65" s="169"/>
      <c r="AK65" s="137"/>
      <c r="AL65" s="137"/>
      <c r="AM65" s="137"/>
      <c r="AN65" s="137"/>
      <c r="AO65" s="137"/>
      <c r="AP65" s="137"/>
      <c r="AQ65" s="137"/>
      <c r="AR65" s="137"/>
      <c r="AS65" s="138"/>
      <c r="AT65" s="499"/>
      <c r="AU65" s="139"/>
      <c r="AV65" s="138"/>
      <c r="AW65" s="139"/>
      <c r="AX65" s="139"/>
      <c r="AY65" s="139"/>
      <c r="AZ65" s="139"/>
      <c r="BA65" s="139"/>
      <c r="BB65" s="139"/>
    </row>
    <row r="66" spans="1:54" ht="12.75" customHeight="1" x14ac:dyDescent="0.25">
      <c r="A66" s="200"/>
      <c r="B66" s="204" t="s">
        <v>112</v>
      </c>
      <c r="C66" s="202">
        <v>12.7</v>
      </c>
      <c r="D66" s="203">
        <f t="shared" ref="D66:D68" si="55">C66*$K$39</f>
        <v>13.97</v>
      </c>
      <c r="E66" s="203" t="s">
        <v>6</v>
      </c>
      <c r="F66" s="203">
        <f>'Material and Labor Cost'!$D$8</f>
        <v>250.00000000000003</v>
      </c>
      <c r="G66" s="203">
        <f>'Material and Labor Cost'!$F$8</f>
        <v>350</v>
      </c>
      <c r="H66" s="203">
        <f t="shared" ref="H66:H72" si="56">SUM(F66:G66)</f>
        <v>600</v>
      </c>
      <c r="I66" s="203">
        <f t="shared" ref="I66:I72" si="57">H66*D66</f>
        <v>8382</v>
      </c>
      <c r="J66" s="137"/>
      <c r="K66" s="146"/>
      <c r="L66" s="137"/>
      <c r="M66" s="137"/>
      <c r="N66" s="137"/>
      <c r="O66" s="137"/>
      <c r="P66" s="137"/>
      <c r="Q66" s="165">
        <f t="shared" ref="Q66:Q72" si="58">SUM(AA66:AH66)</f>
        <v>9.2202000000000002</v>
      </c>
      <c r="R66" s="166">
        <f t="shared" ref="R66:R72" si="59">Y66*D66</f>
        <v>0</v>
      </c>
      <c r="S66" s="166">
        <f t="shared" ref="S66:S72" si="60">SUM(Q66:R66)</f>
        <v>9.2202000000000002</v>
      </c>
      <c r="T66" s="166">
        <f t="shared" ref="T66:T72" si="61">D66-S66</f>
        <v>4.7498000000000005</v>
      </c>
      <c r="U66" s="167">
        <f t="shared" ref="U66:U72" si="62">SUM(AJ65:AQ65)</f>
        <v>0</v>
      </c>
      <c r="V66" s="167">
        <f t="shared" ref="V66:V72" si="63">Y66*I66</f>
        <v>0</v>
      </c>
      <c r="W66" s="167">
        <f t="shared" ref="W66:W72" si="64">SUM(U66:V66)</f>
        <v>0</v>
      </c>
      <c r="X66" s="167">
        <f t="shared" ref="X66:X72" si="65">I66-W66</f>
        <v>8382</v>
      </c>
      <c r="Y66" s="168">
        <f t="shared" ref="Y66:Y72" si="66">SUM(AS66)</f>
        <v>0</v>
      </c>
      <c r="Z66" s="137"/>
      <c r="AA66" s="166">
        <v>9.2202000000000002</v>
      </c>
      <c r="AB66" s="137"/>
      <c r="AC66" s="137"/>
      <c r="AD66" s="137"/>
      <c r="AE66" s="137"/>
      <c r="AF66" s="137"/>
      <c r="AG66" s="137"/>
      <c r="AH66" s="137"/>
      <c r="AI66" s="137"/>
      <c r="AJ66" s="169">
        <v>5532.12</v>
      </c>
      <c r="AK66" s="137"/>
      <c r="AL66" s="137"/>
      <c r="AM66" s="137"/>
      <c r="AN66" s="137"/>
      <c r="AO66" s="137"/>
      <c r="AP66" s="137"/>
      <c r="AQ66" s="137"/>
      <c r="AR66" s="137"/>
      <c r="AS66" s="138">
        <v>0</v>
      </c>
      <c r="AT66" s="499"/>
      <c r="AU66" s="139">
        <v>0.66</v>
      </c>
      <c r="AV66" s="138">
        <v>0.4</v>
      </c>
      <c r="AW66" s="139"/>
      <c r="AX66" s="139"/>
      <c r="AY66" s="139"/>
      <c r="AZ66" s="139"/>
      <c r="BA66" s="139"/>
      <c r="BB66" s="139"/>
    </row>
    <row r="67" spans="1:54" ht="12.75" customHeight="1" x14ac:dyDescent="0.25">
      <c r="A67" s="200"/>
      <c r="B67" s="204" t="s">
        <v>113</v>
      </c>
      <c r="C67" s="202">
        <v>10.53</v>
      </c>
      <c r="D67" s="203">
        <f t="shared" si="55"/>
        <v>11.583</v>
      </c>
      <c r="E67" s="203" t="s">
        <v>114</v>
      </c>
      <c r="F67" s="203">
        <f>'Material and Labor Cost'!$D$9</f>
        <v>126.50000000000001</v>
      </c>
      <c r="G67" s="203">
        <f>'Material and Labor Cost'!$F$9</f>
        <v>70</v>
      </c>
      <c r="H67" s="203">
        <f t="shared" si="56"/>
        <v>196.5</v>
      </c>
      <c r="I67" s="203">
        <f t="shared" si="57"/>
        <v>2276.0594999999998</v>
      </c>
      <c r="J67" s="137"/>
      <c r="K67" s="146"/>
      <c r="L67" s="137"/>
      <c r="M67" s="137"/>
      <c r="N67" s="137"/>
      <c r="O67" s="137"/>
      <c r="P67" s="137"/>
      <c r="Q67" s="165">
        <f t="shared" si="58"/>
        <v>7.6447800000000008</v>
      </c>
      <c r="R67" s="166">
        <f t="shared" si="59"/>
        <v>0</v>
      </c>
      <c r="S67" s="166">
        <f t="shared" si="60"/>
        <v>7.6447800000000008</v>
      </c>
      <c r="T67" s="166">
        <f t="shared" si="61"/>
        <v>3.9382199999999994</v>
      </c>
      <c r="U67" s="167">
        <f t="shared" si="62"/>
        <v>5532.12</v>
      </c>
      <c r="V67" s="167">
        <f t="shared" si="63"/>
        <v>0</v>
      </c>
      <c r="W67" s="167">
        <f t="shared" si="64"/>
        <v>5532.12</v>
      </c>
      <c r="X67" s="167">
        <f t="shared" si="65"/>
        <v>-3256.0605</v>
      </c>
      <c r="Y67" s="168">
        <f t="shared" si="66"/>
        <v>0</v>
      </c>
      <c r="Z67" s="137"/>
      <c r="AA67" s="166">
        <v>7.6447800000000008</v>
      </c>
      <c r="AB67" s="137"/>
      <c r="AC67" s="137"/>
      <c r="AD67" s="137"/>
      <c r="AE67" s="137"/>
      <c r="AF67" s="137"/>
      <c r="AG67" s="137"/>
      <c r="AH67" s="137"/>
      <c r="AI67" s="137"/>
      <c r="AJ67" s="169">
        <v>1502.1992700000001</v>
      </c>
      <c r="AK67" s="137"/>
      <c r="AL67" s="137"/>
      <c r="AM67" s="137"/>
      <c r="AN67" s="137"/>
      <c r="AO67" s="137"/>
      <c r="AP67" s="137"/>
      <c r="AQ67" s="137"/>
      <c r="AR67" s="137"/>
      <c r="AS67" s="138">
        <v>0</v>
      </c>
      <c r="AT67" s="499"/>
      <c r="AU67" s="139">
        <v>0.66</v>
      </c>
      <c r="AV67" s="138">
        <v>0.4</v>
      </c>
      <c r="AW67" s="139"/>
      <c r="AX67" s="139"/>
      <c r="AY67" s="139"/>
      <c r="AZ67" s="139"/>
      <c r="BA67" s="139"/>
      <c r="BB67" s="139"/>
    </row>
    <row r="68" spans="1:54" ht="12.75" customHeight="1" x14ac:dyDescent="0.25">
      <c r="A68" s="200"/>
      <c r="B68" s="204" t="s">
        <v>115</v>
      </c>
      <c r="C68" s="202">
        <v>21.06</v>
      </c>
      <c r="D68" s="203">
        <f t="shared" si="55"/>
        <v>23.166</v>
      </c>
      <c r="E68" s="203" t="s">
        <v>114</v>
      </c>
      <c r="F68" s="203">
        <f>'Material and Labor Cost'!$D$10</f>
        <v>126.50000000000001</v>
      </c>
      <c r="G68" s="203">
        <f>'Material and Labor Cost'!$F$10</f>
        <v>70</v>
      </c>
      <c r="H68" s="203">
        <f t="shared" si="56"/>
        <v>196.5</v>
      </c>
      <c r="I68" s="203">
        <f t="shared" si="57"/>
        <v>4552.1189999999997</v>
      </c>
      <c r="J68" s="137"/>
      <c r="K68" s="146"/>
      <c r="L68" s="137"/>
      <c r="M68" s="137"/>
      <c r="N68" s="137"/>
      <c r="O68" s="137"/>
      <c r="P68" s="137"/>
      <c r="Q68" s="165">
        <f t="shared" si="58"/>
        <v>15.289560000000002</v>
      </c>
      <c r="R68" s="166">
        <f t="shared" si="59"/>
        <v>0</v>
      </c>
      <c r="S68" s="166">
        <f t="shared" si="60"/>
        <v>15.289560000000002</v>
      </c>
      <c r="T68" s="166">
        <f t="shared" si="61"/>
        <v>7.8764399999999988</v>
      </c>
      <c r="U68" s="167">
        <f t="shared" si="62"/>
        <v>1502.1992700000001</v>
      </c>
      <c r="V68" s="167">
        <f t="shared" si="63"/>
        <v>0</v>
      </c>
      <c r="W68" s="167">
        <f t="shared" si="64"/>
        <v>1502.1992700000001</v>
      </c>
      <c r="X68" s="167">
        <f t="shared" si="65"/>
        <v>3049.9197299999996</v>
      </c>
      <c r="Y68" s="168">
        <f t="shared" si="66"/>
        <v>0</v>
      </c>
      <c r="Z68" s="137"/>
      <c r="AA68" s="166">
        <v>15.289560000000002</v>
      </c>
      <c r="AB68" s="137"/>
      <c r="AC68" s="137"/>
      <c r="AD68" s="137"/>
      <c r="AE68" s="137"/>
      <c r="AF68" s="137"/>
      <c r="AG68" s="137"/>
      <c r="AH68" s="137"/>
      <c r="AI68" s="137"/>
      <c r="AJ68" s="169">
        <v>3004.3985400000001</v>
      </c>
      <c r="AK68" s="137"/>
      <c r="AL68" s="137"/>
      <c r="AM68" s="137"/>
      <c r="AN68" s="137"/>
      <c r="AO68" s="137"/>
      <c r="AP68" s="137"/>
      <c r="AQ68" s="137"/>
      <c r="AR68" s="137"/>
      <c r="AS68" s="138">
        <v>0</v>
      </c>
      <c r="AT68" s="499"/>
      <c r="AU68" s="139">
        <v>0.66</v>
      </c>
      <c r="AV68" s="138">
        <v>0.4</v>
      </c>
      <c r="AW68" s="139"/>
      <c r="AX68" s="139"/>
      <c r="AY68" s="139"/>
      <c r="AZ68" s="139"/>
      <c r="BA68" s="139"/>
      <c r="BB68" s="139"/>
    </row>
    <row r="69" spans="1:54" ht="12.75" customHeight="1" x14ac:dyDescent="0.25">
      <c r="A69" s="200"/>
      <c r="B69" s="204" t="s">
        <v>117</v>
      </c>
      <c r="C69" s="202">
        <v>6</v>
      </c>
      <c r="D69" s="203">
        <f t="shared" ref="D69:D71" si="67">ROUNDUP(C69*$K$39,0)</f>
        <v>7</v>
      </c>
      <c r="E69" s="203" t="s">
        <v>118</v>
      </c>
      <c r="F69" s="203">
        <f>'Material and Labor Cost'!$D$11</f>
        <v>30.000000000000004</v>
      </c>
      <c r="G69" s="203">
        <f>'Material and Labor Cost'!$F$11</f>
        <v>20</v>
      </c>
      <c r="H69" s="203">
        <f t="shared" si="56"/>
        <v>50</v>
      </c>
      <c r="I69" s="203">
        <f t="shared" si="57"/>
        <v>350</v>
      </c>
      <c r="J69" s="137"/>
      <c r="K69" s="146"/>
      <c r="L69" s="137"/>
      <c r="M69" s="137"/>
      <c r="N69" s="137"/>
      <c r="O69" s="137"/>
      <c r="P69" s="137"/>
      <c r="Q69" s="165">
        <f t="shared" si="58"/>
        <v>4.62</v>
      </c>
      <c r="R69" s="166">
        <f t="shared" si="59"/>
        <v>0</v>
      </c>
      <c r="S69" s="166">
        <f t="shared" si="60"/>
        <v>4.62</v>
      </c>
      <c r="T69" s="166">
        <f t="shared" si="61"/>
        <v>2.38</v>
      </c>
      <c r="U69" s="167">
        <f t="shared" si="62"/>
        <v>3004.3985400000001</v>
      </c>
      <c r="V69" s="167">
        <f t="shared" si="63"/>
        <v>0</v>
      </c>
      <c r="W69" s="167">
        <f t="shared" si="64"/>
        <v>3004.3985400000001</v>
      </c>
      <c r="X69" s="167">
        <f t="shared" si="65"/>
        <v>-2654.3985400000001</v>
      </c>
      <c r="Y69" s="168">
        <f t="shared" si="66"/>
        <v>0</v>
      </c>
      <c r="Z69" s="137"/>
      <c r="AA69" s="166">
        <v>4.62</v>
      </c>
      <c r="AB69" s="137"/>
      <c r="AC69" s="137"/>
      <c r="AD69" s="137"/>
      <c r="AE69" s="137"/>
      <c r="AF69" s="137"/>
      <c r="AG69" s="137"/>
      <c r="AH69" s="137"/>
      <c r="AI69" s="137"/>
      <c r="AJ69" s="169">
        <v>231</v>
      </c>
      <c r="AK69" s="137"/>
      <c r="AL69" s="137"/>
      <c r="AM69" s="137"/>
      <c r="AN69" s="137"/>
      <c r="AO69" s="137"/>
      <c r="AP69" s="137"/>
      <c r="AQ69" s="137"/>
      <c r="AR69" s="137"/>
      <c r="AS69" s="138">
        <v>0</v>
      </c>
      <c r="AT69" s="499"/>
      <c r="AU69" s="139">
        <v>0.66</v>
      </c>
      <c r="AV69" s="138">
        <v>0.4</v>
      </c>
      <c r="AW69" s="139"/>
      <c r="AX69" s="139"/>
      <c r="AY69" s="139"/>
      <c r="AZ69" s="139"/>
      <c r="BA69" s="139"/>
      <c r="BB69" s="139"/>
    </row>
    <row r="70" spans="1:54" ht="12.75" customHeight="1" x14ac:dyDescent="0.25">
      <c r="A70" s="200"/>
      <c r="B70" s="204" t="s">
        <v>119</v>
      </c>
      <c r="C70" s="202">
        <v>28</v>
      </c>
      <c r="D70" s="203">
        <f t="shared" si="67"/>
        <v>31</v>
      </c>
      <c r="E70" s="203" t="s">
        <v>118</v>
      </c>
      <c r="F70" s="203">
        <f>'Material and Labor Cost'!$D$12</f>
        <v>10</v>
      </c>
      <c r="G70" s="203">
        <f>'Material and Labor Cost'!$F$12</f>
        <v>20</v>
      </c>
      <c r="H70" s="203">
        <f t="shared" si="56"/>
        <v>30</v>
      </c>
      <c r="I70" s="203">
        <f t="shared" si="57"/>
        <v>930</v>
      </c>
      <c r="J70" s="137"/>
      <c r="K70" s="146"/>
      <c r="L70" s="137"/>
      <c r="M70" s="137"/>
      <c r="N70" s="137"/>
      <c r="O70" s="137"/>
      <c r="P70" s="137"/>
      <c r="Q70" s="165">
        <f t="shared" si="58"/>
        <v>20.46</v>
      </c>
      <c r="R70" s="166">
        <f t="shared" si="59"/>
        <v>0</v>
      </c>
      <c r="S70" s="166">
        <f t="shared" si="60"/>
        <v>20.46</v>
      </c>
      <c r="T70" s="166">
        <f t="shared" si="61"/>
        <v>10.54</v>
      </c>
      <c r="U70" s="167">
        <f t="shared" si="62"/>
        <v>231</v>
      </c>
      <c r="V70" s="167">
        <f t="shared" si="63"/>
        <v>0</v>
      </c>
      <c r="W70" s="167">
        <f t="shared" si="64"/>
        <v>231</v>
      </c>
      <c r="X70" s="167">
        <f t="shared" si="65"/>
        <v>699</v>
      </c>
      <c r="Y70" s="168">
        <f t="shared" si="66"/>
        <v>0</v>
      </c>
      <c r="Z70" s="137"/>
      <c r="AA70" s="166">
        <v>20.46</v>
      </c>
      <c r="AB70" s="137"/>
      <c r="AC70" s="137"/>
      <c r="AD70" s="137"/>
      <c r="AE70" s="137"/>
      <c r="AF70" s="137"/>
      <c r="AG70" s="137"/>
      <c r="AH70" s="137"/>
      <c r="AI70" s="137"/>
      <c r="AJ70" s="169">
        <v>613.80000000000007</v>
      </c>
      <c r="AK70" s="137"/>
      <c r="AL70" s="137"/>
      <c r="AM70" s="137"/>
      <c r="AN70" s="137"/>
      <c r="AO70" s="137"/>
      <c r="AP70" s="137"/>
      <c r="AQ70" s="137"/>
      <c r="AR70" s="137"/>
      <c r="AS70" s="138">
        <v>0</v>
      </c>
      <c r="AT70" s="499"/>
      <c r="AU70" s="139">
        <v>0.66</v>
      </c>
      <c r="AV70" s="138">
        <v>0.4</v>
      </c>
      <c r="AW70" s="139"/>
      <c r="AX70" s="139"/>
      <c r="AY70" s="139"/>
      <c r="AZ70" s="139"/>
      <c r="BA70" s="139"/>
      <c r="BB70" s="139"/>
    </row>
    <row r="71" spans="1:54" ht="12.75" customHeight="1" x14ac:dyDescent="0.25">
      <c r="A71" s="200"/>
      <c r="B71" s="204" t="s">
        <v>120</v>
      </c>
      <c r="C71" s="202">
        <v>14.2</v>
      </c>
      <c r="D71" s="203">
        <f t="shared" si="67"/>
        <v>16</v>
      </c>
      <c r="E71" s="203" t="s">
        <v>114</v>
      </c>
      <c r="F71" s="203">
        <f>'Material and Labor Cost'!$D$13</f>
        <v>110.00000000000001</v>
      </c>
      <c r="G71" s="203">
        <f>'Material and Labor Cost'!$F$13</f>
        <v>60.000000000000007</v>
      </c>
      <c r="H71" s="203">
        <f t="shared" si="56"/>
        <v>170.00000000000003</v>
      </c>
      <c r="I71" s="203">
        <f t="shared" si="57"/>
        <v>2720.0000000000005</v>
      </c>
      <c r="J71" s="137"/>
      <c r="K71" s="146"/>
      <c r="L71" s="137"/>
      <c r="M71" s="137"/>
      <c r="N71" s="137"/>
      <c r="O71" s="137"/>
      <c r="P71" s="137"/>
      <c r="Q71" s="165">
        <f t="shared" si="58"/>
        <v>10.56</v>
      </c>
      <c r="R71" s="166">
        <f t="shared" si="59"/>
        <v>0</v>
      </c>
      <c r="S71" s="166">
        <f t="shared" si="60"/>
        <v>10.56</v>
      </c>
      <c r="T71" s="166">
        <f t="shared" si="61"/>
        <v>5.4399999999999995</v>
      </c>
      <c r="U71" s="167">
        <f t="shared" si="62"/>
        <v>613.80000000000007</v>
      </c>
      <c r="V71" s="167">
        <f t="shared" si="63"/>
        <v>0</v>
      </c>
      <c r="W71" s="167">
        <f t="shared" si="64"/>
        <v>613.80000000000007</v>
      </c>
      <c r="X71" s="167">
        <f t="shared" si="65"/>
        <v>2106.2000000000003</v>
      </c>
      <c r="Y71" s="168">
        <f t="shared" si="66"/>
        <v>0</v>
      </c>
      <c r="Z71" s="137"/>
      <c r="AA71" s="166">
        <v>10.56</v>
      </c>
      <c r="AB71" s="137"/>
      <c r="AC71" s="137"/>
      <c r="AD71" s="137"/>
      <c r="AE71" s="137"/>
      <c r="AF71" s="137"/>
      <c r="AG71" s="137"/>
      <c r="AH71" s="137"/>
      <c r="AI71" s="137"/>
      <c r="AJ71" s="169">
        <v>1795.2000000000003</v>
      </c>
      <c r="AK71" s="137"/>
      <c r="AL71" s="137"/>
      <c r="AM71" s="137"/>
      <c r="AN71" s="137"/>
      <c r="AO71" s="137"/>
      <c r="AP71" s="137"/>
      <c r="AQ71" s="137"/>
      <c r="AR71" s="137"/>
      <c r="AS71" s="138">
        <v>0</v>
      </c>
      <c r="AT71" s="499"/>
      <c r="AU71" s="139">
        <v>0.66</v>
      </c>
      <c r="AV71" s="138">
        <v>0.4</v>
      </c>
      <c r="AW71" s="139"/>
      <c r="AX71" s="139"/>
      <c r="AY71" s="139"/>
      <c r="AZ71" s="139"/>
      <c r="BA71" s="139"/>
      <c r="BB71" s="139"/>
    </row>
    <row r="72" spans="1:54" ht="12.75" customHeight="1" x14ac:dyDescent="0.25">
      <c r="A72" s="200"/>
      <c r="B72" s="204" t="s">
        <v>124</v>
      </c>
      <c r="C72" s="202">
        <f>C66*2</f>
        <v>25.4</v>
      </c>
      <c r="D72" s="203">
        <f>C72*$K$39</f>
        <v>27.94</v>
      </c>
      <c r="E72" s="203" t="s">
        <v>6</v>
      </c>
      <c r="F72" s="203">
        <f>'Material and Labor Cost'!$D$14</f>
        <v>250.00000000000003</v>
      </c>
      <c r="G72" s="203">
        <f>'Material and Labor Cost'!$F$14</f>
        <v>350</v>
      </c>
      <c r="H72" s="203">
        <f t="shared" si="56"/>
        <v>600</v>
      </c>
      <c r="I72" s="203">
        <f t="shared" si="57"/>
        <v>16764</v>
      </c>
      <c r="J72" s="137"/>
      <c r="K72" s="146"/>
      <c r="L72" s="137"/>
      <c r="M72" s="137"/>
      <c r="N72" s="137"/>
      <c r="O72" s="137"/>
      <c r="P72" s="137"/>
      <c r="Q72" s="165">
        <f t="shared" si="58"/>
        <v>18.4404</v>
      </c>
      <c r="R72" s="166">
        <f t="shared" si="59"/>
        <v>0</v>
      </c>
      <c r="S72" s="166">
        <f t="shared" si="60"/>
        <v>18.4404</v>
      </c>
      <c r="T72" s="166">
        <f t="shared" si="61"/>
        <v>9.4996000000000009</v>
      </c>
      <c r="U72" s="167">
        <f t="shared" si="62"/>
        <v>1795.2000000000003</v>
      </c>
      <c r="V72" s="167">
        <f t="shared" si="63"/>
        <v>0</v>
      </c>
      <c r="W72" s="167">
        <f t="shared" si="64"/>
        <v>1795.2000000000003</v>
      </c>
      <c r="X72" s="167">
        <f t="shared" si="65"/>
        <v>14968.8</v>
      </c>
      <c r="Y72" s="168">
        <f t="shared" si="66"/>
        <v>0</v>
      </c>
      <c r="Z72" s="137"/>
      <c r="AA72" s="166">
        <v>18.4404</v>
      </c>
      <c r="AB72" s="137"/>
      <c r="AC72" s="137"/>
      <c r="AD72" s="137"/>
      <c r="AE72" s="137"/>
      <c r="AF72" s="137"/>
      <c r="AG72" s="137"/>
      <c r="AH72" s="137"/>
      <c r="AI72" s="137"/>
      <c r="AJ72" s="169">
        <v>11064.24</v>
      </c>
      <c r="AK72" s="137"/>
      <c r="AL72" s="137"/>
      <c r="AM72" s="137"/>
      <c r="AN72" s="137"/>
      <c r="AO72" s="137"/>
      <c r="AP72" s="137"/>
      <c r="AQ72" s="137"/>
      <c r="AR72" s="137"/>
      <c r="AS72" s="138">
        <v>0</v>
      </c>
      <c r="AT72" s="499"/>
      <c r="AU72" s="139">
        <v>0.66</v>
      </c>
      <c r="AV72" s="138">
        <v>0.4</v>
      </c>
      <c r="AW72" s="139"/>
      <c r="AX72" s="139"/>
      <c r="AY72" s="139"/>
      <c r="AZ72" s="139"/>
      <c r="BA72" s="139"/>
      <c r="BB72" s="139"/>
    </row>
    <row r="73" spans="1:54" ht="12.75" customHeight="1" x14ac:dyDescent="0.25">
      <c r="A73" s="200"/>
      <c r="B73" s="204"/>
      <c r="C73" s="202"/>
      <c r="D73" s="203"/>
      <c r="E73" s="203"/>
      <c r="F73" s="203"/>
      <c r="G73" s="203"/>
      <c r="H73" s="203"/>
      <c r="I73" s="203"/>
      <c r="J73" s="137"/>
      <c r="K73" s="146"/>
      <c r="L73" s="137"/>
      <c r="M73" s="137"/>
      <c r="N73" s="137"/>
      <c r="O73" s="137"/>
      <c r="P73" s="137"/>
      <c r="Q73" s="165"/>
      <c r="R73" s="166"/>
      <c r="S73" s="166"/>
      <c r="T73" s="166"/>
      <c r="U73" s="167"/>
      <c r="V73" s="167"/>
      <c r="W73" s="167"/>
      <c r="X73" s="167"/>
      <c r="Y73" s="168"/>
      <c r="Z73" s="137"/>
      <c r="AA73" s="166"/>
      <c r="AB73" s="137"/>
      <c r="AC73" s="137"/>
      <c r="AD73" s="137"/>
      <c r="AE73" s="137"/>
      <c r="AF73" s="137"/>
      <c r="AG73" s="137"/>
      <c r="AH73" s="137"/>
      <c r="AI73" s="137"/>
      <c r="AJ73" s="169"/>
      <c r="AK73" s="137"/>
      <c r="AL73" s="137"/>
      <c r="AM73" s="137"/>
      <c r="AN73" s="137"/>
      <c r="AO73" s="137"/>
      <c r="AP73" s="137"/>
      <c r="AQ73" s="137"/>
      <c r="AR73" s="137"/>
      <c r="AS73" s="138"/>
      <c r="AT73" s="499"/>
      <c r="AU73" s="139"/>
      <c r="AV73" s="138"/>
      <c r="AW73" s="139"/>
      <c r="AX73" s="139"/>
      <c r="AY73" s="139"/>
      <c r="AZ73" s="139"/>
      <c r="BA73" s="139"/>
      <c r="BB73" s="139"/>
    </row>
    <row r="74" spans="1:54" ht="12.75" customHeight="1" x14ac:dyDescent="0.25">
      <c r="A74" s="200"/>
      <c r="B74" s="201" t="s">
        <v>133</v>
      </c>
      <c r="C74" s="202"/>
      <c r="D74" s="203"/>
      <c r="E74" s="203"/>
      <c r="F74" s="203"/>
      <c r="G74" s="203"/>
      <c r="H74" s="203"/>
      <c r="I74" s="203"/>
      <c r="J74" s="137"/>
      <c r="K74" s="146"/>
      <c r="L74" s="137"/>
      <c r="M74" s="137"/>
      <c r="N74" s="137"/>
      <c r="O74" s="137"/>
      <c r="P74" s="137"/>
      <c r="Q74" s="165"/>
      <c r="R74" s="166"/>
      <c r="S74" s="166"/>
      <c r="T74" s="166"/>
      <c r="U74" s="167"/>
      <c r="V74" s="167"/>
      <c r="W74" s="167"/>
      <c r="X74" s="167"/>
      <c r="Y74" s="168"/>
      <c r="Z74" s="137"/>
      <c r="AA74" s="166"/>
      <c r="AB74" s="137"/>
      <c r="AC74" s="137"/>
      <c r="AD74" s="137"/>
      <c r="AE74" s="137"/>
      <c r="AF74" s="137"/>
      <c r="AG74" s="137"/>
      <c r="AH74" s="137"/>
      <c r="AI74" s="137"/>
      <c r="AJ74" s="169"/>
      <c r="AK74" s="137"/>
      <c r="AL74" s="137"/>
      <c r="AM74" s="137"/>
      <c r="AN74" s="137"/>
      <c r="AO74" s="137"/>
      <c r="AP74" s="137"/>
      <c r="AQ74" s="137"/>
      <c r="AR74" s="137"/>
      <c r="AS74" s="138"/>
      <c r="AT74" s="499"/>
      <c r="AU74" s="139"/>
      <c r="AV74" s="138"/>
      <c r="AW74" s="139"/>
      <c r="AX74" s="139"/>
      <c r="AY74" s="139"/>
      <c r="AZ74" s="139"/>
      <c r="BA74" s="139"/>
      <c r="BB74" s="139"/>
    </row>
    <row r="75" spans="1:54" ht="12.75" customHeight="1" x14ac:dyDescent="0.25">
      <c r="A75" s="200"/>
      <c r="B75" s="204" t="s">
        <v>112</v>
      </c>
      <c r="C75" s="202">
        <v>14.8</v>
      </c>
      <c r="D75" s="203">
        <f t="shared" ref="D75:D77" si="68">C75*$K$39</f>
        <v>16.28</v>
      </c>
      <c r="E75" s="203" t="s">
        <v>6</v>
      </c>
      <c r="F75" s="203">
        <f>'Material and Labor Cost'!$D$8</f>
        <v>250.00000000000003</v>
      </c>
      <c r="G75" s="203">
        <f>'Material and Labor Cost'!$F$8</f>
        <v>350</v>
      </c>
      <c r="H75" s="203">
        <f t="shared" ref="H75:H80" si="69">SUM(F75:G75)</f>
        <v>600</v>
      </c>
      <c r="I75" s="203">
        <f t="shared" ref="I75:I80" si="70">H75*D75</f>
        <v>9768</v>
      </c>
      <c r="J75" s="137"/>
      <c r="K75" s="146"/>
      <c r="L75" s="137"/>
      <c r="M75" s="137"/>
      <c r="N75" s="137"/>
      <c r="O75" s="137"/>
      <c r="P75" s="137"/>
      <c r="Q75" s="165">
        <f t="shared" ref="Q75:Q80" si="71">SUM(AA75:AH75)</f>
        <v>8.14</v>
      </c>
      <c r="R75" s="166">
        <f t="shared" ref="R75:R80" si="72">Y75*D75</f>
        <v>1.6280000000000001</v>
      </c>
      <c r="S75" s="166">
        <f t="shared" ref="S75:S80" si="73">SUM(Q75:R75)</f>
        <v>9.7680000000000007</v>
      </c>
      <c r="T75" s="166">
        <f t="shared" ref="T75:T80" si="74">D75-S75</f>
        <v>6.5120000000000005</v>
      </c>
      <c r="U75" s="167">
        <f t="shared" ref="U75:U80" si="75">SUM(AJ74:AQ74)</f>
        <v>0</v>
      </c>
      <c r="V75" s="167">
        <f t="shared" ref="V75:V80" si="76">Y75*I75</f>
        <v>976.80000000000007</v>
      </c>
      <c r="W75" s="167">
        <f t="shared" ref="W75:W80" si="77">SUM(U75:V75)</f>
        <v>976.80000000000007</v>
      </c>
      <c r="X75" s="167">
        <f t="shared" ref="X75:X80" si="78">I75-W75</f>
        <v>8791.2000000000007</v>
      </c>
      <c r="Y75" s="168">
        <f t="shared" ref="Y75:Y80" si="79">SUM(AS75)</f>
        <v>0.1</v>
      </c>
      <c r="Z75" s="137"/>
      <c r="AA75" s="166">
        <v>8.14</v>
      </c>
      <c r="AB75" s="137"/>
      <c r="AC75" s="137"/>
      <c r="AD75" s="137"/>
      <c r="AE75" s="137"/>
      <c r="AF75" s="137"/>
      <c r="AG75" s="137"/>
      <c r="AH75" s="137"/>
      <c r="AI75" s="137"/>
      <c r="AJ75" s="169">
        <v>4884</v>
      </c>
      <c r="AK75" s="137"/>
      <c r="AL75" s="137"/>
      <c r="AM75" s="137"/>
      <c r="AN75" s="137"/>
      <c r="AO75" s="137"/>
      <c r="AP75" s="137"/>
      <c r="AQ75" s="137"/>
      <c r="AR75" s="137"/>
      <c r="AS75" s="138">
        <v>0.1</v>
      </c>
      <c r="AT75" s="499"/>
      <c r="AU75" s="139">
        <v>0.5</v>
      </c>
      <c r="AV75" s="138">
        <v>0.4</v>
      </c>
      <c r="AW75" s="139"/>
      <c r="AX75" s="139"/>
      <c r="AY75" s="139"/>
      <c r="AZ75" s="139"/>
      <c r="BA75" s="139"/>
      <c r="BB75" s="139"/>
    </row>
    <row r="76" spans="1:54" ht="12.75" customHeight="1" x14ac:dyDescent="0.25">
      <c r="A76" s="200"/>
      <c r="B76" s="204" t="s">
        <v>113</v>
      </c>
      <c r="C76" s="222">
        <v>12.36</v>
      </c>
      <c r="D76" s="203">
        <f t="shared" si="68"/>
        <v>13.596</v>
      </c>
      <c r="E76" s="203" t="s">
        <v>114</v>
      </c>
      <c r="F76" s="203">
        <f>'Material and Labor Cost'!$D$9</f>
        <v>126.50000000000001</v>
      </c>
      <c r="G76" s="203">
        <f>'Material and Labor Cost'!$F$9</f>
        <v>70</v>
      </c>
      <c r="H76" s="203">
        <f t="shared" si="69"/>
        <v>196.5</v>
      </c>
      <c r="I76" s="203">
        <f t="shared" si="70"/>
        <v>2671.614</v>
      </c>
      <c r="J76" s="137"/>
      <c r="K76" s="146"/>
      <c r="L76" s="137"/>
      <c r="M76" s="137"/>
      <c r="N76" s="137"/>
      <c r="O76" s="137"/>
      <c r="P76" s="137"/>
      <c r="Q76" s="165">
        <f t="shared" si="71"/>
        <v>6.798</v>
      </c>
      <c r="R76" s="166">
        <f t="shared" si="72"/>
        <v>1.3596000000000001</v>
      </c>
      <c r="S76" s="166">
        <f t="shared" si="73"/>
        <v>8.1576000000000004</v>
      </c>
      <c r="T76" s="166">
        <f t="shared" si="74"/>
        <v>5.4383999999999997</v>
      </c>
      <c r="U76" s="167">
        <f t="shared" si="75"/>
        <v>4884</v>
      </c>
      <c r="V76" s="167">
        <f t="shared" si="76"/>
        <v>267.16140000000001</v>
      </c>
      <c r="W76" s="167">
        <f t="shared" si="77"/>
        <v>5151.1614</v>
      </c>
      <c r="X76" s="167">
        <f t="shared" si="78"/>
        <v>-2479.5473999999999</v>
      </c>
      <c r="Y76" s="168">
        <f t="shared" si="79"/>
        <v>0.1</v>
      </c>
      <c r="Z76" s="137"/>
      <c r="AA76" s="166">
        <v>6.798</v>
      </c>
      <c r="AB76" s="137"/>
      <c r="AC76" s="137"/>
      <c r="AD76" s="137"/>
      <c r="AE76" s="137"/>
      <c r="AF76" s="137"/>
      <c r="AG76" s="137"/>
      <c r="AH76" s="137"/>
      <c r="AI76" s="137"/>
      <c r="AJ76" s="169">
        <v>1335.807</v>
      </c>
      <c r="AK76" s="137"/>
      <c r="AL76" s="137"/>
      <c r="AM76" s="137"/>
      <c r="AN76" s="137"/>
      <c r="AO76" s="137"/>
      <c r="AP76" s="137"/>
      <c r="AQ76" s="137"/>
      <c r="AR76" s="137"/>
      <c r="AS76" s="138">
        <v>0.1</v>
      </c>
      <c r="AT76" s="499"/>
      <c r="AU76" s="139">
        <v>0.5</v>
      </c>
      <c r="AV76" s="138">
        <v>0.4</v>
      </c>
      <c r="AW76" s="139"/>
      <c r="AX76" s="139"/>
      <c r="AY76" s="139"/>
      <c r="AZ76" s="139"/>
      <c r="BA76" s="139"/>
      <c r="BB76" s="139"/>
    </row>
    <row r="77" spans="1:54" ht="12.75" customHeight="1" x14ac:dyDescent="0.25">
      <c r="A77" s="200"/>
      <c r="B77" s="204" t="s">
        <v>115</v>
      </c>
      <c r="C77" s="222">
        <v>24.72</v>
      </c>
      <c r="D77" s="203">
        <f t="shared" si="68"/>
        <v>27.192</v>
      </c>
      <c r="E77" s="203" t="s">
        <v>114</v>
      </c>
      <c r="F77" s="203">
        <f>'Material and Labor Cost'!$D$10</f>
        <v>126.50000000000001</v>
      </c>
      <c r="G77" s="203">
        <f>'Material and Labor Cost'!$F$10</f>
        <v>70</v>
      </c>
      <c r="H77" s="203">
        <f t="shared" si="69"/>
        <v>196.5</v>
      </c>
      <c r="I77" s="203">
        <f t="shared" si="70"/>
        <v>5343.2280000000001</v>
      </c>
      <c r="J77" s="137"/>
      <c r="K77" s="146"/>
      <c r="L77" s="137"/>
      <c r="M77" s="137"/>
      <c r="N77" s="137"/>
      <c r="O77" s="137"/>
      <c r="P77" s="137"/>
      <c r="Q77" s="165">
        <f t="shared" si="71"/>
        <v>13.596</v>
      </c>
      <c r="R77" s="166">
        <f t="shared" si="72"/>
        <v>2.7192000000000003</v>
      </c>
      <c r="S77" s="166">
        <f t="shared" si="73"/>
        <v>16.315200000000001</v>
      </c>
      <c r="T77" s="166">
        <f t="shared" si="74"/>
        <v>10.876799999999999</v>
      </c>
      <c r="U77" s="167">
        <f t="shared" si="75"/>
        <v>1335.807</v>
      </c>
      <c r="V77" s="167">
        <f t="shared" si="76"/>
        <v>534.32280000000003</v>
      </c>
      <c r="W77" s="167">
        <f t="shared" si="77"/>
        <v>1870.1298000000002</v>
      </c>
      <c r="X77" s="167">
        <f t="shared" si="78"/>
        <v>3473.0981999999999</v>
      </c>
      <c r="Y77" s="168">
        <f t="shared" si="79"/>
        <v>0.1</v>
      </c>
      <c r="Z77" s="137"/>
      <c r="AA77" s="166">
        <v>13.596</v>
      </c>
      <c r="AB77" s="137"/>
      <c r="AC77" s="137"/>
      <c r="AD77" s="137"/>
      <c r="AE77" s="137"/>
      <c r="AF77" s="137"/>
      <c r="AG77" s="137"/>
      <c r="AH77" s="137"/>
      <c r="AI77" s="137"/>
      <c r="AJ77" s="169">
        <v>2671.614</v>
      </c>
      <c r="AK77" s="137"/>
      <c r="AL77" s="137"/>
      <c r="AM77" s="137"/>
      <c r="AN77" s="137"/>
      <c r="AO77" s="137"/>
      <c r="AP77" s="137"/>
      <c r="AQ77" s="137"/>
      <c r="AR77" s="137"/>
      <c r="AS77" s="138">
        <v>0.1</v>
      </c>
      <c r="AT77" s="499"/>
      <c r="AU77" s="139">
        <v>0.5</v>
      </c>
      <c r="AV77" s="138">
        <v>0.4</v>
      </c>
      <c r="AW77" s="139"/>
      <c r="AX77" s="139"/>
      <c r="AY77" s="139"/>
      <c r="AZ77" s="139"/>
      <c r="BA77" s="139"/>
      <c r="BB77" s="139"/>
    </row>
    <row r="78" spans="1:54" ht="12.75" customHeight="1" x14ac:dyDescent="0.25">
      <c r="A78" s="200"/>
      <c r="B78" s="204" t="s">
        <v>117</v>
      </c>
      <c r="C78" s="202">
        <v>7</v>
      </c>
      <c r="D78" s="203">
        <f t="shared" ref="D78:D80" si="80">ROUNDUP(C78*$K$39,0)</f>
        <v>8</v>
      </c>
      <c r="E78" s="203" t="s">
        <v>118</v>
      </c>
      <c r="F78" s="203">
        <f>'Material and Labor Cost'!$D$11</f>
        <v>30.000000000000004</v>
      </c>
      <c r="G78" s="203">
        <f>'Material and Labor Cost'!$F$11</f>
        <v>20</v>
      </c>
      <c r="H78" s="203">
        <f t="shared" si="69"/>
        <v>50</v>
      </c>
      <c r="I78" s="203">
        <f t="shared" si="70"/>
        <v>400</v>
      </c>
      <c r="J78" s="137"/>
      <c r="K78" s="146"/>
      <c r="L78" s="137"/>
      <c r="M78" s="137"/>
      <c r="N78" s="137"/>
      <c r="O78" s="137"/>
      <c r="P78" s="137"/>
      <c r="Q78" s="165">
        <f t="shared" si="71"/>
        <v>4</v>
      </c>
      <c r="R78" s="166">
        <f t="shared" si="72"/>
        <v>0.8</v>
      </c>
      <c r="S78" s="166">
        <f t="shared" si="73"/>
        <v>4.8</v>
      </c>
      <c r="T78" s="166">
        <f t="shared" si="74"/>
        <v>3.2</v>
      </c>
      <c r="U78" s="167">
        <f t="shared" si="75"/>
        <v>2671.614</v>
      </c>
      <c r="V78" s="167">
        <f t="shared" si="76"/>
        <v>40</v>
      </c>
      <c r="W78" s="167">
        <f t="shared" si="77"/>
        <v>2711.614</v>
      </c>
      <c r="X78" s="167">
        <f t="shared" si="78"/>
        <v>-2311.614</v>
      </c>
      <c r="Y78" s="168">
        <f t="shared" si="79"/>
        <v>0.1</v>
      </c>
      <c r="Z78" s="137"/>
      <c r="AA78" s="166">
        <v>4</v>
      </c>
      <c r="AB78" s="137"/>
      <c r="AC78" s="137"/>
      <c r="AD78" s="137"/>
      <c r="AE78" s="137"/>
      <c r="AF78" s="137"/>
      <c r="AG78" s="137"/>
      <c r="AH78" s="137"/>
      <c r="AI78" s="137"/>
      <c r="AJ78" s="169">
        <v>200</v>
      </c>
      <c r="AK78" s="137"/>
      <c r="AL78" s="137"/>
      <c r="AM78" s="137"/>
      <c r="AN78" s="137"/>
      <c r="AO78" s="137"/>
      <c r="AP78" s="137"/>
      <c r="AQ78" s="137"/>
      <c r="AR78" s="137"/>
      <c r="AS78" s="138">
        <v>0.1</v>
      </c>
      <c r="AT78" s="499"/>
      <c r="AU78" s="139">
        <v>0.5</v>
      </c>
      <c r="AV78" s="138">
        <v>0.4</v>
      </c>
      <c r="AW78" s="139"/>
      <c r="AX78" s="139"/>
      <c r="AY78" s="139"/>
      <c r="AZ78" s="139"/>
      <c r="BA78" s="139"/>
      <c r="BB78" s="139"/>
    </row>
    <row r="79" spans="1:54" ht="12.75" customHeight="1" x14ac:dyDescent="0.25">
      <c r="A79" s="200"/>
      <c r="B79" s="204" t="s">
        <v>119</v>
      </c>
      <c r="C79" s="202">
        <v>32</v>
      </c>
      <c r="D79" s="203">
        <f t="shared" si="80"/>
        <v>36</v>
      </c>
      <c r="E79" s="203" t="s">
        <v>118</v>
      </c>
      <c r="F79" s="203">
        <f>'Material and Labor Cost'!$D$12</f>
        <v>10</v>
      </c>
      <c r="G79" s="203">
        <f>'Material and Labor Cost'!$F$12</f>
        <v>20</v>
      </c>
      <c r="H79" s="203">
        <f t="shared" si="69"/>
        <v>30</v>
      </c>
      <c r="I79" s="203">
        <f t="shared" si="70"/>
        <v>1080</v>
      </c>
      <c r="J79" s="137"/>
      <c r="K79" s="146"/>
      <c r="L79" s="137"/>
      <c r="M79" s="137"/>
      <c r="N79" s="137"/>
      <c r="O79" s="137"/>
      <c r="P79" s="137"/>
      <c r="Q79" s="165">
        <f t="shared" si="71"/>
        <v>18</v>
      </c>
      <c r="R79" s="166">
        <f t="shared" si="72"/>
        <v>3.6</v>
      </c>
      <c r="S79" s="166">
        <f t="shared" si="73"/>
        <v>21.6</v>
      </c>
      <c r="T79" s="166">
        <f t="shared" si="74"/>
        <v>14.399999999999999</v>
      </c>
      <c r="U79" s="167">
        <f t="shared" si="75"/>
        <v>200</v>
      </c>
      <c r="V79" s="167">
        <f t="shared" si="76"/>
        <v>108</v>
      </c>
      <c r="W79" s="167">
        <f t="shared" si="77"/>
        <v>308</v>
      </c>
      <c r="X79" s="167">
        <f t="shared" si="78"/>
        <v>772</v>
      </c>
      <c r="Y79" s="168">
        <f t="shared" si="79"/>
        <v>0.1</v>
      </c>
      <c r="Z79" s="137"/>
      <c r="AA79" s="166">
        <v>18</v>
      </c>
      <c r="AB79" s="137"/>
      <c r="AC79" s="137"/>
      <c r="AD79" s="137"/>
      <c r="AE79" s="137"/>
      <c r="AF79" s="137"/>
      <c r="AG79" s="137"/>
      <c r="AH79" s="137"/>
      <c r="AI79" s="137"/>
      <c r="AJ79" s="169">
        <v>540</v>
      </c>
      <c r="AK79" s="137"/>
      <c r="AL79" s="137"/>
      <c r="AM79" s="137"/>
      <c r="AN79" s="137"/>
      <c r="AO79" s="137"/>
      <c r="AP79" s="137"/>
      <c r="AQ79" s="137"/>
      <c r="AR79" s="137"/>
      <c r="AS79" s="138">
        <v>0.1</v>
      </c>
      <c r="AT79" s="499"/>
      <c r="AU79" s="139">
        <v>0.5</v>
      </c>
      <c r="AV79" s="138">
        <v>0.4</v>
      </c>
      <c r="AW79" s="139"/>
      <c r="AX79" s="139"/>
      <c r="AY79" s="139"/>
      <c r="AZ79" s="139"/>
      <c r="BA79" s="139"/>
      <c r="BB79" s="139"/>
    </row>
    <row r="80" spans="1:54" ht="12.75" customHeight="1" x14ac:dyDescent="0.25">
      <c r="A80" s="200"/>
      <c r="B80" s="204" t="s">
        <v>120</v>
      </c>
      <c r="C80" s="202">
        <v>15.2</v>
      </c>
      <c r="D80" s="203">
        <f t="shared" si="80"/>
        <v>17</v>
      </c>
      <c r="E80" s="203" t="s">
        <v>114</v>
      </c>
      <c r="F80" s="203">
        <f>'Material and Labor Cost'!$D$13</f>
        <v>110.00000000000001</v>
      </c>
      <c r="G80" s="203">
        <f>'Material and Labor Cost'!$F$13</f>
        <v>60.000000000000007</v>
      </c>
      <c r="H80" s="203">
        <f t="shared" si="69"/>
        <v>170.00000000000003</v>
      </c>
      <c r="I80" s="203">
        <f t="shared" si="70"/>
        <v>2890.0000000000005</v>
      </c>
      <c r="J80" s="137"/>
      <c r="K80" s="146"/>
      <c r="L80" s="137"/>
      <c r="M80" s="137"/>
      <c r="N80" s="137"/>
      <c r="O80" s="137"/>
      <c r="P80" s="137"/>
      <c r="Q80" s="165">
        <f t="shared" si="71"/>
        <v>8.5</v>
      </c>
      <c r="R80" s="166">
        <f t="shared" si="72"/>
        <v>1.7000000000000002</v>
      </c>
      <c r="S80" s="166">
        <f t="shared" si="73"/>
        <v>10.199999999999999</v>
      </c>
      <c r="T80" s="166">
        <f t="shared" si="74"/>
        <v>6.8000000000000007</v>
      </c>
      <c r="U80" s="167">
        <f t="shared" si="75"/>
        <v>540</v>
      </c>
      <c r="V80" s="167">
        <f t="shared" si="76"/>
        <v>289.00000000000006</v>
      </c>
      <c r="W80" s="167">
        <f t="shared" si="77"/>
        <v>829</v>
      </c>
      <c r="X80" s="167">
        <f t="shared" si="78"/>
        <v>2061.0000000000005</v>
      </c>
      <c r="Y80" s="168">
        <f t="shared" si="79"/>
        <v>0.1</v>
      </c>
      <c r="Z80" s="137"/>
      <c r="AA80" s="166">
        <v>8.5</v>
      </c>
      <c r="AB80" s="137"/>
      <c r="AC80" s="137"/>
      <c r="AD80" s="137"/>
      <c r="AE80" s="137"/>
      <c r="AF80" s="137"/>
      <c r="AG80" s="137"/>
      <c r="AH80" s="137"/>
      <c r="AI80" s="137"/>
      <c r="AJ80" s="169">
        <v>1445.0000000000002</v>
      </c>
      <c r="AK80" s="137"/>
      <c r="AL80" s="137"/>
      <c r="AM80" s="137"/>
      <c r="AN80" s="137"/>
      <c r="AO80" s="137"/>
      <c r="AP80" s="137"/>
      <c r="AQ80" s="137"/>
      <c r="AR80" s="137"/>
      <c r="AS80" s="138">
        <v>0.1</v>
      </c>
      <c r="AT80" s="499"/>
      <c r="AU80" s="139">
        <v>0.5</v>
      </c>
      <c r="AV80" s="138">
        <v>0.4</v>
      </c>
      <c r="AW80" s="139"/>
      <c r="AX80" s="139"/>
      <c r="AY80" s="139"/>
      <c r="AZ80" s="139"/>
      <c r="BA80" s="139"/>
      <c r="BB80" s="139"/>
    </row>
    <row r="81" spans="1:54" ht="12.75" customHeight="1" x14ac:dyDescent="0.25">
      <c r="A81" s="200"/>
      <c r="B81" s="204"/>
      <c r="C81" s="202"/>
      <c r="D81" s="203"/>
      <c r="E81" s="203"/>
      <c r="F81" s="203"/>
      <c r="G81" s="203"/>
      <c r="H81" s="203"/>
      <c r="I81" s="203"/>
      <c r="J81" s="137"/>
      <c r="K81" s="146"/>
      <c r="L81" s="137"/>
      <c r="M81" s="137"/>
      <c r="N81" s="137"/>
      <c r="O81" s="137"/>
      <c r="P81" s="137"/>
      <c r="Q81" s="165"/>
      <c r="R81" s="166"/>
      <c r="S81" s="166"/>
      <c r="T81" s="166"/>
      <c r="U81" s="167"/>
      <c r="V81" s="167"/>
      <c r="W81" s="167"/>
      <c r="X81" s="167"/>
      <c r="Y81" s="168"/>
      <c r="Z81" s="137"/>
      <c r="AA81" s="166"/>
      <c r="AB81" s="137"/>
      <c r="AC81" s="137"/>
      <c r="AD81" s="137"/>
      <c r="AE81" s="137"/>
      <c r="AF81" s="137"/>
      <c r="AG81" s="137"/>
      <c r="AH81" s="137"/>
      <c r="AI81" s="137"/>
      <c r="AJ81" s="169"/>
      <c r="AK81" s="137"/>
      <c r="AL81" s="137"/>
      <c r="AM81" s="137"/>
      <c r="AN81" s="137"/>
      <c r="AO81" s="137"/>
      <c r="AP81" s="137"/>
      <c r="AQ81" s="137"/>
      <c r="AR81" s="137"/>
      <c r="AS81" s="138"/>
      <c r="AT81" s="499"/>
      <c r="AU81" s="139"/>
      <c r="AV81" s="138"/>
      <c r="AW81" s="139"/>
      <c r="AX81" s="139"/>
      <c r="AY81" s="139"/>
      <c r="AZ81" s="139"/>
      <c r="BA81" s="139"/>
      <c r="BB81" s="139"/>
    </row>
    <row r="82" spans="1:54" ht="12.75" customHeight="1" x14ac:dyDescent="0.25">
      <c r="A82" s="200"/>
      <c r="B82" s="204" t="s">
        <v>134</v>
      </c>
      <c r="C82" s="202">
        <v>3.8</v>
      </c>
      <c r="D82" s="203">
        <f t="shared" ref="D82:D84" si="81">C82*$K$39</f>
        <v>4.18</v>
      </c>
      <c r="E82" s="203" t="s">
        <v>6</v>
      </c>
      <c r="F82" s="203">
        <f>'Material and Labor Cost'!$D$18</f>
        <v>250.00000000000003</v>
      </c>
      <c r="G82" s="203">
        <f>'Material and Labor Cost'!$F$18</f>
        <v>350</v>
      </c>
      <c r="H82" s="203">
        <f t="shared" ref="H82:H88" si="82">SUM(F82:G82)</f>
        <v>600</v>
      </c>
      <c r="I82" s="203">
        <f t="shared" ref="I82:I88" si="83">H82*D82</f>
        <v>2508</v>
      </c>
      <c r="J82" s="137"/>
      <c r="K82" s="146"/>
      <c r="L82" s="137"/>
      <c r="M82" s="137"/>
      <c r="N82" s="137"/>
      <c r="O82" s="137"/>
      <c r="P82" s="137"/>
      <c r="Q82" s="165">
        <f t="shared" ref="Q82:Q88" si="84">SUM(AA82:AH82)</f>
        <v>2.09</v>
      </c>
      <c r="R82" s="166">
        <f t="shared" ref="R82:R88" si="85">Y82*D82</f>
        <v>0.83599999999999997</v>
      </c>
      <c r="S82" s="166">
        <f t="shared" ref="S82:S88" si="86">SUM(Q82:R82)</f>
        <v>2.9259999999999997</v>
      </c>
      <c r="T82" s="166">
        <f t="shared" ref="T82:T88" si="87">D82-S82</f>
        <v>1.254</v>
      </c>
      <c r="U82" s="167">
        <f t="shared" ref="U82:U88" si="88">SUM(AJ81:AQ81)</f>
        <v>0</v>
      </c>
      <c r="V82" s="167">
        <f t="shared" ref="V82:V88" si="89">Y82*I82</f>
        <v>501.6</v>
      </c>
      <c r="W82" s="167">
        <f t="shared" ref="W82:W88" si="90">SUM(U82:V82)</f>
        <v>501.6</v>
      </c>
      <c r="X82" s="167">
        <f t="shared" ref="X82:X88" si="91">I82-W82</f>
        <v>2006.4</v>
      </c>
      <c r="Y82" s="168">
        <f t="shared" ref="Y82:Y88" si="92">SUM(AS82)</f>
        <v>0.2</v>
      </c>
      <c r="Z82" s="137"/>
      <c r="AA82" s="166">
        <v>2.09</v>
      </c>
      <c r="AB82" s="137"/>
      <c r="AC82" s="137"/>
      <c r="AD82" s="137"/>
      <c r="AE82" s="137"/>
      <c r="AF82" s="137"/>
      <c r="AG82" s="137"/>
      <c r="AH82" s="137"/>
      <c r="AI82" s="137"/>
      <c r="AJ82" s="169">
        <v>1254</v>
      </c>
      <c r="AK82" s="137"/>
      <c r="AL82" s="137"/>
      <c r="AM82" s="137"/>
      <c r="AN82" s="137"/>
      <c r="AO82" s="137"/>
      <c r="AP82" s="137"/>
      <c r="AQ82" s="137"/>
      <c r="AR82" s="137"/>
      <c r="AS82" s="138">
        <v>0.2</v>
      </c>
      <c r="AT82" s="499"/>
      <c r="AU82" s="139">
        <v>0.5</v>
      </c>
      <c r="AV82" s="138">
        <v>0.3</v>
      </c>
      <c r="AW82" s="139"/>
      <c r="AX82" s="139"/>
      <c r="AY82" s="139"/>
      <c r="AZ82" s="139"/>
      <c r="BA82" s="139"/>
      <c r="BB82" s="139"/>
    </row>
    <row r="83" spans="1:54" ht="12.75" customHeight="1" x14ac:dyDescent="0.25">
      <c r="A83" s="200"/>
      <c r="B83" s="204" t="s">
        <v>113</v>
      </c>
      <c r="C83" s="202">
        <v>3.1995000000000009</v>
      </c>
      <c r="D83" s="203">
        <f t="shared" si="81"/>
        <v>3.5194500000000013</v>
      </c>
      <c r="E83" s="203" t="s">
        <v>114</v>
      </c>
      <c r="F83" s="203">
        <f>'Material and Labor Cost'!$D$9</f>
        <v>126.50000000000001</v>
      </c>
      <c r="G83" s="203">
        <f>'Material and Labor Cost'!$F$9</f>
        <v>70</v>
      </c>
      <c r="H83" s="203">
        <f t="shared" si="82"/>
        <v>196.5</v>
      </c>
      <c r="I83" s="203">
        <f t="shared" si="83"/>
        <v>691.57192500000031</v>
      </c>
      <c r="J83" s="137"/>
      <c r="K83" s="146"/>
      <c r="L83" s="137"/>
      <c r="M83" s="137"/>
      <c r="N83" s="137"/>
      <c r="O83" s="137"/>
      <c r="P83" s="137"/>
      <c r="Q83" s="165">
        <f t="shared" si="84"/>
        <v>1.7597250000000006</v>
      </c>
      <c r="R83" s="166">
        <f t="shared" si="85"/>
        <v>0.70389000000000035</v>
      </c>
      <c r="S83" s="166">
        <f t="shared" si="86"/>
        <v>2.4636150000000008</v>
      </c>
      <c r="T83" s="166">
        <f t="shared" si="87"/>
        <v>1.0558350000000005</v>
      </c>
      <c r="U83" s="167">
        <f t="shared" si="88"/>
        <v>1254</v>
      </c>
      <c r="V83" s="167">
        <f t="shared" si="89"/>
        <v>138.31438500000007</v>
      </c>
      <c r="W83" s="167">
        <f t="shared" si="90"/>
        <v>1392.3143850000001</v>
      </c>
      <c r="X83" s="167">
        <f t="shared" si="91"/>
        <v>-700.74245999999982</v>
      </c>
      <c r="Y83" s="168">
        <f t="shared" si="92"/>
        <v>0.2</v>
      </c>
      <c r="Z83" s="137"/>
      <c r="AA83" s="166">
        <v>1.7597250000000006</v>
      </c>
      <c r="AB83" s="137"/>
      <c r="AC83" s="137"/>
      <c r="AD83" s="137"/>
      <c r="AE83" s="137"/>
      <c r="AF83" s="137"/>
      <c r="AG83" s="137"/>
      <c r="AH83" s="137"/>
      <c r="AI83" s="137"/>
      <c r="AJ83" s="169">
        <v>345.78596250000015</v>
      </c>
      <c r="AK83" s="137"/>
      <c r="AL83" s="137"/>
      <c r="AM83" s="137"/>
      <c r="AN83" s="137"/>
      <c r="AO83" s="137"/>
      <c r="AP83" s="137"/>
      <c r="AQ83" s="137"/>
      <c r="AR83" s="137"/>
      <c r="AS83" s="138">
        <v>0.2</v>
      </c>
      <c r="AT83" s="499"/>
      <c r="AU83" s="139">
        <v>0.5</v>
      </c>
      <c r="AV83" s="138">
        <v>0.3</v>
      </c>
      <c r="AW83" s="139"/>
      <c r="AX83" s="139"/>
      <c r="AY83" s="139"/>
      <c r="AZ83" s="139"/>
      <c r="BA83" s="139"/>
      <c r="BB83" s="139"/>
    </row>
    <row r="84" spans="1:54" ht="12.75" customHeight="1" x14ac:dyDescent="0.25">
      <c r="A84" s="200"/>
      <c r="B84" s="204" t="s">
        <v>115</v>
      </c>
      <c r="C84" s="202">
        <v>6.3990000000000018</v>
      </c>
      <c r="D84" s="203">
        <f t="shared" si="81"/>
        <v>7.0389000000000026</v>
      </c>
      <c r="E84" s="203" t="s">
        <v>114</v>
      </c>
      <c r="F84" s="203">
        <f>'Material and Labor Cost'!$D$10</f>
        <v>126.50000000000001</v>
      </c>
      <c r="G84" s="203">
        <f>'Material and Labor Cost'!$F$10</f>
        <v>70</v>
      </c>
      <c r="H84" s="203">
        <f t="shared" si="82"/>
        <v>196.5</v>
      </c>
      <c r="I84" s="203">
        <f t="shared" si="83"/>
        <v>1383.1438500000006</v>
      </c>
      <c r="J84" s="137"/>
      <c r="K84" s="146"/>
      <c r="L84" s="137"/>
      <c r="M84" s="137"/>
      <c r="N84" s="137"/>
      <c r="O84" s="137"/>
      <c r="P84" s="137"/>
      <c r="Q84" s="165">
        <f t="shared" si="84"/>
        <v>3.5194500000000013</v>
      </c>
      <c r="R84" s="166">
        <f t="shared" si="85"/>
        <v>1.4077800000000007</v>
      </c>
      <c r="S84" s="166">
        <f t="shared" si="86"/>
        <v>4.9272300000000016</v>
      </c>
      <c r="T84" s="166">
        <f t="shared" si="87"/>
        <v>2.111670000000001</v>
      </c>
      <c r="U84" s="167">
        <f t="shared" si="88"/>
        <v>345.78596250000015</v>
      </c>
      <c r="V84" s="167">
        <f t="shared" si="89"/>
        <v>276.62877000000015</v>
      </c>
      <c r="W84" s="167">
        <f t="shared" si="90"/>
        <v>622.41473250000035</v>
      </c>
      <c r="X84" s="167">
        <f t="shared" si="91"/>
        <v>760.72911750000026</v>
      </c>
      <c r="Y84" s="168">
        <f t="shared" si="92"/>
        <v>0.2</v>
      </c>
      <c r="Z84" s="137"/>
      <c r="AA84" s="166">
        <v>3.5194500000000013</v>
      </c>
      <c r="AB84" s="137"/>
      <c r="AC84" s="137"/>
      <c r="AD84" s="137"/>
      <c r="AE84" s="137"/>
      <c r="AF84" s="137"/>
      <c r="AG84" s="137"/>
      <c r="AH84" s="137"/>
      <c r="AI84" s="137"/>
      <c r="AJ84" s="169">
        <v>691.57192500000031</v>
      </c>
      <c r="AK84" s="137"/>
      <c r="AL84" s="137"/>
      <c r="AM84" s="137"/>
      <c r="AN84" s="137"/>
      <c r="AO84" s="137"/>
      <c r="AP84" s="137"/>
      <c r="AQ84" s="137"/>
      <c r="AR84" s="137"/>
      <c r="AS84" s="138">
        <v>0.2</v>
      </c>
      <c r="AT84" s="499"/>
      <c r="AU84" s="139">
        <v>0.5</v>
      </c>
      <c r="AV84" s="138">
        <v>0.3</v>
      </c>
      <c r="AW84" s="139"/>
      <c r="AX84" s="139"/>
      <c r="AY84" s="139"/>
      <c r="AZ84" s="139"/>
      <c r="BA84" s="139"/>
      <c r="BB84" s="139"/>
    </row>
    <row r="85" spans="1:54" ht="12.75" customHeight="1" x14ac:dyDescent="0.25">
      <c r="A85" s="200"/>
      <c r="B85" s="204" t="s">
        <v>117</v>
      </c>
      <c r="C85" s="202">
        <v>5</v>
      </c>
      <c r="D85" s="203">
        <f t="shared" ref="D85:D87" si="93">ROUNDUP(C85*$K$39,0)</f>
        <v>6</v>
      </c>
      <c r="E85" s="203" t="s">
        <v>118</v>
      </c>
      <c r="F85" s="203">
        <f>'Material and Labor Cost'!$D$11</f>
        <v>30.000000000000004</v>
      </c>
      <c r="G85" s="203">
        <f>'Material and Labor Cost'!$F$11</f>
        <v>20</v>
      </c>
      <c r="H85" s="203">
        <f t="shared" si="82"/>
        <v>50</v>
      </c>
      <c r="I85" s="203">
        <f t="shared" si="83"/>
        <v>300</v>
      </c>
      <c r="J85" s="137"/>
      <c r="K85" s="146"/>
      <c r="L85" s="137"/>
      <c r="M85" s="137"/>
      <c r="N85" s="137"/>
      <c r="O85" s="137"/>
      <c r="P85" s="137"/>
      <c r="Q85" s="165">
        <f t="shared" si="84"/>
        <v>3</v>
      </c>
      <c r="R85" s="166">
        <f t="shared" si="85"/>
        <v>1.2000000000000002</v>
      </c>
      <c r="S85" s="166">
        <f t="shared" si="86"/>
        <v>4.2</v>
      </c>
      <c r="T85" s="166">
        <f t="shared" si="87"/>
        <v>1.7999999999999998</v>
      </c>
      <c r="U85" s="167">
        <f t="shared" si="88"/>
        <v>691.57192500000031</v>
      </c>
      <c r="V85" s="167">
        <f t="shared" si="89"/>
        <v>60</v>
      </c>
      <c r="W85" s="167">
        <f t="shared" si="90"/>
        <v>751.57192500000031</v>
      </c>
      <c r="X85" s="167">
        <f t="shared" si="91"/>
        <v>-451.57192500000031</v>
      </c>
      <c r="Y85" s="168">
        <f t="shared" si="92"/>
        <v>0.2</v>
      </c>
      <c r="Z85" s="137"/>
      <c r="AA85" s="166">
        <v>3</v>
      </c>
      <c r="AB85" s="137"/>
      <c r="AC85" s="137"/>
      <c r="AD85" s="137"/>
      <c r="AE85" s="137"/>
      <c r="AF85" s="137"/>
      <c r="AG85" s="137"/>
      <c r="AH85" s="137"/>
      <c r="AI85" s="137"/>
      <c r="AJ85" s="169">
        <v>150</v>
      </c>
      <c r="AK85" s="137"/>
      <c r="AL85" s="137"/>
      <c r="AM85" s="137"/>
      <c r="AN85" s="137"/>
      <c r="AO85" s="137"/>
      <c r="AP85" s="137"/>
      <c r="AQ85" s="137"/>
      <c r="AR85" s="137"/>
      <c r="AS85" s="138">
        <v>0.2</v>
      </c>
      <c r="AT85" s="499"/>
      <c r="AU85" s="139">
        <v>0.5</v>
      </c>
      <c r="AV85" s="138">
        <v>0.3</v>
      </c>
      <c r="AW85" s="139"/>
      <c r="AX85" s="139"/>
      <c r="AY85" s="139"/>
      <c r="AZ85" s="139"/>
      <c r="BA85" s="139"/>
      <c r="BB85" s="139"/>
    </row>
    <row r="86" spans="1:54" ht="12.75" customHeight="1" x14ac:dyDescent="0.25">
      <c r="A86" s="200"/>
      <c r="B86" s="204" t="s">
        <v>119</v>
      </c>
      <c r="C86" s="202">
        <v>12</v>
      </c>
      <c r="D86" s="203">
        <f t="shared" si="93"/>
        <v>14</v>
      </c>
      <c r="E86" s="203" t="s">
        <v>118</v>
      </c>
      <c r="F86" s="203">
        <f>'Material and Labor Cost'!$D$12</f>
        <v>10</v>
      </c>
      <c r="G86" s="203">
        <f>'Material and Labor Cost'!$F$12</f>
        <v>20</v>
      </c>
      <c r="H86" s="203">
        <f t="shared" si="82"/>
        <v>30</v>
      </c>
      <c r="I86" s="203">
        <f t="shared" si="83"/>
        <v>420</v>
      </c>
      <c r="J86" s="137"/>
      <c r="K86" s="146"/>
      <c r="L86" s="137"/>
      <c r="M86" s="137"/>
      <c r="N86" s="137"/>
      <c r="O86" s="137"/>
      <c r="P86" s="137"/>
      <c r="Q86" s="165">
        <f t="shared" si="84"/>
        <v>7</v>
      </c>
      <c r="R86" s="166">
        <f t="shared" si="85"/>
        <v>2.8000000000000003</v>
      </c>
      <c r="S86" s="166">
        <f t="shared" si="86"/>
        <v>9.8000000000000007</v>
      </c>
      <c r="T86" s="166">
        <f t="shared" si="87"/>
        <v>4.1999999999999993</v>
      </c>
      <c r="U86" s="167">
        <f t="shared" si="88"/>
        <v>150</v>
      </c>
      <c r="V86" s="167">
        <f t="shared" si="89"/>
        <v>84</v>
      </c>
      <c r="W86" s="167">
        <f t="shared" si="90"/>
        <v>234</v>
      </c>
      <c r="X86" s="167">
        <f t="shared" si="91"/>
        <v>186</v>
      </c>
      <c r="Y86" s="168">
        <f t="shared" si="92"/>
        <v>0.2</v>
      </c>
      <c r="Z86" s="137"/>
      <c r="AA86" s="166">
        <v>7</v>
      </c>
      <c r="AB86" s="137"/>
      <c r="AC86" s="137"/>
      <c r="AD86" s="137"/>
      <c r="AE86" s="137"/>
      <c r="AF86" s="137"/>
      <c r="AG86" s="137"/>
      <c r="AH86" s="137"/>
      <c r="AI86" s="137"/>
      <c r="AJ86" s="169">
        <v>210</v>
      </c>
      <c r="AK86" s="137"/>
      <c r="AL86" s="137"/>
      <c r="AM86" s="137"/>
      <c r="AN86" s="137"/>
      <c r="AO86" s="137"/>
      <c r="AP86" s="137"/>
      <c r="AQ86" s="137"/>
      <c r="AR86" s="137"/>
      <c r="AS86" s="138">
        <v>0.2</v>
      </c>
      <c r="AT86" s="499"/>
      <c r="AU86" s="139">
        <v>0.5</v>
      </c>
      <c r="AV86" s="138">
        <v>0.3</v>
      </c>
      <c r="AW86" s="139"/>
      <c r="AX86" s="139"/>
      <c r="AY86" s="139"/>
      <c r="AZ86" s="139"/>
      <c r="BA86" s="139"/>
      <c r="BB86" s="139"/>
    </row>
    <row r="87" spans="1:54" ht="12.75" customHeight="1" x14ac:dyDescent="0.25">
      <c r="A87" s="200"/>
      <c r="B87" s="204" t="s">
        <v>120</v>
      </c>
      <c r="C87" s="202">
        <v>8</v>
      </c>
      <c r="D87" s="203">
        <f t="shared" si="93"/>
        <v>9</v>
      </c>
      <c r="E87" s="203" t="s">
        <v>114</v>
      </c>
      <c r="F87" s="203">
        <f>'Material and Labor Cost'!$D$13</f>
        <v>110.00000000000001</v>
      </c>
      <c r="G87" s="203">
        <f>'Material and Labor Cost'!$F$13</f>
        <v>60.000000000000007</v>
      </c>
      <c r="H87" s="203">
        <f t="shared" si="82"/>
        <v>170.00000000000003</v>
      </c>
      <c r="I87" s="203">
        <f t="shared" si="83"/>
        <v>1530.0000000000002</v>
      </c>
      <c r="J87" s="137"/>
      <c r="K87" s="146"/>
      <c r="L87" s="137"/>
      <c r="M87" s="137"/>
      <c r="N87" s="137"/>
      <c r="O87" s="137"/>
      <c r="P87" s="137"/>
      <c r="Q87" s="165">
        <f t="shared" si="84"/>
        <v>4.5</v>
      </c>
      <c r="R87" s="166">
        <f t="shared" si="85"/>
        <v>1.8</v>
      </c>
      <c r="S87" s="166">
        <f t="shared" si="86"/>
        <v>6.3</v>
      </c>
      <c r="T87" s="166">
        <f t="shared" si="87"/>
        <v>2.7</v>
      </c>
      <c r="U87" s="167">
        <f t="shared" si="88"/>
        <v>210</v>
      </c>
      <c r="V87" s="167">
        <f t="shared" si="89"/>
        <v>306.00000000000006</v>
      </c>
      <c r="W87" s="167">
        <f t="shared" si="90"/>
        <v>516</v>
      </c>
      <c r="X87" s="167">
        <f t="shared" si="91"/>
        <v>1014.0000000000002</v>
      </c>
      <c r="Y87" s="168">
        <f t="shared" si="92"/>
        <v>0.2</v>
      </c>
      <c r="Z87" s="137"/>
      <c r="AA87" s="166">
        <v>4.5</v>
      </c>
      <c r="AB87" s="137"/>
      <c r="AC87" s="137"/>
      <c r="AD87" s="137"/>
      <c r="AE87" s="137"/>
      <c r="AF87" s="137"/>
      <c r="AG87" s="137"/>
      <c r="AH87" s="137"/>
      <c r="AI87" s="137"/>
      <c r="AJ87" s="169">
        <v>765.00000000000011</v>
      </c>
      <c r="AK87" s="137"/>
      <c r="AL87" s="137"/>
      <c r="AM87" s="137"/>
      <c r="AN87" s="137"/>
      <c r="AO87" s="137"/>
      <c r="AP87" s="137"/>
      <c r="AQ87" s="137"/>
      <c r="AR87" s="137"/>
      <c r="AS87" s="138">
        <v>0.2</v>
      </c>
      <c r="AT87" s="499"/>
      <c r="AU87" s="139">
        <v>0.5</v>
      </c>
      <c r="AV87" s="138">
        <v>0.3</v>
      </c>
      <c r="AW87" s="139"/>
      <c r="AX87" s="139"/>
      <c r="AY87" s="139"/>
      <c r="AZ87" s="139"/>
      <c r="BA87" s="139"/>
      <c r="BB87" s="139"/>
    </row>
    <row r="88" spans="1:54" ht="12.75" customHeight="1" x14ac:dyDescent="0.25">
      <c r="A88" s="200"/>
      <c r="B88" s="204" t="s">
        <v>124</v>
      </c>
      <c r="C88" s="202">
        <f>SUM(C75,C82)*2</f>
        <v>37.200000000000003</v>
      </c>
      <c r="D88" s="203">
        <f>C88*$K$39</f>
        <v>40.920000000000009</v>
      </c>
      <c r="E88" s="203" t="s">
        <v>6</v>
      </c>
      <c r="F88" s="203">
        <f>'Material and Labor Cost'!$D$14</f>
        <v>250.00000000000003</v>
      </c>
      <c r="G88" s="203">
        <f>'Material and Labor Cost'!$F$14</f>
        <v>350</v>
      </c>
      <c r="H88" s="203">
        <f t="shared" si="82"/>
        <v>600</v>
      </c>
      <c r="I88" s="203">
        <f t="shared" si="83"/>
        <v>24552.000000000004</v>
      </c>
      <c r="J88" s="137"/>
      <c r="K88" s="146"/>
      <c r="L88" s="137"/>
      <c r="M88" s="137"/>
      <c r="N88" s="137"/>
      <c r="O88" s="137"/>
      <c r="P88" s="137"/>
      <c r="Q88" s="165">
        <f t="shared" si="84"/>
        <v>20.460000000000004</v>
      </c>
      <c r="R88" s="166">
        <f t="shared" si="85"/>
        <v>8.1840000000000028</v>
      </c>
      <c r="S88" s="166">
        <f t="shared" si="86"/>
        <v>28.644000000000005</v>
      </c>
      <c r="T88" s="166">
        <f t="shared" si="87"/>
        <v>12.276000000000003</v>
      </c>
      <c r="U88" s="167">
        <f t="shared" si="88"/>
        <v>765.00000000000011</v>
      </c>
      <c r="V88" s="167">
        <f t="shared" si="89"/>
        <v>4910.4000000000005</v>
      </c>
      <c r="W88" s="167">
        <f t="shared" si="90"/>
        <v>5675.4000000000005</v>
      </c>
      <c r="X88" s="167">
        <f t="shared" si="91"/>
        <v>18876.600000000002</v>
      </c>
      <c r="Y88" s="168">
        <f t="shared" si="92"/>
        <v>0.2</v>
      </c>
      <c r="Z88" s="137"/>
      <c r="AA88" s="166">
        <v>20.460000000000004</v>
      </c>
      <c r="AB88" s="137"/>
      <c r="AC88" s="137"/>
      <c r="AD88" s="137"/>
      <c r="AE88" s="137"/>
      <c r="AF88" s="137"/>
      <c r="AG88" s="137"/>
      <c r="AH88" s="137"/>
      <c r="AI88" s="137"/>
      <c r="AJ88" s="169">
        <v>12276.000000000002</v>
      </c>
      <c r="AK88" s="137"/>
      <c r="AL88" s="137"/>
      <c r="AM88" s="137"/>
      <c r="AN88" s="137"/>
      <c r="AO88" s="137"/>
      <c r="AP88" s="137"/>
      <c r="AQ88" s="137"/>
      <c r="AR88" s="137"/>
      <c r="AS88" s="138">
        <v>0.2</v>
      </c>
      <c r="AT88" s="499"/>
      <c r="AU88" s="139">
        <v>0.5</v>
      </c>
      <c r="AV88" s="138">
        <v>0.3</v>
      </c>
      <c r="AW88" s="139"/>
      <c r="AX88" s="139"/>
      <c r="AY88" s="139"/>
      <c r="AZ88" s="139"/>
      <c r="BA88" s="139"/>
      <c r="BB88" s="139"/>
    </row>
    <row r="89" spans="1:54" ht="12.75" customHeight="1" x14ac:dyDescent="0.25">
      <c r="A89" s="200"/>
      <c r="B89" s="204"/>
      <c r="C89" s="202"/>
      <c r="D89" s="203"/>
      <c r="E89" s="203"/>
      <c r="F89" s="203"/>
      <c r="G89" s="203"/>
      <c r="H89" s="203"/>
      <c r="I89" s="203"/>
      <c r="J89" s="137"/>
      <c r="K89" s="146"/>
      <c r="L89" s="137"/>
      <c r="M89" s="137"/>
      <c r="N89" s="137"/>
      <c r="O89" s="137"/>
      <c r="P89" s="137"/>
      <c r="Q89" s="165"/>
      <c r="R89" s="166"/>
      <c r="S89" s="166"/>
      <c r="T89" s="166"/>
      <c r="U89" s="167"/>
      <c r="V89" s="167"/>
      <c r="W89" s="167"/>
      <c r="X89" s="167"/>
      <c r="Y89" s="168"/>
      <c r="Z89" s="137"/>
      <c r="AA89" s="166"/>
      <c r="AB89" s="137"/>
      <c r="AC89" s="137"/>
      <c r="AD89" s="137"/>
      <c r="AE89" s="137"/>
      <c r="AF89" s="137"/>
      <c r="AG89" s="137"/>
      <c r="AH89" s="137"/>
      <c r="AI89" s="137"/>
      <c r="AJ89" s="169"/>
      <c r="AK89" s="137"/>
      <c r="AL89" s="137"/>
      <c r="AM89" s="137"/>
      <c r="AN89" s="137"/>
      <c r="AO89" s="137"/>
      <c r="AP89" s="137"/>
      <c r="AQ89" s="137"/>
      <c r="AR89" s="137"/>
      <c r="AS89" s="138"/>
      <c r="AT89" s="499"/>
      <c r="AU89" s="139"/>
      <c r="AV89" s="138"/>
      <c r="AW89" s="139"/>
      <c r="AX89" s="139"/>
      <c r="AY89" s="139"/>
      <c r="AZ89" s="139"/>
      <c r="BA89" s="139"/>
      <c r="BB89" s="139"/>
    </row>
    <row r="90" spans="1:54" ht="12.75" customHeight="1" x14ac:dyDescent="0.25">
      <c r="A90" s="200"/>
      <c r="B90" s="201" t="s">
        <v>135</v>
      </c>
      <c r="C90" s="202"/>
      <c r="D90" s="203"/>
      <c r="E90" s="203"/>
      <c r="F90" s="203"/>
      <c r="G90" s="203"/>
      <c r="H90" s="203"/>
      <c r="I90" s="203"/>
      <c r="J90" s="137"/>
      <c r="K90" s="146"/>
      <c r="L90" s="137"/>
      <c r="M90" s="137"/>
      <c r="N90" s="137"/>
      <c r="O90" s="137"/>
      <c r="P90" s="137"/>
      <c r="Q90" s="165"/>
      <c r="R90" s="166"/>
      <c r="S90" s="166"/>
      <c r="T90" s="166"/>
      <c r="U90" s="167"/>
      <c r="V90" s="167"/>
      <c r="W90" s="167"/>
      <c r="X90" s="167"/>
      <c r="Y90" s="168"/>
      <c r="Z90" s="137"/>
      <c r="AA90" s="166"/>
      <c r="AB90" s="137"/>
      <c r="AC90" s="137"/>
      <c r="AD90" s="137"/>
      <c r="AE90" s="137"/>
      <c r="AF90" s="137"/>
      <c r="AG90" s="137"/>
      <c r="AH90" s="137"/>
      <c r="AI90" s="137"/>
      <c r="AJ90" s="169"/>
      <c r="AK90" s="137"/>
      <c r="AL90" s="137"/>
      <c r="AM90" s="137"/>
      <c r="AN90" s="137"/>
      <c r="AO90" s="137"/>
      <c r="AP90" s="137"/>
      <c r="AQ90" s="137"/>
      <c r="AR90" s="137"/>
      <c r="AS90" s="138"/>
      <c r="AT90" s="499"/>
      <c r="AU90" s="139"/>
      <c r="AV90" s="138"/>
      <c r="AW90" s="139"/>
      <c r="AX90" s="139"/>
      <c r="AY90" s="139"/>
      <c r="AZ90" s="139"/>
      <c r="BA90" s="139"/>
      <c r="BB90" s="139"/>
    </row>
    <row r="91" spans="1:54" ht="12.75" customHeight="1" x14ac:dyDescent="0.25">
      <c r="A91" s="200"/>
      <c r="B91" s="204" t="s">
        <v>136</v>
      </c>
      <c r="C91" s="202">
        <v>15.5</v>
      </c>
      <c r="D91" s="203">
        <f t="shared" ref="D91:D93" si="94">C91*$K$39</f>
        <v>17.05</v>
      </c>
      <c r="E91" s="203" t="s">
        <v>6</v>
      </c>
      <c r="F91" s="203">
        <f>'Material and Labor Cost'!$D$8</f>
        <v>250.00000000000003</v>
      </c>
      <c r="G91" s="203">
        <f>'Material and Labor Cost'!$F$8</f>
        <v>350</v>
      </c>
      <c r="H91" s="203">
        <f t="shared" ref="H91:H97" si="95">SUM(F91:G91)</f>
        <v>600</v>
      </c>
      <c r="I91" s="203">
        <f t="shared" ref="I91:I97" si="96">H91*D91</f>
        <v>10230</v>
      </c>
      <c r="J91" s="137"/>
      <c r="K91" s="146"/>
      <c r="L91" s="137"/>
      <c r="M91" s="137"/>
      <c r="N91" s="137"/>
      <c r="O91" s="137"/>
      <c r="P91" s="137"/>
      <c r="Q91" s="165">
        <f t="shared" ref="Q91:Q97" si="97">SUM(AA91:AH91)</f>
        <v>8.5250000000000004</v>
      </c>
      <c r="R91" s="166">
        <f t="shared" ref="R91:R97" si="98">Y91*D91</f>
        <v>2.5575000000000001</v>
      </c>
      <c r="S91" s="166">
        <f t="shared" ref="S91:S97" si="99">SUM(Q91:R91)</f>
        <v>11.0825</v>
      </c>
      <c r="T91" s="166">
        <f t="shared" ref="T91:T97" si="100">D91-S91</f>
        <v>5.9675000000000011</v>
      </c>
      <c r="U91" s="167">
        <f t="shared" ref="U91:U97" si="101">SUM(AJ90:AQ90)</f>
        <v>0</v>
      </c>
      <c r="V91" s="167">
        <f t="shared" ref="V91:V97" si="102">Y91*I91</f>
        <v>1534.5</v>
      </c>
      <c r="W91" s="167">
        <f t="shared" ref="W91:W97" si="103">SUM(U91:V91)</f>
        <v>1534.5</v>
      </c>
      <c r="X91" s="167">
        <f t="shared" ref="X91:X97" si="104">I91-W91</f>
        <v>8695.5</v>
      </c>
      <c r="Y91" s="168">
        <f t="shared" ref="Y91:Y97" si="105">SUM(AS91)</f>
        <v>0.15</v>
      </c>
      <c r="Z91" s="137"/>
      <c r="AA91" s="166">
        <v>8.5250000000000004</v>
      </c>
      <c r="AB91" s="137"/>
      <c r="AC91" s="137"/>
      <c r="AD91" s="137"/>
      <c r="AE91" s="137"/>
      <c r="AF91" s="137"/>
      <c r="AG91" s="137"/>
      <c r="AH91" s="137"/>
      <c r="AI91" s="137"/>
      <c r="AJ91" s="169">
        <v>5115</v>
      </c>
      <c r="AK91" s="137"/>
      <c r="AL91" s="137"/>
      <c r="AM91" s="137"/>
      <c r="AN91" s="137"/>
      <c r="AO91" s="137"/>
      <c r="AP91" s="137"/>
      <c r="AQ91" s="137"/>
      <c r="AR91" s="137"/>
      <c r="AS91" s="138">
        <v>0.15</v>
      </c>
      <c r="AT91" s="499"/>
      <c r="AU91" s="139">
        <v>0.5</v>
      </c>
      <c r="AV91" s="138">
        <v>0.35</v>
      </c>
      <c r="AW91" s="139"/>
      <c r="AX91" s="139"/>
      <c r="AY91" s="139"/>
      <c r="AZ91" s="139"/>
      <c r="BA91" s="139"/>
      <c r="BB91" s="139"/>
    </row>
    <row r="92" spans="1:54" ht="12.75" customHeight="1" x14ac:dyDescent="0.25">
      <c r="A92" s="200"/>
      <c r="B92" s="204" t="s">
        <v>113</v>
      </c>
      <c r="C92" s="202">
        <v>12.972</v>
      </c>
      <c r="D92" s="203">
        <f t="shared" si="94"/>
        <v>14.269200000000001</v>
      </c>
      <c r="E92" s="203" t="s">
        <v>114</v>
      </c>
      <c r="F92" s="203">
        <f>'Material and Labor Cost'!$D$9</f>
        <v>126.50000000000001</v>
      </c>
      <c r="G92" s="203">
        <f>'Material and Labor Cost'!$F$9</f>
        <v>70</v>
      </c>
      <c r="H92" s="203">
        <f t="shared" si="95"/>
        <v>196.5</v>
      </c>
      <c r="I92" s="203">
        <f t="shared" si="96"/>
        <v>2803.8978000000002</v>
      </c>
      <c r="J92" s="137"/>
      <c r="K92" s="146"/>
      <c r="L92" s="137"/>
      <c r="M92" s="137"/>
      <c r="N92" s="137"/>
      <c r="O92" s="137"/>
      <c r="P92" s="137"/>
      <c r="Q92" s="223">
        <f t="shared" si="97"/>
        <v>7.1346000000000007</v>
      </c>
      <c r="R92" s="224">
        <f t="shared" si="98"/>
        <v>2.1403799999999999</v>
      </c>
      <c r="S92" s="224">
        <f t="shared" si="99"/>
        <v>9.2749800000000011</v>
      </c>
      <c r="T92" s="224">
        <f t="shared" si="100"/>
        <v>4.9942200000000003</v>
      </c>
      <c r="U92" s="225">
        <f t="shared" si="101"/>
        <v>5115</v>
      </c>
      <c r="V92" s="225">
        <f t="shared" si="102"/>
        <v>420.58467000000002</v>
      </c>
      <c r="W92" s="225">
        <f t="shared" si="103"/>
        <v>5535.5846700000002</v>
      </c>
      <c r="X92" s="225">
        <f t="shared" si="104"/>
        <v>-2731.68687</v>
      </c>
      <c r="Y92" s="168">
        <f t="shared" si="105"/>
        <v>0.15</v>
      </c>
      <c r="Z92" s="137"/>
      <c r="AA92" s="224">
        <v>7.1346000000000007</v>
      </c>
      <c r="AB92" s="137"/>
      <c r="AC92" s="137"/>
      <c r="AD92" s="137"/>
      <c r="AE92" s="137"/>
      <c r="AF92" s="137"/>
      <c r="AG92" s="137"/>
      <c r="AH92" s="137"/>
      <c r="AI92" s="137"/>
      <c r="AJ92" s="169">
        <v>1401.9489000000001</v>
      </c>
      <c r="AK92" s="137"/>
      <c r="AL92" s="137"/>
      <c r="AM92" s="137"/>
      <c r="AN92" s="137"/>
      <c r="AO92" s="137"/>
      <c r="AP92" s="137"/>
      <c r="AQ92" s="137"/>
      <c r="AR92" s="137"/>
      <c r="AS92" s="138">
        <v>0.15</v>
      </c>
      <c r="AT92" s="499"/>
      <c r="AU92" s="139">
        <v>0.5</v>
      </c>
      <c r="AV92" s="138">
        <v>0.35</v>
      </c>
      <c r="AW92" s="139"/>
      <c r="AX92" s="139"/>
      <c r="AY92" s="139"/>
      <c r="AZ92" s="139"/>
      <c r="BA92" s="139"/>
      <c r="BB92" s="139"/>
    </row>
    <row r="93" spans="1:54" ht="12.75" customHeight="1" x14ac:dyDescent="0.25">
      <c r="A93" s="200"/>
      <c r="B93" s="204" t="s">
        <v>115</v>
      </c>
      <c r="C93" s="202">
        <v>25.943999999999996</v>
      </c>
      <c r="D93" s="203">
        <f t="shared" si="94"/>
        <v>28.538399999999996</v>
      </c>
      <c r="E93" s="203" t="s">
        <v>114</v>
      </c>
      <c r="F93" s="203">
        <f>'Material and Labor Cost'!$D$10</f>
        <v>126.50000000000001</v>
      </c>
      <c r="G93" s="203">
        <f>'Material and Labor Cost'!$F$10</f>
        <v>70</v>
      </c>
      <c r="H93" s="203">
        <f t="shared" si="95"/>
        <v>196.5</v>
      </c>
      <c r="I93" s="203">
        <f t="shared" si="96"/>
        <v>5607.7955999999995</v>
      </c>
      <c r="J93" s="137"/>
      <c r="K93" s="146"/>
      <c r="L93" s="137"/>
      <c r="M93" s="137"/>
      <c r="N93" s="137"/>
      <c r="O93" s="137"/>
      <c r="P93" s="137"/>
      <c r="Q93" s="223">
        <f t="shared" si="97"/>
        <v>14.269199999999998</v>
      </c>
      <c r="R93" s="224">
        <f t="shared" si="98"/>
        <v>4.280759999999999</v>
      </c>
      <c r="S93" s="224">
        <f t="shared" si="99"/>
        <v>18.549959999999999</v>
      </c>
      <c r="T93" s="224">
        <f t="shared" si="100"/>
        <v>9.9884399999999971</v>
      </c>
      <c r="U93" s="225">
        <f t="shared" si="101"/>
        <v>1401.9489000000001</v>
      </c>
      <c r="V93" s="225">
        <f t="shared" si="102"/>
        <v>841.16933999999992</v>
      </c>
      <c r="W93" s="225">
        <f t="shared" si="103"/>
        <v>2243.1182399999998</v>
      </c>
      <c r="X93" s="225">
        <f t="shared" si="104"/>
        <v>3364.6773599999997</v>
      </c>
      <c r="Y93" s="168">
        <f t="shared" si="105"/>
        <v>0.15</v>
      </c>
      <c r="Z93" s="137"/>
      <c r="AA93" s="224">
        <v>14.269199999999998</v>
      </c>
      <c r="AB93" s="137"/>
      <c r="AC93" s="137"/>
      <c r="AD93" s="137"/>
      <c r="AE93" s="137"/>
      <c r="AF93" s="137"/>
      <c r="AG93" s="137"/>
      <c r="AH93" s="137"/>
      <c r="AI93" s="137"/>
      <c r="AJ93" s="169">
        <v>2803.8977999999997</v>
      </c>
      <c r="AK93" s="137"/>
      <c r="AL93" s="137"/>
      <c r="AM93" s="137"/>
      <c r="AN93" s="137"/>
      <c r="AO93" s="137"/>
      <c r="AP93" s="137"/>
      <c r="AQ93" s="137"/>
      <c r="AR93" s="137"/>
      <c r="AS93" s="138">
        <v>0.15</v>
      </c>
      <c r="AT93" s="499"/>
      <c r="AU93" s="139">
        <v>0.5</v>
      </c>
      <c r="AV93" s="138">
        <v>0.35</v>
      </c>
      <c r="AW93" s="139"/>
      <c r="AX93" s="139"/>
      <c r="AY93" s="139"/>
      <c r="AZ93" s="139"/>
      <c r="BA93" s="139"/>
      <c r="BB93" s="139"/>
    </row>
    <row r="94" spans="1:54" ht="12.75" customHeight="1" x14ac:dyDescent="0.25">
      <c r="A94" s="200"/>
      <c r="B94" s="204" t="s">
        <v>117</v>
      </c>
      <c r="C94" s="202">
        <v>7</v>
      </c>
      <c r="D94" s="203">
        <f t="shared" ref="D94:D96" si="106">ROUNDUP(C94*$K$39,0)</f>
        <v>8</v>
      </c>
      <c r="E94" s="203" t="s">
        <v>118</v>
      </c>
      <c r="F94" s="203">
        <f>'Material and Labor Cost'!$D$11</f>
        <v>30.000000000000004</v>
      </c>
      <c r="G94" s="203">
        <f>'Material and Labor Cost'!$F$11</f>
        <v>20</v>
      </c>
      <c r="H94" s="203">
        <f t="shared" si="95"/>
        <v>50</v>
      </c>
      <c r="I94" s="203">
        <f t="shared" si="96"/>
        <v>400</v>
      </c>
      <c r="J94" s="137"/>
      <c r="K94" s="146"/>
      <c r="L94" s="137"/>
      <c r="M94" s="137"/>
      <c r="N94" s="137"/>
      <c r="O94" s="137"/>
      <c r="P94" s="137"/>
      <c r="Q94" s="223">
        <f t="shared" si="97"/>
        <v>4</v>
      </c>
      <c r="R94" s="224">
        <f t="shared" si="98"/>
        <v>1.2</v>
      </c>
      <c r="S94" s="224">
        <f t="shared" si="99"/>
        <v>5.2</v>
      </c>
      <c r="T94" s="224">
        <f t="shared" si="100"/>
        <v>2.8</v>
      </c>
      <c r="U94" s="225">
        <f t="shared" si="101"/>
        <v>2803.8977999999997</v>
      </c>
      <c r="V94" s="225">
        <f t="shared" si="102"/>
        <v>60</v>
      </c>
      <c r="W94" s="225">
        <f t="shared" si="103"/>
        <v>2863.8977999999997</v>
      </c>
      <c r="X94" s="225">
        <f t="shared" si="104"/>
        <v>-2463.8977999999997</v>
      </c>
      <c r="Y94" s="168">
        <f t="shared" si="105"/>
        <v>0.15</v>
      </c>
      <c r="Z94" s="137"/>
      <c r="AA94" s="224">
        <v>4</v>
      </c>
      <c r="AB94" s="137"/>
      <c r="AC94" s="137"/>
      <c r="AD94" s="137"/>
      <c r="AE94" s="137"/>
      <c r="AF94" s="137"/>
      <c r="AG94" s="137"/>
      <c r="AH94" s="137"/>
      <c r="AI94" s="137"/>
      <c r="AJ94" s="169">
        <v>200</v>
      </c>
      <c r="AK94" s="137"/>
      <c r="AL94" s="137"/>
      <c r="AM94" s="137"/>
      <c r="AN94" s="137"/>
      <c r="AO94" s="137"/>
      <c r="AP94" s="137"/>
      <c r="AQ94" s="137"/>
      <c r="AR94" s="137"/>
      <c r="AS94" s="138">
        <v>0.15</v>
      </c>
      <c r="AT94" s="499"/>
      <c r="AU94" s="139">
        <v>0.5</v>
      </c>
      <c r="AV94" s="138">
        <v>0.35</v>
      </c>
      <c r="AW94" s="139"/>
      <c r="AX94" s="139"/>
      <c r="AY94" s="139"/>
      <c r="AZ94" s="139"/>
      <c r="BA94" s="139"/>
      <c r="BB94" s="139"/>
    </row>
    <row r="95" spans="1:54" ht="12.75" customHeight="1" x14ac:dyDescent="0.25">
      <c r="A95" s="200"/>
      <c r="B95" s="204" t="s">
        <v>119</v>
      </c>
      <c r="C95" s="202">
        <v>33</v>
      </c>
      <c r="D95" s="203">
        <f t="shared" si="106"/>
        <v>37</v>
      </c>
      <c r="E95" s="203" t="s">
        <v>118</v>
      </c>
      <c r="F95" s="203">
        <f>'Material and Labor Cost'!$D$12</f>
        <v>10</v>
      </c>
      <c r="G95" s="203">
        <f>'Material and Labor Cost'!$F$12</f>
        <v>20</v>
      </c>
      <c r="H95" s="203">
        <f t="shared" si="95"/>
        <v>30</v>
      </c>
      <c r="I95" s="203">
        <f t="shared" si="96"/>
        <v>1110</v>
      </c>
      <c r="J95" s="137"/>
      <c r="K95" s="146"/>
      <c r="L95" s="137"/>
      <c r="M95" s="137"/>
      <c r="N95" s="137"/>
      <c r="O95" s="137"/>
      <c r="P95" s="137"/>
      <c r="Q95" s="223">
        <f t="shared" si="97"/>
        <v>18.5</v>
      </c>
      <c r="R95" s="224">
        <f t="shared" si="98"/>
        <v>5.55</v>
      </c>
      <c r="S95" s="224">
        <f t="shared" si="99"/>
        <v>24.05</v>
      </c>
      <c r="T95" s="224">
        <f t="shared" si="100"/>
        <v>12.95</v>
      </c>
      <c r="U95" s="225">
        <f t="shared" si="101"/>
        <v>200</v>
      </c>
      <c r="V95" s="225">
        <f t="shared" si="102"/>
        <v>166.5</v>
      </c>
      <c r="W95" s="225">
        <f t="shared" si="103"/>
        <v>366.5</v>
      </c>
      <c r="X95" s="225">
        <f t="shared" si="104"/>
        <v>743.5</v>
      </c>
      <c r="Y95" s="168">
        <f t="shared" si="105"/>
        <v>0.15</v>
      </c>
      <c r="Z95" s="137"/>
      <c r="AA95" s="224">
        <v>18.5</v>
      </c>
      <c r="AB95" s="137"/>
      <c r="AC95" s="137"/>
      <c r="AD95" s="137"/>
      <c r="AE95" s="137"/>
      <c r="AF95" s="137"/>
      <c r="AG95" s="137"/>
      <c r="AH95" s="137"/>
      <c r="AI95" s="137"/>
      <c r="AJ95" s="169">
        <v>555</v>
      </c>
      <c r="AK95" s="137"/>
      <c r="AL95" s="137"/>
      <c r="AM95" s="137"/>
      <c r="AN95" s="137"/>
      <c r="AO95" s="137"/>
      <c r="AP95" s="137"/>
      <c r="AQ95" s="137"/>
      <c r="AR95" s="137"/>
      <c r="AS95" s="138">
        <v>0.15</v>
      </c>
      <c r="AT95" s="499"/>
      <c r="AU95" s="139">
        <v>0.5</v>
      </c>
      <c r="AV95" s="138">
        <v>0.35</v>
      </c>
      <c r="AW95" s="139"/>
      <c r="AX95" s="139"/>
      <c r="AY95" s="139"/>
      <c r="AZ95" s="139"/>
      <c r="BA95" s="139"/>
      <c r="BB95" s="139"/>
    </row>
    <row r="96" spans="1:54" ht="12.75" customHeight="1" x14ac:dyDescent="0.25">
      <c r="A96" s="200"/>
      <c r="B96" s="204" t="s">
        <v>120</v>
      </c>
      <c r="C96" s="202">
        <v>15.8</v>
      </c>
      <c r="D96" s="203">
        <f t="shared" si="106"/>
        <v>18</v>
      </c>
      <c r="E96" s="203" t="s">
        <v>114</v>
      </c>
      <c r="F96" s="203">
        <f>'Material and Labor Cost'!$D$13</f>
        <v>110.00000000000001</v>
      </c>
      <c r="G96" s="203">
        <f>'Material and Labor Cost'!$F$13</f>
        <v>60.000000000000007</v>
      </c>
      <c r="H96" s="203">
        <f t="shared" si="95"/>
        <v>170.00000000000003</v>
      </c>
      <c r="I96" s="203">
        <f t="shared" si="96"/>
        <v>3060.0000000000005</v>
      </c>
      <c r="J96" s="137"/>
      <c r="K96" s="146"/>
      <c r="L96" s="137"/>
      <c r="M96" s="137"/>
      <c r="N96" s="137"/>
      <c r="O96" s="137"/>
      <c r="P96" s="137"/>
      <c r="Q96" s="223">
        <f t="shared" si="97"/>
        <v>9</v>
      </c>
      <c r="R96" s="224">
        <f t="shared" si="98"/>
        <v>2.6999999999999997</v>
      </c>
      <c r="S96" s="224">
        <f t="shared" si="99"/>
        <v>11.7</v>
      </c>
      <c r="T96" s="224">
        <f t="shared" si="100"/>
        <v>6.3000000000000007</v>
      </c>
      <c r="U96" s="225">
        <f t="shared" si="101"/>
        <v>555</v>
      </c>
      <c r="V96" s="225">
        <f t="shared" si="102"/>
        <v>459.00000000000006</v>
      </c>
      <c r="W96" s="225">
        <f t="shared" si="103"/>
        <v>1014</v>
      </c>
      <c r="X96" s="225">
        <f t="shared" si="104"/>
        <v>2046.0000000000005</v>
      </c>
      <c r="Y96" s="168">
        <f t="shared" si="105"/>
        <v>0.15</v>
      </c>
      <c r="Z96" s="137"/>
      <c r="AA96" s="224">
        <v>9</v>
      </c>
      <c r="AB96" s="137"/>
      <c r="AC96" s="137"/>
      <c r="AD96" s="137"/>
      <c r="AE96" s="137"/>
      <c r="AF96" s="137"/>
      <c r="AG96" s="137"/>
      <c r="AH96" s="137"/>
      <c r="AI96" s="137"/>
      <c r="AJ96" s="169">
        <v>1530.0000000000002</v>
      </c>
      <c r="AK96" s="137"/>
      <c r="AL96" s="137"/>
      <c r="AM96" s="137"/>
      <c r="AN96" s="137"/>
      <c r="AO96" s="137"/>
      <c r="AP96" s="137"/>
      <c r="AQ96" s="137"/>
      <c r="AR96" s="137"/>
      <c r="AS96" s="138">
        <v>0.15</v>
      </c>
      <c r="AT96" s="499"/>
      <c r="AU96" s="139">
        <v>0.5</v>
      </c>
      <c r="AV96" s="138">
        <v>0.35</v>
      </c>
      <c r="AW96" s="139"/>
      <c r="AX96" s="139"/>
      <c r="AY96" s="139"/>
      <c r="AZ96" s="139"/>
      <c r="BA96" s="139"/>
      <c r="BB96" s="139"/>
    </row>
    <row r="97" spans="1:54" ht="12.75" customHeight="1" x14ac:dyDescent="0.25">
      <c r="A97" s="200"/>
      <c r="B97" s="204" t="s">
        <v>124</v>
      </c>
      <c r="C97" s="202">
        <f>C91*2</f>
        <v>31</v>
      </c>
      <c r="D97" s="203">
        <f>C97*$K$39</f>
        <v>34.1</v>
      </c>
      <c r="E97" s="203" t="s">
        <v>6</v>
      </c>
      <c r="F97" s="203">
        <f>'Material and Labor Cost'!$D$14</f>
        <v>250.00000000000003</v>
      </c>
      <c r="G97" s="203">
        <f>'Material and Labor Cost'!$F$14</f>
        <v>350</v>
      </c>
      <c r="H97" s="203">
        <f t="shared" si="95"/>
        <v>600</v>
      </c>
      <c r="I97" s="203">
        <f t="shared" si="96"/>
        <v>20460</v>
      </c>
      <c r="J97" s="137"/>
      <c r="K97" s="146"/>
      <c r="L97" s="137"/>
      <c r="M97" s="137"/>
      <c r="N97" s="137"/>
      <c r="O97" s="137"/>
      <c r="P97" s="137"/>
      <c r="Q97" s="223">
        <f t="shared" si="97"/>
        <v>17.05</v>
      </c>
      <c r="R97" s="224">
        <f t="shared" si="98"/>
        <v>5.1150000000000002</v>
      </c>
      <c r="S97" s="224">
        <f t="shared" si="99"/>
        <v>22.164999999999999</v>
      </c>
      <c r="T97" s="224">
        <f t="shared" si="100"/>
        <v>11.935000000000002</v>
      </c>
      <c r="U97" s="225">
        <f t="shared" si="101"/>
        <v>1530.0000000000002</v>
      </c>
      <c r="V97" s="225">
        <f t="shared" si="102"/>
        <v>3069</v>
      </c>
      <c r="W97" s="225">
        <f t="shared" si="103"/>
        <v>4599</v>
      </c>
      <c r="X97" s="225">
        <f t="shared" si="104"/>
        <v>15861</v>
      </c>
      <c r="Y97" s="168">
        <f t="shared" si="105"/>
        <v>0.15</v>
      </c>
      <c r="Z97" s="137"/>
      <c r="AA97" s="224">
        <v>17.05</v>
      </c>
      <c r="AB97" s="137"/>
      <c r="AC97" s="137"/>
      <c r="AD97" s="137"/>
      <c r="AE97" s="137"/>
      <c r="AF97" s="137"/>
      <c r="AG97" s="137"/>
      <c r="AH97" s="137"/>
      <c r="AI97" s="137"/>
      <c r="AJ97" s="169">
        <v>10230</v>
      </c>
      <c r="AK97" s="137"/>
      <c r="AL97" s="137"/>
      <c r="AM97" s="137"/>
      <c r="AN97" s="137"/>
      <c r="AO97" s="137"/>
      <c r="AP97" s="137"/>
      <c r="AQ97" s="137"/>
      <c r="AR97" s="137"/>
      <c r="AS97" s="138">
        <v>0.15</v>
      </c>
      <c r="AT97" s="499"/>
      <c r="AU97" s="139">
        <v>0.5</v>
      </c>
      <c r="AV97" s="138">
        <v>0.35</v>
      </c>
      <c r="AW97" s="139"/>
      <c r="AX97" s="139"/>
      <c r="AY97" s="139"/>
      <c r="AZ97" s="139"/>
      <c r="BA97" s="139"/>
      <c r="BB97" s="139"/>
    </row>
    <row r="98" spans="1:54" ht="12.75" customHeight="1" x14ac:dyDescent="0.25">
      <c r="A98" s="200"/>
      <c r="B98" s="204"/>
      <c r="C98" s="202"/>
      <c r="D98" s="203"/>
      <c r="E98" s="203"/>
      <c r="F98" s="203"/>
      <c r="G98" s="203"/>
      <c r="H98" s="203"/>
      <c r="I98" s="203"/>
      <c r="J98" s="137"/>
      <c r="K98" s="146"/>
      <c r="L98" s="137"/>
      <c r="M98" s="137"/>
      <c r="N98" s="137"/>
      <c r="O98" s="137"/>
      <c r="P98" s="137"/>
      <c r="Q98" s="165"/>
      <c r="R98" s="166"/>
      <c r="S98" s="166"/>
      <c r="T98" s="166"/>
      <c r="U98" s="167"/>
      <c r="V98" s="167"/>
      <c r="W98" s="167"/>
      <c r="X98" s="167"/>
      <c r="Y98" s="168"/>
      <c r="Z98" s="137"/>
      <c r="AA98" s="166"/>
      <c r="AB98" s="137"/>
      <c r="AC98" s="137"/>
      <c r="AD98" s="137"/>
      <c r="AE98" s="137"/>
      <c r="AF98" s="137"/>
      <c r="AG98" s="137"/>
      <c r="AH98" s="137"/>
      <c r="AI98" s="137"/>
      <c r="AJ98" s="169"/>
      <c r="AK98" s="137"/>
      <c r="AL98" s="137"/>
      <c r="AM98" s="137"/>
      <c r="AN98" s="137"/>
      <c r="AO98" s="137"/>
      <c r="AP98" s="137"/>
      <c r="AQ98" s="137"/>
      <c r="AR98" s="137"/>
      <c r="AS98" s="138"/>
      <c r="AT98" s="499"/>
      <c r="AU98" s="139"/>
      <c r="AV98" s="138"/>
      <c r="AW98" s="139"/>
      <c r="AX98" s="139"/>
      <c r="AY98" s="139"/>
      <c r="AZ98" s="139"/>
      <c r="BA98" s="139"/>
      <c r="BB98" s="139"/>
    </row>
    <row r="99" spans="1:54" ht="12.75" customHeight="1" x14ac:dyDescent="0.25">
      <c r="A99" s="200"/>
      <c r="B99" s="201" t="s">
        <v>137</v>
      </c>
      <c r="C99" s="202"/>
      <c r="D99" s="203"/>
      <c r="E99" s="203"/>
      <c r="F99" s="203"/>
      <c r="G99" s="203"/>
      <c r="H99" s="203"/>
      <c r="I99" s="203"/>
      <c r="J99" s="137"/>
      <c r="K99" s="146"/>
      <c r="L99" s="137"/>
      <c r="M99" s="137"/>
      <c r="N99" s="137"/>
      <c r="O99" s="137"/>
      <c r="P99" s="137"/>
      <c r="Q99" s="165"/>
      <c r="R99" s="166"/>
      <c r="S99" s="166"/>
      <c r="T99" s="166"/>
      <c r="U99" s="167"/>
      <c r="V99" s="167"/>
      <c r="W99" s="167"/>
      <c r="X99" s="167"/>
      <c r="Y99" s="168"/>
      <c r="Z99" s="137"/>
      <c r="AA99" s="166"/>
      <c r="AB99" s="137"/>
      <c r="AC99" s="137"/>
      <c r="AD99" s="137"/>
      <c r="AE99" s="137"/>
      <c r="AF99" s="137"/>
      <c r="AG99" s="137"/>
      <c r="AH99" s="137"/>
      <c r="AI99" s="137"/>
      <c r="AJ99" s="169"/>
      <c r="AK99" s="137"/>
      <c r="AL99" s="137"/>
      <c r="AM99" s="137"/>
      <c r="AN99" s="137"/>
      <c r="AO99" s="137"/>
      <c r="AP99" s="137"/>
      <c r="AQ99" s="137"/>
      <c r="AR99" s="137"/>
      <c r="AS99" s="138"/>
      <c r="AT99" s="499"/>
      <c r="AU99" s="139"/>
      <c r="AV99" s="138"/>
      <c r="AW99" s="139"/>
      <c r="AX99" s="139"/>
      <c r="AY99" s="139"/>
      <c r="AZ99" s="139"/>
      <c r="BA99" s="139"/>
      <c r="BB99" s="139"/>
    </row>
    <row r="100" spans="1:54" ht="12.75" customHeight="1" x14ac:dyDescent="0.25">
      <c r="A100" s="200"/>
      <c r="B100" s="204" t="s">
        <v>112</v>
      </c>
      <c r="C100" s="202">
        <v>14.1</v>
      </c>
      <c r="D100" s="203">
        <f t="shared" ref="D100:D102" si="107">C100*$K$39</f>
        <v>15.510000000000002</v>
      </c>
      <c r="E100" s="203" t="s">
        <v>6</v>
      </c>
      <c r="F100" s="203">
        <f>'Material and Labor Cost'!$D$8</f>
        <v>250.00000000000003</v>
      </c>
      <c r="G100" s="203">
        <f>'Material and Labor Cost'!$F$8</f>
        <v>350</v>
      </c>
      <c r="H100" s="203">
        <f t="shared" ref="H100:H106" si="108">SUM(F100:G100)</f>
        <v>600</v>
      </c>
      <c r="I100" s="203">
        <f t="shared" ref="I100:I106" si="109">H100*D100</f>
        <v>9306.0000000000018</v>
      </c>
      <c r="J100" s="137"/>
      <c r="K100" s="146"/>
      <c r="L100" s="137"/>
      <c r="M100" s="137"/>
      <c r="N100" s="137"/>
      <c r="O100" s="137"/>
      <c r="P100" s="137"/>
      <c r="Q100" s="223">
        <f t="shared" ref="Q100:Q106" si="110">SUM(AA100:AH100)</f>
        <v>7.7550000000000008</v>
      </c>
      <c r="R100" s="224">
        <f t="shared" ref="R100:R106" si="111">Y100*D100</f>
        <v>1.5510000000000002</v>
      </c>
      <c r="S100" s="224">
        <f t="shared" ref="S100:S106" si="112">SUM(Q100:R100)</f>
        <v>9.3060000000000009</v>
      </c>
      <c r="T100" s="224">
        <f t="shared" ref="T100:T106" si="113">D100-S100</f>
        <v>6.2040000000000006</v>
      </c>
      <c r="U100" s="225">
        <f t="shared" ref="U100:U106" si="114">SUM(AJ99:AQ99)</f>
        <v>0</v>
      </c>
      <c r="V100" s="225">
        <f t="shared" ref="V100:V106" si="115">Y100*I100</f>
        <v>930.60000000000025</v>
      </c>
      <c r="W100" s="225">
        <f t="shared" ref="W100:W106" si="116">SUM(U100:V100)</f>
        <v>930.60000000000025</v>
      </c>
      <c r="X100" s="225">
        <f t="shared" ref="X100:X106" si="117">I100-W100</f>
        <v>8375.4000000000015</v>
      </c>
      <c r="Y100" s="168">
        <f t="shared" ref="Y100:Y106" si="118">SUM(AS100)</f>
        <v>0.1</v>
      </c>
      <c r="Z100" s="137"/>
      <c r="AA100" s="224">
        <v>7.7550000000000008</v>
      </c>
      <c r="AB100" s="137"/>
      <c r="AC100" s="137"/>
      <c r="AD100" s="137"/>
      <c r="AE100" s="137"/>
      <c r="AF100" s="137"/>
      <c r="AG100" s="137"/>
      <c r="AH100" s="137"/>
      <c r="AI100" s="137"/>
      <c r="AJ100" s="169">
        <v>4653.0000000000009</v>
      </c>
      <c r="AK100" s="137"/>
      <c r="AL100" s="137"/>
      <c r="AM100" s="137"/>
      <c r="AN100" s="137"/>
      <c r="AO100" s="137"/>
      <c r="AP100" s="137"/>
      <c r="AQ100" s="137"/>
      <c r="AR100" s="137"/>
      <c r="AS100" s="138">
        <v>0.1</v>
      </c>
      <c r="AT100" s="499"/>
      <c r="AU100" s="139">
        <v>0.5</v>
      </c>
      <c r="AV100" s="138">
        <v>0.4</v>
      </c>
      <c r="AW100" s="139"/>
      <c r="AX100" s="139"/>
      <c r="AY100" s="139"/>
      <c r="AZ100" s="139"/>
      <c r="BA100" s="139"/>
      <c r="BB100" s="139"/>
    </row>
    <row r="101" spans="1:54" ht="12.75" customHeight="1" x14ac:dyDescent="0.25">
      <c r="A101" s="200"/>
      <c r="B101" s="204" t="s">
        <v>113</v>
      </c>
      <c r="C101" s="202">
        <v>12.212999999999999</v>
      </c>
      <c r="D101" s="203">
        <f t="shared" si="107"/>
        <v>13.4343</v>
      </c>
      <c r="E101" s="203" t="s">
        <v>114</v>
      </c>
      <c r="F101" s="203">
        <f>'Material and Labor Cost'!$D$9</f>
        <v>126.50000000000001</v>
      </c>
      <c r="G101" s="203">
        <f>'Material and Labor Cost'!$F$9</f>
        <v>70</v>
      </c>
      <c r="H101" s="203">
        <f t="shared" si="108"/>
        <v>196.5</v>
      </c>
      <c r="I101" s="203">
        <f t="shared" si="109"/>
        <v>2639.83995</v>
      </c>
      <c r="J101" s="137"/>
      <c r="K101" s="146"/>
      <c r="L101" s="137"/>
      <c r="M101" s="137"/>
      <c r="N101" s="137"/>
      <c r="O101" s="137"/>
      <c r="P101" s="137"/>
      <c r="Q101" s="223">
        <f t="shared" si="110"/>
        <v>6.7171500000000002</v>
      </c>
      <c r="R101" s="224">
        <f t="shared" si="111"/>
        <v>1.3434300000000001</v>
      </c>
      <c r="S101" s="224">
        <f t="shared" si="112"/>
        <v>8.0605799999999999</v>
      </c>
      <c r="T101" s="224">
        <f t="shared" si="113"/>
        <v>5.3737200000000005</v>
      </c>
      <c r="U101" s="225">
        <f t="shared" si="114"/>
        <v>4653.0000000000009</v>
      </c>
      <c r="V101" s="225">
        <f t="shared" si="115"/>
        <v>263.98399499999999</v>
      </c>
      <c r="W101" s="225">
        <f t="shared" si="116"/>
        <v>4916.9839950000005</v>
      </c>
      <c r="X101" s="225">
        <f t="shared" si="117"/>
        <v>-2277.1440450000005</v>
      </c>
      <c r="Y101" s="168">
        <f t="shared" si="118"/>
        <v>0.1</v>
      </c>
      <c r="Z101" s="137"/>
      <c r="AA101" s="224">
        <v>6.7171500000000002</v>
      </c>
      <c r="AB101" s="137"/>
      <c r="AC101" s="137"/>
      <c r="AD101" s="137"/>
      <c r="AE101" s="137"/>
      <c r="AF101" s="137"/>
      <c r="AG101" s="137"/>
      <c r="AH101" s="137"/>
      <c r="AI101" s="137"/>
      <c r="AJ101" s="169">
        <v>1319.919975</v>
      </c>
      <c r="AK101" s="137"/>
      <c r="AL101" s="137"/>
      <c r="AM101" s="137"/>
      <c r="AN101" s="137"/>
      <c r="AO101" s="137"/>
      <c r="AP101" s="137"/>
      <c r="AQ101" s="137"/>
      <c r="AR101" s="137"/>
      <c r="AS101" s="138">
        <v>0.1</v>
      </c>
      <c r="AT101" s="499"/>
      <c r="AU101" s="139">
        <v>0.5</v>
      </c>
      <c r="AV101" s="138">
        <v>0.4</v>
      </c>
      <c r="AW101" s="139"/>
      <c r="AX101" s="139"/>
      <c r="AY101" s="139"/>
      <c r="AZ101" s="139"/>
      <c r="BA101" s="139"/>
      <c r="BB101" s="139"/>
    </row>
    <row r="102" spans="1:54" ht="12.75" customHeight="1" x14ac:dyDescent="0.25">
      <c r="A102" s="200"/>
      <c r="B102" s="204" t="s">
        <v>115</v>
      </c>
      <c r="C102" s="202">
        <v>24.425999999999998</v>
      </c>
      <c r="D102" s="203">
        <f t="shared" si="107"/>
        <v>26.868600000000001</v>
      </c>
      <c r="E102" s="203" t="s">
        <v>114</v>
      </c>
      <c r="F102" s="203">
        <f>'Material and Labor Cost'!$D$10</f>
        <v>126.50000000000001</v>
      </c>
      <c r="G102" s="203">
        <f>'Material and Labor Cost'!$F$10</f>
        <v>70</v>
      </c>
      <c r="H102" s="203">
        <f t="shared" si="108"/>
        <v>196.5</v>
      </c>
      <c r="I102" s="203">
        <f t="shared" si="109"/>
        <v>5279.6799000000001</v>
      </c>
      <c r="J102" s="137"/>
      <c r="K102" s="146"/>
      <c r="L102" s="137"/>
      <c r="M102" s="137"/>
      <c r="N102" s="137"/>
      <c r="O102" s="137"/>
      <c r="P102" s="137"/>
      <c r="Q102" s="223">
        <f t="shared" si="110"/>
        <v>13.4343</v>
      </c>
      <c r="R102" s="224">
        <f t="shared" si="111"/>
        <v>2.6868600000000002</v>
      </c>
      <c r="S102" s="224">
        <f t="shared" si="112"/>
        <v>16.12116</v>
      </c>
      <c r="T102" s="224">
        <f t="shared" si="113"/>
        <v>10.747440000000001</v>
      </c>
      <c r="U102" s="225">
        <f t="shared" si="114"/>
        <v>1319.919975</v>
      </c>
      <c r="V102" s="225">
        <f t="shared" si="115"/>
        <v>527.96798999999999</v>
      </c>
      <c r="W102" s="225">
        <f t="shared" si="116"/>
        <v>1847.8879649999999</v>
      </c>
      <c r="X102" s="225">
        <f t="shared" si="117"/>
        <v>3431.7919350000002</v>
      </c>
      <c r="Y102" s="168">
        <f t="shared" si="118"/>
        <v>0.1</v>
      </c>
      <c r="Z102" s="137"/>
      <c r="AA102" s="224">
        <v>13.4343</v>
      </c>
      <c r="AB102" s="137"/>
      <c r="AC102" s="137"/>
      <c r="AD102" s="137"/>
      <c r="AE102" s="137"/>
      <c r="AF102" s="137"/>
      <c r="AG102" s="137"/>
      <c r="AH102" s="137"/>
      <c r="AI102" s="137"/>
      <c r="AJ102" s="169">
        <v>2639.83995</v>
      </c>
      <c r="AK102" s="137"/>
      <c r="AL102" s="137"/>
      <c r="AM102" s="137"/>
      <c r="AN102" s="137"/>
      <c r="AO102" s="137"/>
      <c r="AP102" s="137"/>
      <c r="AQ102" s="137"/>
      <c r="AR102" s="137"/>
      <c r="AS102" s="138">
        <v>0.1</v>
      </c>
      <c r="AT102" s="499"/>
      <c r="AU102" s="139">
        <v>0.5</v>
      </c>
      <c r="AV102" s="138">
        <v>0.4</v>
      </c>
      <c r="AW102" s="139"/>
      <c r="AX102" s="139"/>
      <c r="AY102" s="139"/>
      <c r="AZ102" s="139"/>
      <c r="BA102" s="139"/>
      <c r="BB102" s="139"/>
    </row>
    <row r="103" spans="1:54" ht="12.75" customHeight="1" x14ac:dyDescent="0.25">
      <c r="A103" s="200"/>
      <c r="B103" s="204" t="s">
        <v>117</v>
      </c>
      <c r="C103" s="202">
        <v>7</v>
      </c>
      <c r="D103" s="203">
        <f t="shared" ref="D103:D105" si="119">ROUNDUP(C103*$K$39,0)</f>
        <v>8</v>
      </c>
      <c r="E103" s="203" t="s">
        <v>118</v>
      </c>
      <c r="F103" s="203">
        <f>'Material and Labor Cost'!$D$11</f>
        <v>30.000000000000004</v>
      </c>
      <c r="G103" s="203">
        <f>'Material and Labor Cost'!$F$11</f>
        <v>20</v>
      </c>
      <c r="H103" s="203">
        <f t="shared" si="108"/>
        <v>50</v>
      </c>
      <c r="I103" s="203">
        <f t="shared" si="109"/>
        <v>400</v>
      </c>
      <c r="J103" s="137"/>
      <c r="K103" s="146"/>
      <c r="L103" s="137"/>
      <c r="M103" s="137"/>
      <c r="N103" s="137"/>
      <c r="O103" s="137"/>
      <c r="P103" s="137"/>
      <c r="Q103" s="223">
        <f t="shared" si="110"/>
        <v>4</v>
      </c>
      <c r="R103" s="224">
        <f t="shared" si="111"/>
        <v>0.8</v>
      </c>
      <c r="S103" s="224">
        <f t="shared" si="112"/>
        <v>4.8</v>
      </c>
      <c r="T103" s="224">
        <f t="shared" si="113"/>
        <v>3.2</v>
      </c>
      <c r="U103" s="225">
        <f t="shared" si="114"/>
        <v>2639.83995</v>
      </c>
      <c r="V103" s="225">
        <f t="shared" si="115"/>
        <v>40</v>
      </c>
      <c r="W103" s="225">
        <f t="shared" si="116"/>
        <v>2679.83995</v>
      </c>
      <c r="X103" s="225">
        <f t="shared" si="117"/>
        <v>-2279.83995</v>
      </c>
      <c r="Y103" s="168">
        <f t="shared" si="118"/>
        <v>0.1</v>
      </c>
      <c r="Z103" s="137"/>
      <c r="AA103" s="224">
        <v>4</v>
      </c>
      <c r="AB103" s="137"/>
      <c r="AC103" s="137"/>
      <c r="AD103" s="137"/>
      <c r="AE103" s="137"/>
      <c r="AF103" s="137"/>
      <c r="AG103" s="137"/>
      <c r="AH103" s="137"/>
      <c r="AI103" s="137"/>
      <c r="AJ103" s="169">
        <v>200</v>
      </c>
      <c r="AK103" s="137"/>
      <c r="AL103" s="137"/>
      <c r="AM103" s="137"/>
      <c r="AN103" s="137"/>
      <c r="AO103" s="137"/>
      <c r="AP103" s="137"/>
      <c r="AQ103" s="137"/>
      <c r="AR103" s="137"/>
      <c r="AS103" s="138">
        <v>0.1</v>
      </c>
      <c r="AT103" s="499"/>
      <c r="AU103" s="139">
        <v>0.5</v>
      </c>
      <c r="AV103" s="138">
        <v>0.4</v>
      </c>
      <c r="AW103" s="139"/>
      <c r="AX103" s="139"/>
      <c r="AY103" s="139"/>
      <c r="AZ103" s="139"/>
      <c r="BA103" s="139"/>
      <c r="BB103" s="139"/>
    </row>
    <row r="104" spans="1:54" ht="12.75" customHeight="1" x14ac:dyDescent="0.25">
      <c r="A104" s="200"/>
      <c r="B104" s="204" t="s">
        <v>119</v>
      </c>
      <c r="C104" s="202">
        <v>32</v>
      </c>
      <c r="D104" s="203">
        <f t="shared" si="119"/>
        <v>36</v>
      </c>
      <c r="E104" s="203" t="s">
        <v>118</v>
      </c>
      <c r="F104" s="203">
        <f>'Material and Labor Cost'!$D$12</f>
        <v>10</v>
      </c>
      <c r="G104" s="203">
        <f>'Material and Labor Cost'!$F$12</f>
        <v>20</v>
      </c>
      <c r="H104" s="203">
        <f t="shared" si="108"/>
        <v>30</v>
      </c>
      <c r="I104" s="203">
        <f t="shared" si="109"/>
        <v>1080</v>
      </c>
      <c r="J104" s="137"/>
      <c r="K104" s="146"/>
      <c r="L104" s="137"/>
      <c r="M104" s="137"/>
      <c r="N104" s="137"/>
      <c r="O104" s="137"/>
      <c r="P104" s="137"/>
      <c r="Q104" s="223">
        <f t="shared" si="110"/>
        <v>18</v>
      </c>
      <c r="R104" s="224">
        <f t="shared" si="111"/>
        <v>3.6</v>
      </c>
      <c r="S104" s="224">
        <f t="shared" si="112"/>
        <v>21.6</v>
      </c>
      <c r="T104" s="224">
        <f t="shared" si="113"/>
        <v>14.399999999999999</v>
      </c>
      <c r="U104" s="225">
        <f t="shared" si="114"/>
        <v>200</v>
      </c>
      <c r="V104" s="225">
        <f t="shared" si="115"/>
        <v>108</v>
      </c>
      <c r="W104" s="225">
        <f t="shared" si="116"/>
        <v>308</v>
      </c>
      <c r="X104" s="225">
        <f t="shared" si="117"/>
        <v>772</v>
      </c>
      <c r="Y104" s="168">
        <f t="shared" si="118"/>
        <v>0.1</v>
      </c>
      <c r="Z104" s="137"/>
      <c r="AA104" s="224">
        <v>18</v>
      </c>
      <c r="AB104" s="137"/>
      <c r="AC104" s="137"/>
      <c r="AD104" s="137"/>
      <c r="AE104" s="137"/>
      <c r="AF104" s="137"/>
      <c r="AG104" s="137"/>
      <c r="AH104" s="137"/>
      <c r="AI104" s="137"/>
      <c r="AJ104" s="169">
        <v>540</v>
      </c>
      <c r="AK104" s="137"/>
      <c r="AL104" s="137"/>
      <c r="AM104" s="137"/>
      <c r="AN104" s="137"/>
      <c r="AO104" s="137"/>
      <c r="AP104" s="137"/>
      <c r="AQ104" s="137"/>
      <c r="AR104" s="137"/>
      <c r="AS104" s="138">
        <v>0.1</v>
      </c>
      <c r="AT104" s="499"/>
      <c r="AU104" s="139">
        <v>0.5</v>
      </c>
      <c r="AV104" s="138">
        <v>0.4</v>
      </c>
      <c r="AW104" s="139"/>
      <c r="AX104" s="139"/>
      <c r="AY104" s="139"/>
      <c r="AZ104" s="139"/>
      <c r="BA104" s="139"/>
      <c r="BB104" s="139"/>
    </row>
    <row r="105" spans="1:54" ht="12.75" customHeight="1" x14ac:dyDescent="0.25">
      <c r="A105" s="200"/>
      <c r="B105" s="204" t="s">
        <v>120</v>
      </c>
      <c r="C105" s="202">
        <v>15.36</v>
      </c>
      <c r="D105" s="203">
        <f t="shared" si="119"/>
        <v>17</v>
      </c>
      <c r="E105" s="203" t="s">
        <v>114</v>
      </c>
      <c r="F105" s="203">
        <f>'Material and Labor Cost'!$D$13</f>
        <v>110.00000000000001</v>
      </c>
      <c r="G105" s="203">
        <f>'Material and Labor Cost'!$F$13</f>
        <v>60.000000000000007</v>
      </c>
      <c r="H105" s="203">
        <f t="shared" si="108"/>
        <v>170.00000000000003</v>
      </c>
      <c r="I105" s="203">
        <f t="shared" si="109"/>
        <v>2890.0000000000005</v>
      </c>
      <c r="J105" s="137"/>
      <c r="K105" s="146"/>
      <c r="L105" s="137"/>
      <c r="M105" s="137"/>
      <c r="N105" s="137"/>
      <c r="O105" s="137"/>
      <c r="P105" s="137"/>
      <c r="Q105" s="223">
        <f t="shared" si="110"/>
        <v>8.5</v>
      </c>
      <c r="R105" s="224">
        <f t="shared" si="111"/>
        <v>1.7000000000000002</v>
      </c>
      <c r="S105" s="224">
        <f t="shared" si="112"/>
        <v>10.199999999999999</v>
      </c>
      <c r="T105" s="224">
        <f t="shared" si="113"/>
        <v>6.8000000000000007</v>
      </c>
      <c r="U105" s="225">
        <f t="shared" si="114"/>
        <v>540</v>
      </c>
      <c r="V105" s="225">
        <f t="shared" si="115"/>
        <v>289.00000000000006</v>
      </c>
      <c r="W105" s="225">
        <f t="shared" si="116"/>
        <v>829</v>
      </c>
      <c r="X105" s="225">
        <f t="shared" si="117"/>
        <v>2061.0000000000005</v>
      </c>
      <c r="Y105" s="168">
        <f t="shared" si="118"/>
        <v>0.1</v>
      </c>
      <c r="Z105" s="137"/>
      <c r="AA105" s="224">
        <v>8.5</v>
      </c>
      <c r="AB105" s="137"/>
      <c r="AC105" s="137"/>
      <c r="AD105" s="137"/>
      <c r="AE105" s="137"/>
      <c r="AF105" s="137"/>
      <c r="AG105" s="137"/>
      <c r="AH105" s="137"/>
      <c r="AI105" s="137"/>
      <c r="AJ105" s="169">
        <v>1445.0000000000002</v>
      </c>
      <c r="AK105" s="137"/>
      <c r="AL105" s="137"/>
      <c r="AM105" s="137"/>
      <c r="AN105" s="137"/>
      <c r="AO105" s="137"/>
      <c r="AP105" s="137"/>
      <c r="AQ105" s="137"/>
      <c r="AR105" s="137"/>
      <c r="AS105" s="138">
        <v>0.1</v>
      </c>
      <c r="AT105" s="499"/>
      <c r="AU105" s="139">
        <v>0.5</v>
      </c>
      <c r="AV105" s="138">
        <v>0.4</v>
      </c>
      <c r="AW105" s="139"/>
      <c r="AX105" s="139"/>
      <c r="AY105" s="139"/>
      <c r="AZ105" s="139"/>
      <c r="BA105" s="139"/>
      <c r="BB105" s="139"/>
    </row>
    <row r="106" spans="1:54" ht="12.75" customHeight="1" x14ac:dyDescent="0.25">
      <c r="A106" s="200"/>
      <c r="B106" s="204" t="s">
        <v>124</v>
      </c>
      <c r="C106" s="202">
        <f>C100*2</f>
        <v>28.2</v>
      </c>
      <c r="D106" s="203">
        <f>C106*$K$39</f>
        <v>31.020000000000003</v>
      </c>
      <c r="E106" s="203" t="s">
        <v>6</v>
      </c>
      <c r="F106" s="203">
        <f>'Material and Labor Cost'!$D$14</f>
        <v>250.00000000000003</v>
      </c>
      <c r="G106" s="203">
        <f>'Material and Labor Cost'!$F$14</f>
        <v>350</v>
      </c>
      <c r="H106" s="203">
        <f t="shared" si="108"/>
        <v>600</v>
      </c>
      <c r="I106" s="203">
        <f t="shared" si="109"/>
        <v>18612.000000000004</v>
      </c>
      <c r="J106" s="137"/>
      <c r="K106" s="146"/>
      <c r="L106" s="137"/>
      <c r="M106" s="137"/>
      <c r="N106" s="137"/>
      <c r="O106" s="137"/>
      <c r="P106" s="137"/>
      <c r="Q106" s="223">
        <f t="shared" si="110"/>
        <v>15.510000000000002</v>
      </c>
      <c r="R106" s="224">
        <f t="shared" si="111"/>
        <v>3.1020000000000003</v>
      </c>
      <c r="S106" s="224">
        <f t="shared" si="112"/>
        <v>18.612000000000002</v>
      </c>
      <c r="T106" s="224">
        <f t="shared" si="113"/>
        <v>12.408000000000001</v>
      </c>
      <c r="U106" s="225">
        <f t="shared" si="114"/>
        <v>1445.0000000000002</v>
      </c>
      <c r="V106" s="225">
        <f t="shared" si="115"/>
        <v>1861.2000000000005</v>
      </c>
      <c r="W106" s="225">
        <f t="shared" si="116"/>
        <v>3306.2000000000007</v>
      </c>
      <c r="X106" s="225">
        <f t="shared" si="117"/>
        <v>15305.800000000003</v>
      </c>
      <c r="Y106" s="168">
        <f t="shared" si="118"/>
        <v>0.1</v>
      </c>
      <c r="Z106" s="137"/>
      <c r="AA106" s="224">
        <v>15.510000000000002</v>
      </c>
      <c r="AB106" s="137"/>
      <c r="AC106" s="137"/>
      <c r="AD106" s="137"/>
      <c r="AE106" s="137"/>
      <c r="AF106" s="137"/>
      <c r="AG106" s="137"/>
      <c r="AH106" s="137"/>
      <c r="AI106" s="137"/>
      <c r="AJ106" s="169">
        <v>9306.0000000000018</v>
      </c>
      <c r="AK106" s="137"/>
      <c r="AL106" s="137"/>
      <c r="AM106" s="137"/>
      <c r="AN106" s="137"/>
      <c r="AO106" s="137"/>
      <c r="AP106" s="137"/>
      <c r="AQ106" s="137"/>
      <c r="AR106" s="137"/>
      <c r="AS106" s="138">
        <v>0.1</v>
      </c>
      <c r="AT106" s="499"/>
      <c r="AU106" s="139">
        <v>0.5</v>
      </c>
      <c r="AV106" s="138">
        <v>0.4</v>
      </c>
      <c r="AW106" s="139"/>
      <c r="AX106" s="139"/>
      <c r="AY106" s="139"/>
      <c r="AZ106" s="139"/>
      <c r="BA106" s="139"/>
      <c r="BB106" s="139"/>
    </row>
    <row r="107" spans="1:54" ht="12.75" customHeight="1" x14ac:dyDescent="0.25">
      <c r="A107" s="200"/>
      <c r="B107" s="204"/>
      <c r="C107" s="202"/>
      <c r="D107" s="203"/>
      <c r="E107" s="203"/>
      <c r="F107" s="203"/>
      <c r="G107" s="203"/>
      <c r="H107" s="203"/>
      <c r="I107" s="203"/>
      <c r="J107" s="137"/>
      <c r="K107" s="146"/>
      <c r="L107" s="137"/>
      <c r="M107" s="137"/>
      <c r="N107" s="137"/>
      <c r="O107" s="137"/>
      <c r="P107" s="137"/>
      <c r="Q107" s="165"/>
      <c r="R107" s="166"/>
      <c r="S107" s="166"/>
      <c r="T107" s="166"/>
      <c r="U107" s="167"/>
      <c r="V107" s="167"/>
      <c r="W107" s="167"/>
      <c r="X107" s="167"/>
      <c r="Y107" s="168"/>
      <c r="Z107" s="137"/>
      <c r="AA107" s="166"/>
      <c r="AB107" s="137"/>
      <c r="AC107" s="137"/>
      <c r="AD107" s="137"/>
      <c r="AE107" s="137"/>
      <c r="AF107" s="137"/>
      <c r="AG107" s="137"/>
      <c r="AH107" s="137"/>
      <c r="AI107" s="137"/>
      <c r="AJ107" s="169"/>
      <c r="AK107" s="137"/>
      <c r="AL107" s="137"/>
      <c r="AM107" s="137"/>
      <c r="AN107" s="137"/>
      <c r="AO107" s="137"/>
      <c r="AP107" s="137"/>
      <c r="AQ107" s="137"/>
      <c r="AR107" s="137"/>
      <c r="AS107" s="138"/>
      <c r="AT107" s="499"/>
      <c r="AU107" s="139"/>
      <c r="AV107" s="138"/>
      <c r="AW107" s="139"/>
      <c r="AX107" s="139"/>
      <c r="AY107" s="139"/>
      <c r="AZ107" s="139"/>
      <c r="BA107" s="139"/>
      <c r="BB107" s="139"/>
    </row>
    <row r="108" spans="1:54" ht="12.75" customHeight="1" x14ac:dyDescent="0.25">
      <c r="A108" s="200"/>
      <c r="B108" s="201" t="s">
        <v>138</v>
      </c>
      <c r="C108" s="202"/>
      <c r="D108" s="203"/>
      <c r="E108" s="203"/>
      <c r="F108" s="203"/>
      <c r="G108" s="203"/>
      <c r="H108" s="203"/>
      <c r="I108" s="203"/>
      <c r="J108" s="137"/>
      <c r="K108" s="146"/>
      <c r="L108" s="137"/>
      <c r="M108" s="137"/>
      <c r="N108" s="137"/>
      <c r="O108" s="137"/>
      <c r="P108" s="137"/>
      <c r="Q108" s="165"/>
      <c r="R108" s="166"/>
      <c r="S108" s="166"/>
      <c r="T108" s="166"/>
      <c r="U108" s="167"/>
      <c r="V108" s="167"/>
      <c r="W108" s="167"/>
      <c r="X108" s="167"/>
      <c r="Y108" s="168"/>
      <c r="Z108" s="137"/>
      <c r="AA108" s="166"/>
      <c r="AB108" s="137"/>
      <c r="AC108" s="137"/>
      <c r="AD108" s="137"/>
      <c r="AE108" s="137"/>
      <c r="AF108" s="137"/>
      <c r="AG108" s="137"/>
      <c r="AH108" s="137"/>
      <c r="AI108" s="137"/>
      <c r="AJ108" s="169"/>
      <c r="AK108" s="137"/>
      <c r="AL108" s="137"/>
      <c r="AM108" s="137"/>
      <c r="AN108" s="137"/>
      <c r="AO108" s="137"/>
      <c r="AP108" s="137"/>
      <c r="AQ108" s="137"/>
      <c r="AR108" s="137"/>
      <c r="AS108" s="138"/>
      <c r="AT108" s="499"/>
      <c r="AU108" s="139"/>
      <c r="AV108" s="138"/>
      <c r="AW108" s="139"/>
      <c r="AX108" s="139"/>
      <c r="AY108" s="139"/>
      <c r="AZ108" s="139"/>
      <c r="BA108" s="139"/>
      <c r="BB108" s="139"/>
    </row>
    <row r="109" spans="1:54" ht="12.75" customHeight="1" x14ac:dyDescent="0.25">
      <c r="A109" s="200"/>
      <c r="B109" s="204" t="s">
        <v>112</v>
      </c>
      <c r="C109" s="202">
        <v>23</v>
      </c>
      <c r="D109" s="203">
        <f t="shared" ref="D109:D111" si="120">C109*$K$39</f>
        <v>25.3</v>
      </c>
      <c r="E109" s="203" t="s">
        <v>6</v>
      </c>
      <c r="F109" s="203">
        <f>'Material and Labor Cost'!$D$8</f>
        <v>250.00000000000003</v>
      </c>
      <c r="G109" s="203">
        <f>'Material and Labor Cost'!$F$8</f>
        <v>350</v>
      </c>
      <c r="H109" s="203">
        <f t="shared" ref="H109:H115" si="121">SUM(F109:G109)</f>
        <v>600</v>
      </c>
      <c r="I109" s="203">
        <f t="shared" ref="I109:I115" si="122">H109*D109</f>
        <v>15180</v>
      </c>
      <c r="J109" s="137"/>
      <c r="K109" s="146"/>
      <c r="L109" s="137"/>
      <c r="M109" s="137"/>
      <c r="N109" s="137"/>
      <c r="O109" s="137"/>
      <c r="P109" s="137"/>
      <c r="Q109" s="223">
        <f t="shared" ref="Q109:Q115" si="123">SUM(AA109:AH109)</f>
        <v>12.65</v>
      </c>
      <c r="R109" s="224">
        <f t="shared" ref="R109:R115" si="124">Y109*D109</f>
        <v>2.5300000000000002</v>
      </c>
      <c r="S109" s="224">
        <f t="shared" ref="S109:S115" si="125">SUM(Q109:R109)</f>
        <v>15.18</v>
      </c>
      <c r="T109" s="224">
        <f t="shared" ref="T109:T115" si="126">D109-S109</f>
        <v>10.120000000000001</v>
      </c>
      <c r="U109" s="225">
        <f t="shared" ref="U109:U115" si="127">SUM(AJ108:AQ108)</f>
        <v>0</v>
      </c>
      <c r="V109" s="225">
        <f t="shared" ref="V109:V115" si="128">Y109*I109</f>
        <v>1518</v>
      </c>
      <c r="W109" s="225">
        <f t="shared" ref="W109:W115" si="129">SUM(U109:V109)</f>
        <v>1518</v>
      </c>
      <c r="X109" s="225">
        <f t="shared" ref="X109:X115" si="130">I109-W109</f>
        <v>13662</v>
      </c>
      <c r="Y109" s="168">
        <f t="shared" ref="Y109:Y115" si="131">SUM(AS109)</f>
        <v>0.1</v>
      </c>
      <c r="Z109" s="137"/>
      <c r="AA109" s="224">
        <v>12.65</v>
      </c>
      <c r="AB109" s="137"/>
      <c r="AC109" s="137"/>
      <c r="AD109" s="137"/>
      <c r="AE109" s="137"/>
      <c r="AF109" s="137"/>
      <c r="AG109" s="137"/>
      <c r="AH109" s="137"/>
      <c r="AI109" s="137"/>
      <c r="AJ109" s="169">
        <v>7590</v>
      </c>
      <c r="AK109" s="137"/>
      <c r="AL109" s="137"/>
      <c r="AM109" s="137"/>
      <c r="AN109" s="137"/>
      <c r="AO109" s="137"/>
      <c r="AP109" s="137"/>
      <c r="AQ109" s="137"/>
      <c r="AR109" s="137"/>
      <c r="AS109" s="138">
        <v>0.1</v>
      </c>
      <c r="AT109" s="499"/>
      <c r="AU109" s="139">
        <v>0.5</v>
      </c>
      <c r="AV109" s="138">
        <v>0.4</v>
      </c>
      <c r="AW109" s="139"/>
      <c r="AX109" s="139"/>
      <c r="AY109" s="139"/>
      <c r="AZ109" s="139"/>
      <c r="BA109" s="139"/>
      <c r="BB109" s="139"/>
    </row>
    <row r="110" spans="1:54" ht="12.75" customHeight="1" x14ac:dyDescent="0.25">
      <c r="A110" s="200"/>
      <c r="B110" s="204" t="s">
        <v>113</v>
      </c>
      <c r="C110" s="202">
        <v>15</v>
      </c>
      <c r="D110" s="203">
        <f t="shared" si="120"/>
        <v>16.5</v>
      </c>
      <c r="E110" s="203" t="s">
        <v>114</v>
      </c>
      <c r="F110" s="203">
        <f>'Material and Labor Cost'!$D$9</f>
        <v>126.50000000000001</v>
      </c>
      <c r="G110" s="203">
        <f>'Material and Labor Cost'!$F$9</f>
        <v>70</v>
      </c>
      <c r="H110" s="203">
        <f t="shared" si="121"/>
        <v>196.5</v>
      </c>
      <c r="I110" s="203">
        <f t="shared" si="122"/>
        <v>3242.25</v>
      </c>
      <c r="J110" s="137"/>
      <c r="K110" s="146"/>
      <c r="L110" s="137"/>
      <c r="M110" s="137"/>
      <c r="N110" s="137"/>
      <c r="O110" s="137"/>
      <c r="P110" s="137"/>
      <c r="Q110" s="223">
        <f t="shared" si="123"/>
        <v>8.25</v>
      </c>
      <c r="R110" s="224">
        <f t="shared" si="124"/>
        <v>1.6500000000000001</v>
      </c>
      <c r="S110" s="224">
        <f t="shared" si="125"/>
        <v>9.9</v>
      </c>
      <c r="T110" s="224">
        <f t="shared" si="126"/>
        <v>6.6</v>
      </c>
      <c r="U110" s="225">
        <f t="shared" si="127"/>
        <v>7590</v>
      </c>
      <c r="V110" s="225">
        <f t="shared" si="128"/>
        <v>324.22500000000002</v>
      </c>
      <c r="W110" s="225">
        <f t="shared" si="129"/>
        <v>7914.2250000000004</v>
      </c>
      <c r="X110" s="225">
        <f t="shared" si="130"/>
        <v>-4671.9750000000004</v>
      </c>
      <c r="Y110" s="168">
        <f t="shared" si="131"/>
        <v>0.1</v>
      </c>
      <c r="Z110" s="137"/>
      <c r="AA110" s="224">
        <v>8.25</v>
      </c>
      <c r="AB110" s="137"/>
      <c r="AC110" s="137"/>
      <c r="AD110" s="137"/>
      <c r="AE110" s="137"/>
      <c r="AF110" s="137"/>
      <c r="AG110" s="137"/>
      <c r="AH110" s="137"/>
      <c r="AI110" s="137"/>
      <c r="AJ110" s="169">
        <v>1621.125</v>
      </c>
      <c r="AK110" s="137"/>
      <c r="AL110" s="137"/>
      <c r="AM110" s="137"/>
      <c r="AN110" s="137"/>
      <c r="AO110" s="137"/>
      <c r="AP110" s="137"/>
      <c r="AQ110" s="137"/>
      <c r="AR110" s="137"/>
      <c r="AS110" s="138">
        <v>0.1</v>
      </c>
      <c r="AT110" s="499"/>
      <c r="AU110" s="139">
        <v>0.5</v>
      </c>
      <c r="AV110" s="138">
        <v>0.4</v>
      </c>
      <c r="AW110" s="139"/>
      <c r="AX110" s="139"/>
      <c r="AY110" s="139"/>
      <c r="AZ110" s="139"/>
      <c r="BA110" s="139"/>
      <c r="BB110" s="139"/>
    </row>
    <row r="111" spans="1:54" ht="12.75" customHeight="1" x14ac:dyDescent="0.25">
      <c r="A111" s="200"/>
      <c r="B111" s="204" t="s">
        <v>115</v>
      </c>
      <c r="C111" s="202">
        <v>30</v>
      </c>
      <c r="D111" s="203">
        <f t="shared" si="120"/>
        <v>33</v>
      </c>
      <c r="E111" s="203" t="s">
        <v>114</v>
      </c>
      <c r="F111" s="203">
        <f>'Material and Labor Cost'!$D$10</f>
        <v>126.50000000000001</v>
      </c>
      <c r="G111" s="203">
        <f>'Material and Labor Cost'!$F$10</f>
        <v>70</v>
      </c>
      <c r="H111" s="203">
        <f t="shared" si="121"/>
        <v>196.5</v>
      </c>
      <c r="I111" s="203">
        <f t="shared" si="122"/>
        <v>6484.5</v>
      </c>
      <c r="J111" s="137"/>
      <c r="K111" s="146"/>
      <c r="L111" s="137"/>
      <c r="M111" s="137"/>
      <c r="N111" s="137"/>
      <c r="O111" s="137"/>
      <c r="P111" s="137"/>
      <c r="Q111" s="223">
        <f t="shared" si="123"/>
        <v>16.5</v>
      </c>
      <c r="R111" s="224">
        <f t="shared" si="124"/>
        <v>3.3000000000000003</v>
      </c>
      <c r="S111" s="224">
        <f t="shared" si="125"/>
        <v>19.8</v>
      </c>
      <c r="T111" s="224">
        <f t="shared" si="126"/>
        <v>13.2</v>
      </c>
      <c r="U111" s="225">
        <f t="shared" si="127"/>
        <v>1621.125</v>
      </c>
      <c r="V111" s="225">
        <f t="shared" si="128"/>
        <v>648.45000000000005</v>
      </c>
      <c r="W111" s="225">
        <f t="shared" si="129"/>
        <v>2269.5749999999998</v>
      </c>
      <c r="X111" s="225">
        <f t="shared" si="130"/>
        <v>4214.9250000000002</v>
      </c>
      <c r="Y111" s="168">
        <f t="shared" si="131"/>
        <v>0.1</v>
      </c>
      <c r="Z111" s="137"/>
      <c r="AA111" s="224">
        <v>16.5</v>
      </c>
      <c r="AB111" s="137"/>
      <c r="AC111" s="137"/>
      <c r="AD111" s="137"/>
      <c r="AE111" s="137"/>
      <c r="AF111" s="137"/>
      <c r="AG111" s="137"/>
      <c r="AH111" s="137"/>
      <c r="AI111" s="137"/>
      <c r="AJ111" s="169">
        <v>3242.25</v>
      </c>
      <c r="AK111" s="137"/>
      <c r="AL111" s="137"/>
      <c r="AM111" s="137"/>
      <c r="AN111" s="137"/>
      <c r="AO111" s="137"/>
      <c r="AP111" s="137"/>
      <c r="AQ111" s="137"/>
      <c r="AR111" s="137"/>
      <c r="AS111" s="138">
        <v>0.1</v>
      </c>
      <c r="AT111" s="499"/>
      <c r="AU111" s="139">
        <v>0.5</v>
      </c>
      <c r="AV111" s="138">
        <v>0.4</v>
      </c>
      <c r="AW111" s="139"/>
      <c r="AX111" s="139"/>
      <c r="AY111" s="139"/>
      <c r="AZ111" s="139"/>
      <c r="BA111" s="139"/>
      <c r="BB111" s="139"/>
    </row>
    <row r="112" spans="1:54" ht="12.75" customHeight="1" x14ac:dyDescent="0.25">
      <c r="A112" s="200"/>
      <c r="B112" s="204" t="s">
        <v>117</v>
      </c>
      <c r="C112" s="202">
        <v>25</v>
      </c>
      <c r="D112" s="203">
        <f t="shared" ref="D112:D114" si="132">ROUNDUP(C112*$K$39,0)</f>
        <v>28</v>
      </c>
      <c r="E112" s="203" t="s">
        <v>118</v>
      </c>
      <c r="F112" s="203">
        <f>'Material and Labor Cost'!$D$11</f>
        <v>30.000000000000004</v>
      </c>
      <c r="G112" s="203">
        <f>'Material and Labor Cost'!$F$11</f>
        <v>20</v>
      </c>
      <c r="H112" s="203">
        <f t="shared" si="121"/>
        <v>50</v>
      </c>
      <c r="I112" s="203">
        <f t="shared" si="122"/>
        <v>1400</v>
      </c>
      <c r="J112" s="137"/>
      <c r="K112" s="146"/>
      <c r="L112" s="137"/>
      <c r="M112" s="137"/>
      <c r="N112" s="137"/>
      <c r="O112" s="137"/>
      <c r="P112" s="137"/>
      <c r="Q112" s="223">
        <f t="shared" si="123"/>
        <v>14</v>
      </c>
      <c r="R112" s="224">
        <f t="shared" si="124"/>
        <v>2.8000000000000003</v>
      </c>
      <c r="S112" s="224">
        <f t="shared" si="125"/>
        <v>16.8</v>
      </c>
      <c r="T112" s="224">
        <f t="shared" si="126"/>
        <v>11.2</v>
      </c>
      <c r="U112" s="225">
        <f t="shared" si="127"/>
        <v>3242.25</v>
      </c>
      <c r="V112" s="225">
        <f t="shared" si="128"/>
        <v>140</v>
      </c>
      <c r="W112" s="225">
        <f t="shared" si="129"/>
        <v>3382.25</v>
      </c>
      <c r="X112" s="225">
        <f t="shared" si="130"/>
        <v>-1982.25</v>
      </c>
      <c r="Y112" s="168">
        <f t="shared" si="131"/>
        <v>0.1</v>
      </c>
      <c r="Z112" s="137"/>
      <c r="AA112" s="224">
        <v>14</v>
      </c>
      <c r="AB112" s="137"/>
      <c r="AC112" s="137"/>
      <c r="AD112" s="137"/>
      <c r="AE112" s="137"/>
      <c r="AF112" s="137"/>
      <c r="AG112" s="137"/>
      <c r="AH112" s="137"/>
      <c r="AI112" s="137"/>
      <c r="AJ112" s="169">
        <v>700</v>
      </c>
      <c r="AK112" s="137"/>
      <c r="AL112" s="137"/>
      <c r="AM112" s="137"/>
      <c r="AN112" s="137"/>
      <c r="AO112" s="137"/>
      <c r="AP112" s="137"/>
      <c r="AQ112" s="137"/>
      <c r="AR112" s="137"/>
      <c r="AS112" s="138">
        <v>0.1</v>
      </c>
      <c r="AT112" s="499"/>
      <c r="AU112" s="139">
        <v>0.5</v>
      </c>
      <c r="AV112" s="138">
        <v>0.4</v>
      </c>
      <c r="AW112" s="139"/>
      <c r="AX112" s="139"/>
      <c r="AY112" s="139"/>
      <c r="AZ112" s="139"/>
      <c r="BA112" s="139"/>
      <c r="BB112" s="139"/>
    </row>
    <row r="113" spans="1:54" ht="12.75" customHeight="1" x14ac:dyDescent="0.25">
      <c r="A113" s="200"/>
      <c r="B113" s="204" t="s">
        <v>119</v>
      </c>
      <c r="C113" s="202">
        <v>54</v>
      </c>
      <c r="D113" s="203">
        <f t="shared" si="132"/>
        <v>60</v>
      </c>
      <c r="E113" s="203" t="s">
        <v>118</v>
      </c>
      <c r="F113" s="203">
        <f>'Material and Labor Cost'!$D$12</f>
        <v>10</v>
      </c>
      <c r="G113" s="203">
        <f>'Material and Labor Cost'!$F$12</f>
        <v>20</v>
      </c>
      <c r="H113" s="203">
        <f t="shared" si="121"/>
        <v>30</v>
      </c>
      <c r="I113" s="203">
        <f t="shared" si="122"/>
        <v>1800</v>
      </c>
      <c r="J113" s="137"/>
      <c r="K113" s="146"/>
      <c r="L113" s="137"/>
      <c r="M113" s="137"/>
      <c r="N113" s="137"/>
      <c r="O113" s="137"/>
      <c r="P113" s="137"/>
      <c r="Q113" s="223">
        <f t="shared" si="123"/>
        <v>30</v>
      </c>
      <c r="R113" s="224">
        <f t="shared" si="124"/>
        <v>6</v>
      </c>
      <c r="S113" s="224">
        <f t="shared" si="125"/>
        <v>36</v>
      </c>
      <c r="T113" s="224">
        <f t="shared" si="126"/>
        <v>24</v>
      </c>
      <c r="U113" s="225">
        <f t="shared" si="127"/>
        <v>700</v>
      </c>
      <c r="V113" s="225">
        <f t="shared" si="128"/>
        <v>180</v>
      </c>
      <c r="W113" s="225">
        <f t="shared" si="129"/>
        <v>880</v>
      </c>
      <c r="X113" s="225">
        <f t="shared" si="130"/>
        <v>920</v>
      </c>
      <c r="Y113" s="168">
        <f t="shared" si="131"/>
        <v>0.1</v>
      </c>
      <c r="Z113" s="137"/>
      <c r="AA113" s="224">
        <v>30</v>
      </c>
      <c r="AB113" s="137"/>
      <c r="AC113" s="137"/>
      <c r="AD113" s="137"/>
      <c r="AE113" s="137"/>
      <c r="AF113" s="137"/>
      <c r="AG113" s="137"/>
      <c r="AH113" s="137"/>
      <c r="AI113" s="137"/>
      <c r="AJ113" s="169">
        <v>900</v>
      </c>
      <c r="AK113" s="137"/>
      <c r="AL113" s="137"/>
      <c r="AM113" s="137"/>
      <c r="AN113" s="137"/>
      <c r="AO113" s="137"/>
      <c r="AP113" s="137"/>
      <c r="AQ113" s="137"/>
      <c r="AR113" s="137"/>
      <c r="AS113" s="138">
        <v>0.1</v>
      </c>
      <c r="AT113" s="499"/>
      <c r="AU113" s="139">
        <v>0.5</v>
      </c>
      <c r="AV113" s="138">
        <v>0.4</v>
      </c>
      <c r="AW113" s="139"/>
      <c r="AX113" s="139"/>
      <c r="AY113" s="139"/>
      <c r="AZ113" s="139"/>
      <c r="BA113" s="139"/>
      <c r="BB113" s="139"/>
    </row>
    <row r="114" spans="1:54" ht="12.75" customHeight="1" x14ac:dyDescent="0.25">
      <c r="A114" s="200"/>
      <c r="B114" s="204" t="s">
        <v>120</v>
      </c>
      <c r="C114" s="202">
        <v>35</v>
      </c>
      <c r="D114" s="203">
        <f t="shared" si="132"/>
        <v>39</v>
      </c>
      <c r="E114" s="203" t="s">
        <v>114</v>
      </c>
      <c r="F114" s="203">
        <f>'Material and Labor Cost'!$D$13</f>
        <v>110.00000000000001</v>
      </c>
      <c r="G114" s="203">
        <f>'Material and Labor Cost'!$F$13</f>
        <v>60.000000000000007</v>
      </c>
      <c r="H114" s="203">
        <f t="shared" si="121"/>
        <v>170.00000000000003</v>
      </c>
      <c r="I114" s="203">
        <f t="shared" si="122"/>
        <v>6630.0000000000009</v>
      </c>
      <c r="J114" s="137"/>
      <c r="K114" s="146"/>
      <c r="L114" s="137"/>
      <c r="M114" s="137"/>
      <c r="N114" s="137"/>
      <c r="O114" s="137"/>
      <c r="P114" s="137"/>
      <c r="Q114" s="223">
        <f t="shared" si="123"/>
        <v>19.5</v>
      </c>
      <c r="R114" s="224">
        <f t="shared" si="124"/>
        <v>3.9000000000000004</v>
      </c>
      <c r="S114" s="224">
        <f t="shared" si="125"/>
        <v>23.4</v>
      </c>
      <c r="T114" s="224">
        <f t="shared" si="126"/>
        <v>15.600000000000001</v>
      </c>
      <c r="U114" s="225">
        <f t="shared" si="127"/>
        <v>900</v>
      </c>
      <c r="V114" s="225">
        <f t="shared" si="128"/>
        <v>663.00000000000011</v>
      </c>
      <c r="W114" s="225">
        <f t="shared" si="129"/>
        <v>1563</v>
      </c>
      <c r="X114" s="225">
        <f t="shared" si="130"/>
        <v>5067.0000000000009</v>
      </c>
      <c r="Y114" s="168">
        <f t="shared" si="131"/>
        <v>0.1</v>
      </c>
      <c r="Z114" s="137"/>
      <c r="AA114" s="224">
        <v>19.5</v>
      </c>
      <c r="AB114" s="137"/>
      <c r="AC114" s="137"/>
      <c r="AD114" s="137"/>
      <c r="AE114" s="137"/>
      <c r="AF114" s="137"/>
      <c r="AG114" s="137"/>
      <c r="AH114" s="137"/>
      <c r="AI114" s="137"/>
      <c r="AJ114" s="169">
        <v>3315.0000000000005</v>
      </c>
      <c r="AK114" s="137"/>
      <c r="AL114" s="137"/>
      <c r="AM114" s="137"/>
      <c r="AN114" s="137"/>
      <c r="AO114" s="137"/>
      <c r="AP114" s="137"/>
      <c r="AQ114" s="137"/>
      <c r="AR114" s="137"/>
      <c r="AS114" s="138">
        <v>0.1</v>
      </c>
      <c r="AT114" s="499"/>
      <c r="AU114" s="139">
        <v>0.5</v>
      </c>
      <c r="AV114" s="138">
        <v>0.4</v>
      </c>
      <c r="AW114" s="139"/>
      <c r="AX114" s="139"/>
      <c r="AY114" s="139"/>
      <c r="AZ114" s="139"/>
      <c r="BA114" s="139"/>
      <c r="BB114" s="139"/>
    </row>
    <row r="115" spans="1:54" ht="12.75" customHeight="1" x14ac:dyDescent="0.25">
      <c r="A115" s="200"/>
      <c r="B115" s="204" t="s">
        <v>124</v>
      </c>
      <c r="C115" s="202">
        <f>C109*2</f>
        <v>46</v>
      </c>
      <c r="D115" s="203">
        <f>C115*$K$39</f>
        <v>50.6</v>
      </c>
      <c r="E115" s="203" t="s">
        <v>6</v>
      </c>
      <c r="F115" s="203">
        <f>'Material and Labor Cost'!$D$14</f>
        <v>250.00000000000003</v>
      </c>
      <c r="G115" s="203">
        <f>'Material and Labor Cost'!$F$14</f>
        <v>350</v>
      </c>
      <c r="H115" s="203">
        <f t="shared" si="121"/>
        <v>600</v>
      </c>
      <c r="I115" s="203">
        <f t="shared" si="122"/>
        <v>30360</v>
      </c>
      <c r="J115" s="137"/>
      <c r="K115" s="146"/>
      <c r="L115" s="137"/>
      <c r="M115" s="137"/>
      <c r="N115" s="137"/>
      <c r="O115" s="137"/>
      <c r="P115" s="137"/>
      <c r="Q115" s="223">
        <f t="shared" si="123"/>
        <v>25.3</v>
      </c>
      <c r="R115" s="224">
        <f t="shared" si="124"/>
        <v>5.0600000000000005</v>
      </c>
      <c r="S115" s="224">
        <f t="shared" si="125"/>
        <v>30.36</v>
      </c>
      <c r="T115" s="224">
        <f t="shared" si="126"/>
        <v>20.240000000000002</v>
      </c>
      <c r="U115" s="225">
        <f t="shared" si="127"/>
        <v>3315.0000000000005</v>
      </c>
      <c r="V115" s="225">
        <f t="shared" si="128"/>
        <v>3036</v>
      </c>
      <c r="W115" s="225">
        <f t="shared" si="129"/>
        <v>6351</v>
      </c>
      <c r="X115" s="225">
        <f t="shared" si="130"/>
        <v>24009</v>
      </c>
      <c r="Y115" s="168">
        <f t="shared" si="131"/>
        <v>0.1</v>
      </c>
      <c r="Z115" s="137"/>
      <c r="AA115" s="224">
        <v>25.3</v>
      </c>
      <c r="AB115" s="137"/>
      <c r="AC115" s="137"/>
      <c r="AD115" s="137"/>
      <c r="AE115" s="137"/>
      <c r="AF115" s="137"/>
      <c r="AG115" s="137"/>
      <c r="AH115" s="137"/>
      <c r="AI115" s="137"/>
      <c r="AJ115" s="169">
        <v>15180</v>
      </c>
      <c r="AK115" s="137"/>
      <c r="AL115" s="137"/>
      <c r="AM115" s="137"/>
      <c r="AN115" s="137"/>
      <c r="AO115" s="137"/>
      <c r="AP115" s="137"/>
      <c r="AQ115" s="137"/>
      <c r="AR115" s="137"/>
      <c r="AS115" s="138">
        <v>0.1</v>
      </c>
      <c r="AT115" s="499"/>
      <c r="AU115" s="139">
        <v>0.5</v>
      </c>
      <c r="AV115" s="138">
        <v>0.4</v>
      </c>
      <c r="AW115" s="139"/>
      <c r="AX115" s="139"/>
      <c r="AY115" s="139"/>
      <c r="AZ115" s="139"/>
      <c r="BA115" s="139"/>
      <c r="BB115" s="139"/>
    </row>
    <row r="116" spans="1:54" ht="12.75" customHeight="1" x14ac:dyDescent="0.25">
      <c r="A116" s="200"/>
      <c r="B116" s="204"/>
      <c r="C116" s="202"/>
      <c r="D116" s="203"/>
      <c r="E116" s="203"/>
      <c r="F116" s="203"/>
      <c r="G116" s="203"/>
      <c r="H116" s="203"/>
      <c r="I116" s="203"/>
      <c r="J116" s="137"/>
      <c r="K116" s="146"/>
      <c r="L116" s="137"/>
      <c r="M116" s="137"/>
      <c r="N116" s="137"/>
      <c r="O116" s="137"/>
      <c r="P116" s="137"/>
      <c r="Q116" s="165"/>
      <c r="R116" s="166"/>
      <c r="S116" s="166"/>
      <c r="T116" s="166"/>
      <c r="U116" s="167"/>
      <c r="V116" s="167"/>
      <c r="W116" s="167"/>
      <c r="X116" s="167"/>
      <c r="Y116" s="168"/>
      <c r="Z116" s="137"/>
      <c r="AA116" s="166"/>
      <c r="AB116" s="137"/>
      <c r="AC116" s="137"/>
      <c r="AD116" s="137"/>
      <c r="AE116" s="137"/>
      <c r="AF116" s="137"/>
      <c r="AG116" s="137"/>
      <c r="AH116" s="137"/>
      <c r="AI116" s="137"/>
      <c r="AJ116" s="169"/>
      <c r="AK116" s="137"/>
      <c r="AL116" s="137"/>
      <c r="AM116" s="137"/>
      <c r="AN116" s="137"/>
      <c r="AO116" s="137"/>
      <c r="AP116" s="137"/>
      <c r="AQ116" s="137"/>
      <c r="AR116" s="137"/>
      <c r="AS116" s="138"/>
      <c r="AT116" s="499"/>
      <c r="AU116" s="139"/>
      <c r="AV116" s="138"/>
      <c r="AW116" s="139"/>
      <c r="AX116" s="139"/>
      <c r="AY116" s="139"/>
      <c r="AZ116" s="139"/>
      <c r="BA116" s="139"/>
      <c r="BB116" s="139"/>
    </row>
    <row r="117" spans="1:54" ht="12.75" customHeight="1" x14ac:dyDescent="0.25">
      <c r="A117" s="207"/>
      <c r="B117" s="226" t="s">
        <v>139</v>
      </c>
      <c r="C117" s="209"/>
      <c r="D117" s="209"/>
      <c r="E117" s="209"/>
      <c r="F117" s="209"/>
      <c r="G117" s="209"/>
      <c r="H117" s="209"/>
      <c r="I117" s="209"/>
      <c r="J117" s="210"/>
      <c r="K117" s="212"/>
      <c r="L117" s="210"/>
      <c r="M117" s="210"/>
      <c r="N117" s="210"/>
      <c r="O117" s="210"/>
      <c r="P117" s="213"/>
      <c r="Q117" s="214"/>
      <c r="R117" s="215"/>
      <c r="S117" s="215"/>
      <c r="T117" s="215"/>
      <c r="U117" s="216"/>
      <c r="V117" s="216"/>
      <c r="W117" s="216"/>
      <c r="X117" s="216"/>
      <c r="Y117" s="217"/>
      <c r="Z117" s="218"/>
      <c r="AA117" s="215"/>
      <c r="AB117" s="210"/>
      <c r="AC117" s="210"/>
      <c r="AD117" s="211"/>
      <c r="AE117" s="211"/>
      <c r="AF117" s="211"/>
      <c r="AG117" s="211"/>
      <c r="AH117" s="211"/>
      <c r="AI117" s="211"/>
      <c r="AJ117" s="219"/>
      <c r="AK117" s="211"/>
      <c r="AL117" s="211"/>
      <c r="AM117" s="211"/>
      <c r="AN117" s="211"/>
      <c r="AO117" s="211"/>
      <c r="AP117" s="211"/>
      <c r="AQ117" s="211"/>
      <c r="AR117" s="211"/>
      <c r="AS117" s="138"/>
      <c r="AT117" s="499"/>
      <c r="AU117" s="220"/>
      <c r="AV117" s="138"/>
      <c r="AW117" s="220"/>
      <c r="AX117" s="220"/>
      <c r="AY117" s="220"/>
      <c r="AZ117" s="220"/>
      <c r="BA117" s="220"/>
      <c r="BB117" s="220"/>
    </row>
    <row r="118" spans="1:54" ht="12.75" customHeight="1" x14ac:dyDescent="0.25">
      <c r="A118" s="200"/>
      <c r="B118" s="204" t="s">
        <v>126</v>
      </c>
      <c r="C118" s="202">
        <v>24.5</v>
      </c>
      <c r="D118" s="203">
        <f t="shared" ref="D118:D120" si="133">C118*$K$39</f>
        <v>26.950000000000003</v>
      </c>
      <c r="E118" s="203" t="s">
        <v>6</v>
      </c>
      <c r="F118" s="203">
        <f>'Material and Labor Cost'!$D$15</f>
        <v>250.00000000000003</v>
      </c>
      <c r="G118" s="203">
        <f>'Material and Labor Cost'!$F$15</f>
        <v>350</v>
      </c>
      <c r="H118" s="203">
        <f t="shared" ref="H118:H124" si="134">SUM(F118:G118)</f>
        <v>600</v>
      </c>
      <c r="I118" s="203">
        <f t="shared" ref="I118:I124" si="135">H118*D118</f>
        <v>16170.000000000002</v>
      </c>
      <c r="J118" s="137"/>
      <c r="K118" s="146"/>
      <c r="L118" s="137"/>
      <c r="M118" s="137"/>
      <c r="N118" s="137"/>
      <c r="O118" s="137"/>
      <c r="P118" s="137"/>
      <c r="Q118" s="223">
        <f t="shared" ref="Q118:Q124" si="136">SUM(AA118:AH118)</f>
        <v>10.780000000000001</v>
      </c>
      <c r="R118" s="224">
        <f t="shared" ref="R118:R124" si="137">Y118*D118</f>
        <v>0</v>
      </c>
      <c r="S118" s="224">
        <f t="shared" ref="S118:S124" si="138">SUM(Q118:R118)</f>
        <v>10.780000000000001</v>
      </c>
      <c r="T118" s="224">
        <f t="shared" ref="T118:T124" si="139">D118-S118</f>
        <v>16.170000000000002</v>
      </c>
      <c r="U118" s="225">
        <f t="shared" ref="U118:U124" si="140">SUM(AJ117:AQ117)</f>
        <v>0</v>
      </c>
      <c r="V118" s="225">
        <f t="shared" ref="V118:V124" si="141">Y118*I118</f>
        <v>0</v>
      </c>
      <c r="W118" s="225">
        <f t="shared" ref="W118:W124" si="142">SUM(U118:V118)</f>
        <v>0</v>
      </c>
      <c r="X118" s="225">
        <f t="shared" ref="X118:X124" si="143">I118-W118</f>
        <v>16170.000000000002</v>
      </c>
      <c r="Y118" s="168">
        <f t="shared" ref="Y118:Y124" si="144">SUM(AS118)</f>
        <v>0</v>
      </c>
      <c r="Z118" s="137"/>
      <c r="AA118" s="224">
        <v>10.780000000000001</v>
      </c>
      <c r="AB118" s="137"/>
      <c r="AC118" s="137"/>
      <c r="AD118" s="137"/>
      <c r="AE118" s="137"/>
      <c r="AF118" s="137"/>
      <c r="AG118" s="137"/>
      <c r="AH118" s="137"/>
      <c r="AI118" s="137"/>
      <c r="AJ118" s="169">
        <v>6468.0000000000009</v>
      </c>
      <c r="AK118" s="137"/>
      <c r="AL118" s="137"/>
      <c r="AM118" s="137"/>
      <c r="AN118" s="137"/>
      <c r="AO118" s="137"/>
      <c r="AP118" s="137"/>
      <c r="AQ118" s="137"/>
      <c r="AR118" s="137"/>
      <c r="AS118" s="138">
        <v>0</v>
      </c>
      <c r="AT118" s="499"/>
      <c r="AU118" s="139">
        <v>0.4</v>
      </c>
      <c r="AV118" s="138">
        <v>0.6</v>
      </c>
      <c r="AW118" s="139"/>
      <c r="AX118" s="139"/>
      <c r="AY118" s="139"/>
      <c r="AZ118" s="139"/>
      <c r="BA118" s="139"/>
      <c r="BB118" s="139"/>
    </row>
    <row r="119" spans="1:54" ht="12.75" customHeight="1" x14ac:dyDescent="0.25">
      <c r="A119" s="200"/>
      <c r="B119" s="204" t="s">
        <v>113</v>
      </c>
      <c r="C119" s="202">
        <v>28.125</v>
      </c>
      <c r="D119" s="203">
        <f t="shared" si="133"/>
        <v>30.937500000000004</v>
      </c>
      <c r="E119" s="203" t="s">
        <v>114</v>
      </c>
      <c r="F119" s="203">
        <f>'Material and Labor Cost'!$D$9</f>
        <v>126.50000000000001</v>
      </c>
      <c r="G119" s="203">
        <f>'Material and Labor Cost'!$F$9</f>
        <v>70</v>
      </c>
      <c r="H119" s="203">
        <f t="shared" si="134"/>
        <v>196.5</v>
      </c>
      <c r="I119" s="203">
        <f t="shared" si="135"/>
        <v>6079.2187500000009</v>
      </c>
      <c r="J119" s="137"/>
      <c r="K119" s="146"/>
      <c r="L119" s="137"/>
      <c r="M119" s="137"/>
      <c r="N119" s="137"/>
      <c r="O119" s="137"/>
      <c r="P119" s="137"/>
      <c r="Q119" s="223">
        <f t="shared" si="136"/>
        <v>12.375000000000002</v>
      </c>
      <c r="R119" s="224">
        <f t="shared" si="137"/>
        <v>0</v>
      </c>
      <c r="S119" s="224">
        <f t="shared" si="138"/>
        <v>12.375000000000002</v>
      </c>
      <c r="T119" s="224">
        <f t="shared" si="139"/>
        <v>18.5625</v>
      </c>
      <c r="U119" s="225">
        <f t="shared" si="140"/>
        <v>6468.0000000000009</v>
      </c>
      <c r="V119" s="225">
        <f t="shared" si="141"/>
        <v>0</v>
      </c>
      <c r="W119" s="225">
        <f t="shared" si="142"/>
        <v>6468.0000000000009</v>
      </c>
      <c r="X119" s="225">
        <f t="shared" si="143"/>
        <v>-388.78125</v>
      </c>
      <c r="Y119" s="168">
        <f t="shared" si="144"/>
        <v>0</v>
      </c>
      <c r="Z119" s="137"/>
      <c r="AA119" s="224">
        <v>12.375000000000002</v>
      </c>
      <c r="AB119" s="137"/>
      <c r="AC119" s="137"/>
      <c r="AD119" s="137"/>
      <c r="AE119" s="137"/>
      <c r="AF119" s="137"/>
      <c r="AG119" s="137"/>
      <c r="AH119" s="137"/>
      <c r="AI119" s="137"/>
      <c r="AJ119" s="169">
        <v>2431.6875000000005</v>
      </c>
      <c r="AK119" s="137"/>
      <c r="AL119" s="137"/>
      <c r="AM119" s="137"/>
      <c r="AN119" s="137"/>
      <c r="AO119" s="137"/>
      <c r="AP119" s="137"/>
      <c r="AQ119" s="137"/>
      <c r="AR119" s="137"/>
      <c r="AS119" s="138">
        <v>0</v>
      </c>
      <c r="AT119" s="499"/>
      <c r="AU119" s="139">
        <v>0.4</v>
      </c>
      <c r="AV119" s="138">
        <v>0.6</v>
      </c>
      <c r="AW119" s="139"/>
      <c r="AX119" s="139"/>
      <c r="AY119" s="139"/>
      <c r="AZ119" s="139"/>
      <c r="BA119" s="139"/>
      <c r="BB119" s="139"/>
    </row>
    <row r="120" spans="1:54" ht="12.75" customHeight="1" x14ac:dyDescent="0.25">
      <c r="A120" s="200"/>
      <c r="B120" s="204" t="s">
        <v>115</v>
      </c>
      <c r="C120" s="202">
        <v>45.31666666666667</v>
      </c>
      <c r="D120" s="203">
        <f t="shared" si="133"/>
        <v>49.848333333333343</v>
      </c>
      <c r="E120" s="203" t="s">
        <v>114</v>
      </c>
      <c r="F120" s="203">
        <f>'Material and Labor Cost'!$D$10</f>
        <v>126.50000000000001</v>
      </c>
      <c r="G120" s="203">
        <f>'Material and Labor Cost'!$F$10</f>
        <v>70</v>
      </c>
      <c r="H120" s="203">
        <f t="shared" si="134"/>
        <v>196.5</v>
      </c>
      <c r="I120" s="203">
        <f t="shared" si="135"/>
        <v>9795.197500000002</v>
      </c>
      <c r="J120" s="137"/>
      <c r="K120" s="146"/>
      <c r="L120" s="137"/>
      <c r="M120" s="137"/>
      <c r="N120" s="137"/>
      <c r="O120" s="137"/>
      <c r="P120" s="137"/>
      <c r="Q120" s="223">
        <f t="shared" si="136"/>
        <v>19.939333333333337</v>
      </c>
      <c r="R120" s="224">
        <f t="shared" si="137"/>
        <v>0</v>
      </c>
      <c r="S120" s="224">
        <f t="shared" si="138"/>
        <v>19.939333333333337</v>
      </c>
      <c r="T120" s="224">
        <f t="shared" si="139"/>
        <v>29.909000000000006</v>
      </c>
      <c r="U120" s="225">
        <f t="shared" si="140"/>
        <v>2431.6875000000005</v>
      </c>
      <c r="V120" s="225">
        <f t="shared" si="141"/>
        <v>0</v>
      </c>
      <c r="W120" s="225">
        <f t="shared" si="142"/>
        <v>2431.6875000000005</v>
      </c>
      <c r="X120" s="225">
        <f t="shared" si="143"/>
        <v>7363.510000000002</v>
      </c>
      <c r="Y120" s="168">
        <f t="shared" si="144"/>
        <v>0</v>
      </c>
      <c r="Z120" s="137"/>
      <c r="AA120" s="224">
        <v>19.939333333333337</v>
      </c>
      <c r="AB120" s="137"/>
      <c r="AC120" s="137"/>
      <c r="AD120" s="137"/>
      <c r="AE120" s="137"/>
      <c r="AF120" s="137"/>
      <c r="AG120" s="137"/>
      <c r="AH120" s="137"/>
      <c r="AI120" s="137"/>
      <c r="AJ120" s="169">
        <v>3918.0790000000011</v>
      </c>
      <c r="AK120" s="137"/>
      <c r="AL120" s="137"/>
      <c r="AM120" s="137"/>
      <c r="AN120" s="137"/>
      <c r="AO120" s="137"/>
      <c r="AP120" s="137"/>
      <c r="AQ120" s="137"/>
      <c r="AR120" s="137"/>
      <c r="AS120" s="138">
        <v>0</v>
      </c>
      <c r="AT120" s="499"/>
      <c r="AU120" s="139">
        <v>0.4</v>
      </c>
      <c r="AV120" s="138">
        <v>0.6</v>
      </c>
      <c r="AW120" s="139"/>
      <c r="AX120" s="139"/>
      <c r="AY120" s="139"/>
      <c r="AZ120" s="139"/>
      <c r="BA120" s="139"/>
      <c r="BB120" s="139"/>
    </row>
    <row r="121" spans="1:54" ht="12.75" customHeight="1" x14ac:dyDescent="0.25">
      <c r="A121" s="200"/>
      <c r="B121" s="204" t="s">
        <v>117</v>
      </c>
      <c r="C121" s="202">
        <v>9</v>
      </c>
      <c r="D121" s="203">
        <f t="shared" ref="D121:D122" si="145">ROUNDUP(C121*$K$39,0)</f>
        <v>10</v>
      </c>
      <c r="E121" s="203" t="s">
        <v>118</v>
      </c>
      <c r="F121" s="203">
        <f>'Material and Labor Cost'!$D$11</f>
        <v>30.000000000000004</v>
      </c>
      <c r="G121" s="203">
        <f>'Material and Labor Cost'!$F$11</f>
        <v>20</v>
      </c>
      <c r="H121" s="203">
        <f t="shared" si="134"/>
        <v>50</v>
      </c>
      <c r="I121" s="203">
        <f t="shared" si="135"/>
        <v>500</v>
      </c>
      <c r="J121" s="137"/>
      <c r="K121" s="146"/>
      <c r="L121" s="137"/>
      <c r="M121" s="137"/>
      <c r="N121" s="137"/>
      <c r="O121" s="137"/>
      <c r="P121" s="137"/>
      <c r="Q121" s="223">
        <f t="shared" si="136"/>
        <v>4</v>
      </c>
      <c r="R121" s="224">
        <f t="shared" si="137"/>
        <v>0</v>
      </c>
      <c r="S121" s="224">
        <f t="shared" si="138"/>
        <v>4</v>
      </c>
      <c r="T121" s="224">
        <f t="shared" si="139"/>
        <v>6</v>
      </c>
      <c r="U121" s="225">
        <f t="shared" si="140"/>
        <v>3918.0790000000011</v>
      </c>
      <c r="V121" s="225">
        <f t="shared" si="141"/>
        <v>0</v>
      </c>
      <c r="W121" s="225">
        <f t="shared" si="142"/>
        <v>3918.0790000000011</v>
      </c>
      <c r="X121" s="225">
        <f t="shared" si="143"/>
        <v>-3418.0790000000011</v>
      </c>
      <c r="Y121" s="168">
        <f t="shared" si="144"/>
        <v>0</v>
      </c>
      <c r="Z121" s="137"/>
      <c r="AA121" s="224">
        <v>4</v>
      </c>
      <c r="AB121" s="137"/>
      <c r="AC121" s="137"/>
      <c r="AD121" s="137"/>
      <c r="AE121" s="137"/>
      <c r="AF121" s="137"/>
      <c r="AG121" s="137"/>
      <c r="AH121" s="137"/>
      <c r="AI121" s="137"/>
      <c r="AJ121" s="169">
        <v>200</v>
      </c>
      <c r="AK121" s="137"/>
      <c r="AL121" s="137"/>
      <c r="AM121" s="137"/>
      <c r="AN121" s="137"/>
      <c r="AO121" s="137"/>
      <c r="AP121" s="137"/>
      <c r="AQ121" s="137"/>
      <c r="AR121" s="137"/>
      <c r="AS121" s="138">
        <v>0</v>
      </c>
      <c r="AT121" s="499"/>
      <c r="AU121" s="139">
        <v>0.4</v>
      </c>
      <c r="AV121" s="138">
        <v>0.6</v>
      </c>
      <c r="AW121" s="139"/>
      <c r="AX121" s="139"/>
      <c r="AY121" s="139"/>
      <c r="AZ121" s="139"/>
      <c r="BA121" s="139"/>
      <c r="BB121" s="139"/>
    </row>
    <row r="122" spans="1:54" ht="12.75" customHeight="1" x14ac:dyDescent="0.25">
      <c r="A122" s="200"/>
      <c r="B122" s="204" t="s">
        <v>119</v>
      </c>
      <c r="C122" s="202">
        <v>136</v>
      </c>
      <c r="D122" s="203">
        <f t="shared" si="145"/>
        <v>150</v>
      </c>
      <c r="E122" s="203" t="s">
        <v>118</v>
      </c>
      <c r="F122" s="203">
        <f>'Material and Labor Cost'!$D$12</f>
        <v>10</v>
      </c>
      <c r="G122" s="203">
        <f>'Material and Labor Cost'!$F$12</f>
        <v>20</v>
      </c>
      <c r="H122" s="203">
        <f t="shared" si="134"/>
        <v>30</v>
      </c>
      <c r="I122" s="203">
        <f t="shared" si="135"/>
        <v>4500</v>
      </c>
      <c r="J122" s="137"/>
      <c r="K122" s="146"/>
      <c r="L122" s="137"/>
      <c r="M122" s="137"/>
      <c r="N122" s="137"/>
      <c r="O122" s="137"/>
      <c r="P122" s="137"/>
      <c r="Q122" s="223">
        <f t="shared" si="136"/>
        <v>60</v>
      </c>
      <c r="R122" s="224">
        <f t="shared" si="137"/>
        <v>0</v>
      </c>
      <c r="S122" s="224">
        <f t="shared" si="138"/>
        <v>60</v>
      </c>
      <c r="T122" s="224">
        <f t="shared" si="139"/>
        <v>90</v>
      </c>
      <c r="U122" s="225">
        <f t="shared" si="140"/>
        <v>200</v>
      </c>
      <c r="V122" s="225">
        <f t="shared" si="141"/>
        <v>0</v>
      </c>
      <c r="W122" s="225">
        <f t="shared" si="142"/>
        <v>200</v>
      </c>
      <c r="X122" s="225">
        <f t="shared" si="143"/>
        <v>4300</v>
      </c>
      <c r="Y122" s="168">
        <f t="shared" si="144"/>
        <v>0</v>
      </c>
      <c r="Z122" s="137"/>
      <c r="AA122" s="224">
        <v>60</v>
      </c>
      <c r="AB122" s="137"/>
      <c r="AC122" s="137"/>
      <c r="AD122" s="137"/>
      <c r="AE122" s="137"/>
      <c r="AF122" s="137"/>
      <c r="AG122" s="137"/>
      <c r="AH122" s="137"/>
      <c r="AI122" s="137"/>
      <c r="AJ122" s="169">
        <v>1800</v>
      </c>
      <c r="AK122" s="137"/>
      <c r="AL122" s="137"/>
      <c r="AM122" s="137"/>
      <c r="AN122" s="137"/>
      <c r="AO122" s="137"/>
      <c r="AP122" s="137"/>
      <c r="AQ122" s="137"/>
      <c r="AR122" s="137"/>
      <c r="AS122" s="138">
        <v>0</v>
      </c>
      <c r="AT122" s="499"/>
      <c r="AU122" s="139">
        <v>0.4</v>
      </c>
      <c r="AV122" s="138">
        <v>0.6</v>
      </c>
      <c r="AW122" s="139"/>
      <c r="AX122" s="139"/>
      <c r="AY122" s="139"/>
      <c r="AZ122" s="139"/>
      <c r="BA122" s="139"/>
      <c r="BB122" s="139"/>
    </row>
    <row r="123" spans="1:54" ht="12.75" customHeight="1" x14ac:dyDescent="0.25">
      <c r="A123" s="200"/>
      <c r="B123" s="204" t="s">
        <v>127</v>
      </c>
      <c r="C123" s="202">
        <v>1.26</v>
      </c>
      <c r="D123" s="203">
        <f t="shared" ref="D123:D124" si="146">C123*$K$39</f>
        <v>1.3860000000000001</v>
      </c>
      <c r="E123" s="203" t="s">
        <v>114</v>
      </c>
      <c r="F123" s="203">
        <f>'Material and Labor Cost'!$D$16</f>
        <v>110.00000000000001</v>
      </c>
      <c r="G123" s="203">
        <f>'Material and Labor Cost'!$F$16</f>
        <v>20</v>
      </c>
      <c r="H123" s="203">
        <f t="shared" si="134"/>
        <v>130</v>
      </c>
      <c r="I123" s="203">
        <f t="shared" si="135"/>
        <v>180.18</v>
      </c>
      <c r="J123" s="137"/>
      <c r="K123" s="146"/>
      <c r="L123" s="137"/>
      <c r="M123" s="137"/>
      <c r="N123" s="137"/>
      <c r="O123" s="137"/>
      <c r="P123" s="137"/>
      <c r="Q123" s="223">
        <f t="shared" si="136"/>
        <v>0.55440000000000011</v>
      </c>
      <c r="R123" s="224">
        <f t="shared" si="137"/>
        <v>0</v>
      </c>
      <c r="S123" s="224">
        <f t="shared" si="138"/>
        <v>0.55440000000000011</v>
      </c>
      <c r="T123" s="224">
        <f t="shared" si="139"/>
        <v>0.83160000000000001</v>
      </c>
      <c r="U123" s="225">
        <f t="shared" si="140"/>
        <v>1800</v>
      </c>
      <c r="V123" s="225">
        <f t="shared" si="141"/>
        <v>0</v>
      </c>
      <c r="W123" s="225">
        <f t="shared" si="142"/>
        <v>1800</v>
      </c>
      <c r="X123" s="225">
        <f t="shared" si="143"/>
        <v>-1619.82</v>
      </c>
      <c r="Y123" s="168">
        <f t="shared" si="144"/>
        <v>0</v>
      </c>
      <c r="Z123" s="137"/>
      <c r="AA123" s="224">
        <v>0.55440000000000011</v>
      </c>
      <c r="AB123" s="137"/>
      <c r="AC123" s="137"/>
      <c r="AD123" s="137"/>
      <c r="AE123" s="137"/>
      <c r="AF123" s="137"/>
      <c r="AG123" s="137"/>
      <c r="AH123" s="137"/>
      <c r="AI123" s="137"/>
      <c r="AJ123" s="169">
        <v>72.072000000000003</v>
      </c>
      <c r="AK123" s="137"/>
      <c r="AL123" s="137"/>
      <c r="AM123" s="137"/>
      <c r="AN123" s="137"/>
      <c r="AO123" s="137"/>
      <c r="AP123" s="137"/>
      <c r="AQ123" s="137"/>
      <c r="AR123" s="137"/>
      <c r="AS123" s="138">
        <v>0</v>
      </c>
      <c r="AT123" s="499"/>
      <c r="AU123" s="139">
        <v>0.4</v>
      </c>
      <c r="AV123" s="138">
        <v>0.6</v>
      </c>
      <c r="AW123" s="139"/>
      <c r="AX123" s="139"/>
      <c r="AY123" s="139"/>
      <c r="AZ123" s="139"/>
      <c r="BA123" s="139"/>
      <c r="BB123" s="139"/>
    </row>
    <row r="124" spans="1:54" ht="12.75" customHeight="1" x14ac:dyDescent="0.25">
      <c r="A124" s="200"/>
      <c r="B124" s="204" t="s">
        <v>128</v>
      </c>
      <c r="C124" s="202">
        <v>48.4</v>
      </c>
      <c r="D124" s="203">
        <f t="shared" si="146"/>
        <v>53.24</v>
      </c>
      <c r="E124" s="203" t="s">
        <v>114</v>
      </c>
      <c r="F124" s="203">
        <f>'Material and Labor Cost'!$D$17</f>
        <v>110.00000000000001</v>
      </c>
      <c r="G124" s="203">
        <f>'Material and Labor Cost'!$F$17</f>
        <v>20</v>
      </c>
      <c r="H124" s="203">
        <f t="shared" si="134"/>
        <v>130</v>
      </c>
      <c r="I124" s="203">
        <f t="shared" si="135"/>
        <v>6921.2</v>
      </c>
      <c r="J124" s="137"/>
      <c r="K124" s="146"/>
      <c r="L124" s="137"/>
      <c r="M124" s="137"/>
      <c r="N124" s="137"/>
      <c r="O124" s="137"/>
      <c r="P124" s="137"/>
      <c r="Q124" s="223">
        <f t="shared" si="136"/>
        <v>21.296000000000003</v>
      </c>
      <c r="R124" s="224">
        <f t="shared" si="137"/>
        <v>0</v>
      </c>
      <c r="S124" s="224">
        <f t="shared" si="138"/>
        <v>21.296000000000003</v>
      </c>
      <c r="T124" s="224">
        <f t="shared" si="139"/>
        <v>31.943999999999999</v>
      </c>
      <c r="U124" s="225">
        <f t="shared" si="140"/>
        <v>72.072000000000003</v>
      </c>
      <c r="V124" s="225">
        <f t="shared" si="141"/>
        <v>0</v>
      </c>
      <c r="W124" s="225">
        <f t="shared" si="142"/>
        <v>72.072000000000003</v>
      </c>
      <c r="X124" s="225">
        <f t="shared" si="143"/>
        <v>6849.1279999999997</v>
      </c>
      <c r="Y124" s="168">
        <f t="shared" si="144"/>
        <v>0</v>
      </c>
      <c r="Z124" s="137"/>
      <c r="AA124" s="224">
        <v>21.296000000000003</v>
      </c>
      <c r="AB124" s="137"/>
      <c r="AC124" s="137"/>
      <c r="AD124" s="137"/>
      <c r="AE124" s="137"/>
      <c r="AF124" s="137"/>
      <c r="AG124" s="137"/>
      <c r="AH124" s="137"/>
      <c r="AI124" s="137"/>
      <c r="AJ124" s="169">
        <v>2768.48</v>
      </c>
      <c r="AK124" s="137"/>
      <c r="AL124" s="137"/>
      <c r="AM124" s="137"/>
      <c r="AN124" s="137"/>
      <c r="AO124" s="137"/>
      <c r="AP124" s="137"/>
      <c r="AQ124" s="137"/>
      <c r="AR124" s="137"/>
      <c r="AS124" s="138">
        <v>0</v>
      </c>
      <c r="AT124" s="499"/>
      <c r="AU124" s="139">
        <v>0.4</v>
      </c>
      <c r="AV124" s="138">
        <v>0.6</v>
      </c>
      <c r="AW124" s="139"/>
      <c r="AX124" s="139"/>
      <c r="AY124" s="139"/>
      <c r="AZ124" s="139"/>
      <c r="BA124" s="139"/>
      <c r="BB124" s="139"/>
    </row>
    <row r="125" spans="1:54" ht="12.75" customHeight="1" x14ac:dyDescent="0.25">
      <c r="A125" s="200"/>
      <c r="B125" s="204"/>
      <c r="C125" s="202"/>
      <c r="D125" s="203"/>
      <c r="E125" s="203"/>
      <c r="F125" s="203"/>
      <c r="G125" s="203"/>
      <c r="H125" s="203"/>
      <c r="I125" s="203"/>
      <c r="J125" s="137"/>
      <c r="K125" s="146"/>
      <c r="L125" s="137"/>
      <c r="M125" s="137"/>
      <c r="N125" s="137"/>
      <c r="O125" s="137"/>
      <c r="P125" s="137"/>
      <c r="Q125" s="165"/>
      <c r="R125" s="166"/>
      <c r="S125" s="166"/>
      <c r="T125" s="166"/>
      <c r="U125" s="167"/>
      <c r="V125" s="167"/>
      <c r="W125" s="167"/>
      <c r="X125" s="167"/>
      <c r="Y125" s="168"/>
      <c r="Z125" s="137"/>
      <c r="AA125" s="166"/>
      <c r="AB125" s="137"/>
      <c r="AC125" s="137"/>
      <c r="AD125" s="137"/>
      <c r="AE125" s="137"/>
      <c r="AF125" s="137"/>
      <c r="AG125" s="137"/>
      <c r="AH125" s="137"/>
      <c r="AI125" s="137"/>
      <c r="AJ125" s="169"/>
      <c r="AK125" s="137"/>
      <c r="AL125" s="137"/>
      <c r="AM125" s="137"/>
      <c r="AN125" s="137"/>
      <c r="AO125" s="137"/>
      <c r="AP125" s="137"/>
      <c r="AQ125" s="137"/>
      <c r="AR125" s="137"/>
      <c r="AS125" s="138"/>
      <c r="AT125" s="499"/>
      <c r="AU125" s="139"/>
      <c r="AV125" s="138"/>
      <c r="AW125" s="139"/>
      <c r="AX125" s="139"/>
      <c r="AY125" s="139"/>
      <c r="AZ125" s="139"/>
      <c r="BA125" s="139"/>
      <c r="BB125" s="139"/>
    </row>
    <row r="126" spans="1:54" ht="12.75" customHeight="1" x14ac:dyDescent="0.25">
      <c r="A126" s="200"/>
      <c r="B126" s="204" t="s">
        <v>129</v>
      </c>
      <c r="C126" s="202"/>
      <c r="D126" s="203">
        <v>1</v>
      </c>
      <c r="E126" s="203" t="s">
        <v>94</v>
      </c>
      <c r="F126" s="203"/>
      <c r="G126" s="203"/>
      <c r="H126" s="203"/>
      <c r="I126" s="203">
        <f>SUM(I66:I124)*$K$44</f>
        <v>14131.674788750002</v>
      </c>
      <c r="J126" s="137"/>
      <c r="K126" s="146"/>
      <c r="L126" s="137"/>
      <c r="M126" s="137"/>
      <c r="N126" s="137"/>
      <c r="O126" s="137"/>
      <c r="P126" s="137"/>
      <c r="Q126" s="223">
        <f>SUM(AA126:AH126)</f>
        <v>0.2</v>
      </c>
      <c r="R126" s="224">
        <f>Y126*D126</f>
        <v>0.4</v>
      </c>
      <c r="S126" s="224">
        <f>SUM(Q126:R126)</f>
        <v>0.60000000000000009</v>
      </c>
      <c r="T126" s="224">
        <f>D126-S126</f>
        <v>0.39999999999999991</v>
      </c>
      <c r="U126" s="225">
        <f>SUM(AJ125:AQ125)</f>
        <v>0</v>
      </c>
      <c r="V126" s="225">
        <f>Y126*I126</f>
        <v>5652.6699155000015</v>
      </c>
      <c r="W126" s="225">
        <f>SUM(U126:V126)</f>
        <v>5652.6699155000015</v>
      </c>
      <c r="X126" s="225">
        <f>I126-W126</f>
        <v>8479.0048732499999</v>
      </c>
      <c r="Y126" s="168">
        <f>SUM(AS126)</f>
        <v>0.4</v>
      </c>
      <c r="Z126" s="137"/>
      <c r="AA126" s="224">
        <v>0.2</v>
      </c>
      <c r="AB126" s="137"/>
      <c r="AC126" s="137"/>
      <c r="AD126" s="137"/>
      <c r="AE126" s="137"/>
      <c r="AF126" s="137"/>
      <c r="AG126" s="137"/>
      <c r="AH126" s="137"/>
      <c r="AI126" s="137"/>
      <c r="AJ126" s="169">
        <v>2826.3349577500007</v>
      </c>
      <c r="AK126" s="137"/>
      <c r="AL126" s="137"/>
      <c r="AM126" s="137"/>
      <c r="AN126" s="137"/>
      <c r="AO126" s="137"/>
      <c r="AP126" s="137"/>
      <c r="AQ126" s="137"/>
      <c r="AR126" s="137"/>
      <c r="AS126" s="138">
        <v>0.4</v>
      </c>
      <c r="AT126" s="499"/>
      <c r="AU126" s="139">
        <v>0.2</v>
      </c>
      <c r="AV126" s="138">
        <v>0.3</v>
      </c>
      <c r="AW126" s="139"/>
      <c r="AX126" s="139"/>
      <c r="AY126" s="139"/>
      <c r="AZ126" s="139"/>
      <c r="BA126" s="139"/>
      <c r="BB126" s="139"/>
    </row>
    <row r="127" spans="1:54" ht="12.75" customHeight="1" x14ac:dyDescent="0.25">
      <c r="A127" s="207"/>
      <c r="B127" s="500" t="s">
        <v>140</v>
      </c>
      <c r="C127" s="501"/>
      <c r="D127" s="501"/>
      <c r="E127" s="501"/>
      <c r="F127" s="501"/>
      <c r="G127" s="501"/>
      <c r="H127" s="502"/>
      <c r="I127" s="172">
        <f>SUM(I65:I126)</f>
        <v>296765.17056375003</v>
      </c>
      <c r="J127" s="210"/>
      <c r="K127" s="212"/>
      <c r="L127" s="210"/>
      <c r="M127" s="210"/>
      <c r="N127" s="210"/>
      <c r="O127" s="210"/>
      <c r="P127" s="213"/>
      <c r="Q127" s="176">
        <f t="shared" ref="Q127:X127" si="147">SUM(Q66:Q126)</f>
        <v>595.33809833333351</v>
      </c>
      <c r="R127" s="177">
        <f t="shared" si="147"/>
        <v>92.705400000000026</v>
      </c>
      <c r="S127" s="177">
        <f t="shared" si="147"/>
        <v>688.04349833333345</v>
      </c>
      <c r="T127" s="177">
        <f t="shared" si="147"/>
        <v>525.89418499999999</v>
      </c>
      <c r="U127" s="178">
        <f t="shared" si="147"/>
        <v>80388.316822500012</v>
      </c>
      <c r="V127" s="178">
        <f t="shared" si="147"/>
        <v>31226.078265500004</v>
      </c>
      <c r="W127" s="178">
        <f t="shared" si="147"/>
        <v>111614.395088</v>
      </c>
      <c r="X127" s="178">
        <f t="shared" si="147"/>
        <v>185150.77547575001</v>
      </c>
      <c r="Y127" s="179">
        <f>SUM(Y66:Y126)/COUNT(Y66:Y126)</f>
        <v>9.8979591836734673E-2</v>
      </c>
      <c r="Z127" s="218"/>
      <c r="AA127" s="177">
        <v>595.33809833333351</v>
      </c>
      <c r="AB127" s="210"/>
      <c r="AC127" s="210"/>
      <c r="AD127" s="211"/>
      <c r="AE127" s="211"/>
      <c r="AF127" s="211"/>
      <c r="AG127" s="211"/>
      <c r="AH127" s="211"/>
      <c r="AI127" s="211"/>
      <c r="AJ127" s="219">
        <v>145484.37178024999</v>
      </c>
      <c r="AK127" s="211"/>
      <c r="AL127" s="211"/>
      <c r="AM127" s="211"/>
      <c r="AN127" s="211"/>
      <c r="AO127" s="211"/>
      <c r="AP127" s="211"/>
      <c r="AQ127" s="211"/>
      <c r="AR127" s="211"/>
      <c r="AS127" s="138"/>
      <c r="AT127" s="499"/>
      <c r="AU127" s="179">
        <f>SUM(AU66:AU126)/COUNT(AU66:AU126)</f>
        <v>0.50244897959183654</v>
      </c>
      <c r="AV127" s="179">
        <f>SUM(AV66:AV126)/COUNT(AV66:AV126)</f>
        <v>0.40510204081632673</v>
      </c>
      <c r="AW127" s="220"/>
      <c r="AX127" s="220"/>
      <c r="AY127" s="220"/>
      <c r="AZ127" s="220"/>
      <c r="BA127" s="220"/>
      <c r="BB127" s="220"/>
    </row>
    <row r="128" spans="1:54" ht="12.75" customHeight="1" x14ac:dyDescent="0.25">
      <c r="A128" s="186"/>
      <c r="B128" s="187" t="s">
        <v>141</v>
      </c>
      <c r="C128" s="188"/>
      <c r="D128" s="188"/>
      <c r="E128" s="188"/>
      <c r="F128" s="188"/>
      <c r="G128" s="188"/>
      <c r="H128" s="188"/>
      <c r="I128" s="188"/>
      <c r="J128" s="189"/>
      <c r="K128" s="190"/>
      <c r="L128" s="189"/>
      <c r="M128" s="189"/>
      <c r="N128" s="189"/>
      <c r="O128" s="189"/>
      <c r="P128" s="191"/>
      <c r="Q128" s="192"/>
      <c r="R128" s="193"/>
      <c r="S128" s="193"/>
      <c r="T128" s="193"/>
      <c r="U128" s="194"/>
      <c r="V128" s="194"/>
      <c r="W128" s="194"/>
      <c r="X128" s="194"/>
      <c r="Y128" s="195"/>
      <c r="Z128" s="196"/>
      <c r="AA128" s="193"/>
      <c r="AB128" s="189"/>
      <c r="AC128" s="189"/>
      <c r="AD128" s="197"/>
      <c r="AE128" s="197"/>
      <c r="AF128" s="197"/>
      <c r="AG128" s="197"/>
      <c r="AH128" s="197"/>
      <c r="AI128" s="197"/>
      <c r="AJ128" s="198"/>
      <c r="AK128" s="197"/>
      <c r="AL128" s="197"/>
      <c r="AM128" s="197"/>
      <c r="AN128" s="197"/>
      <c r="AO128" s="197"/>
      <c r="AP128" s="197"/>
      <c r="AQ128" s="197"/>
      <c r="AR128" s="137"/>
      <c r="AS128" s="138"/>
      <c r="AT128" s="499"/>
      <c r="AU128" s="139"/>
      <c r="AV128" s="138"/>
      <c r="AW128" s="139"/>
      <c r="AX128" s="139"/>
      <c r="AY128" s="139"/>
      <c r="AZ128" s="139"/>
      <c r="BA128" s="139"/>
      <c r="BB128" s="139"/>
    </row>
    <row r="129" spans="1:54" ht="12.75" customHeight="1" x14ac:dyDescent="0.25">
      <c r="A129" s="200"/>
      <c r="B129" s="201" t="s">
        <v>138</v>
      </c>
      <c r="C129" s="202"/>
      <c r="D129" s="203"/>
      <c r="E129" s="203"/>
      <c r="F129" s="203"/>
      <c r="G129" s="203"/>
      <c r="H129" s="203"/>
      <c r="I129" s="203"/>
      <c r="J129" s="137"/>
      <c r="K129" s="146"/>
      <c r="L129" s="137"/>
      <c r="M129" s="137"/>
      <c r="N129" s="137"/>
      <c r="O129" s="137"/>
      <c r="P129" s="137"/>
      <c r="Q129" s="165"/>
      <c r="R129" s="166"/>
      <c r="S129" s="166"/>
      <c r="T129" s="166"/>
      <c r="U129" s="167"/>
      <c r="V129" s="167"/>
      <c r="W129" s="167"/>
      <c r="X129" s="167"/>
      <c r="Y129" s="168"/>
      <c r="Z129" s="137"/>
      <c r="AA129" s="166"/>
      <c r="AB129" s="137"/>
      <c r="AC129" s="137"/>
      <c r="AD129" s="137"/>
      <c r="AE129" s="137"/>
      <c r="AF129" s="137"/>
      <c r="AG129" s="137"/>
      <c r="AH129" s="137"/>
      <c r="AI129" s="137"/>
      <c r="AJ129" s="169"/>
      <c r="AK129" s="137"/>
      <c r="AL129" s="137"/>
      <c r="AM129" s="137"/>
      <c r="AN129" s="137"/>
      <c r="AO129" s="137"/>
      <c r="AP129" s="137"/>
      <c r="AQ129" s="137"/>
      <c r="AR129" s="137"/>
      <c r="AS129" s="138"/>
      <c r="AT129" s="499"/>
      <c r="AU129" s="139"/>
      <c r="AV129" s="138"/>
      <c r="AW129" s="139"/>
      <c r="AX129" s="139"/>
      <c r="AY129" s="139"/>
      <c r="AZ129" s="139"/>
      <c r="BA129" s="139"/>
      <c r="BB129" s="139"/>
    </row>
    <row r="130" spans="1:54" ht="12.75" customHeight="1" x14ac:dyDescent="0.25">
      <c r="A130" s="200"/>
      <c r="B130" s="204" t="s">
        <v>112</v>
      </c>
      <c r="C130" s="202">
        <v>27</v>
      </c>
      <c r="D130" s="203">
        <f t="shared" ref="D130:D132" si="148">C130*$K$39</f>
        <v>29.700000000000003</v>
      </c>
      <c r="E130" s="203" t="s">
        <v>6</v>
      </c>
      <c r="F130" s="203">
        <f>'Material and Labor Cost'!$D$8</f>
        <v>250.00000000000003</v>
      </c>
      <c r="G130" s="203">
        <f>'Material and Labor Cost'!$F$8</f>
        <v>350</v>
      </c>
      <c r="H130" s="203">
        <f t="shared" ref="H130:H136" si="149">SUM(F130:G130)</f>
        <v>600</v>
      </c>
      <c r="I130" s="203">
        <f t="shared" ref="I130:I136" si="150">H130*D130</f>
        <v>17820</v>
      </c>
      <c r="J130" s="137"/>
      <c r="K130" s="146"/>
      <c r="L130" s="137"/>
      <c r="M130" s="137"/>
      <c r="N130" s="137"/>
      <c r="O130" s="137"/>
      <c r="P130" s="137"/>
      <c r="Q130" s="223">
        <f t="shared" ref="Q130:Q136" si="151">SUM(AA130:AH130)</f>
        <v>11.880000000000003</v>
      </c>
      <c r="R130" s="224">
        <f t="shared" ref="R130:R136" si="152">Y130*D130</f>
        <v>5.9400000000000013</v>
      </c>
      <c r="S130" s="224">
        <f t="shared" ref="S130:S136" si="153">SUM(Q130:R130)</f>
        <v>17.820000000000004</v>
      </c>
      <c r="T130" s="224">
        <f t="shared" ref="T130:T136" si="154">D130-S130</f>
        <v>11.879999999999999</v>
      </c>
      <c r="U130" s="225">
        <f t="shared" ref="U130:U136" si="155">SUM(AJ129:AQ129)</f>
        <v>0</v>
      </c>
      <c r="V130" s="225">
        <f t="shared" ref="V130:V136" si="156">Y130*I130</f>
        <v>3564</v>
      </c>
      <c r="W130" s="225">
        <f t="shared" ref="W130:W136" si="157">SUM(U130:V130)</f>
        <v>3564</v>
      </c>
      <c r="X130" s="225">
        <f t="shared" ref="X130:X136" si="158">I130-W130</f>
        <v>14256</v>
      </c>
      <c r="Y130" s="168">
        <f t="shared" ref="Y130:Y136" si="159">SUM(AS130)</f>
        <v>0.2</v>
      </c>
      <c r="Z130" s="137"/>
      <c r="AA130" s="224">
        <v>11.880000000000003</v>
      </c>
      <c r="AB130" s="137"/>
      <c r="AC130" s="137"/>
      <c r="AD130" s="137"/>
      <c r="AE130" s="137"/>
      <c r="AF130" s="137"/>
      <c r="AG130" s="137"/>
      <c r="AH130" s="137"/>
      <c r="AI130" s="137"/>
      <c r="AJ130" s="169">
        <v>7128</v>
      </c>
      <c r="AK130" s="137"/>
      <c r="AL130" s="137"/>
      <c r="AM130" s="137"/>
      <c r="AN130" s="137"/>
      <c r="AO130" s="137"/>
      <c r="AP130" s="137"/>
      <c r="AQ130" s="137"/>
      <c r="AR130" s="137"/>
      <c r="AS130" s="138">
        <v>0.2</v>
      </c>
      <c r="AT130" s="499"/>
      <c r="AU130" s="139">
        <v>0.4</v>
      </c>
      <c r="AV130" s="138">
        <v>0.4</v>
      </c>
      <c r="AW130" s="139"/>
      <c r="AX130" s="139"/>
      <c r="AY130" s="139"/>
      <c r="AZ130" s="139"/>
      <c r="BA130" s="139"/>
      <c r="BB130" s="139"/>
    </row>
    <row r="131" spans="1:54" ht="12.75" customHeight="1" x14ac:dyDescent="0.25">
      <c r="A131" s="200"/>
      <c r="B131" s="204" t="s">
        <v>113</v>
      </c>
      <c r="C131" s="202">
        <f t="shared" ref="C131:C135" si="160">L134*$L$132</f>
        <v>22.638009554140133</v>
      </c>
      <c r="D131" s="203">
        <f t="shared" si="148"/>
        <v>24.901810509554149</v>
      </c>
      <c r="E131" s="203" t="s">
        <v>114</v>
      </c>
      <c r="F131" s="203">
        <f>'Material and Labor Cost'!$D$9</f>
        <v>126.50000000000001</v>
      </c>
      <c r="G131" s="203">
        <f>'Material and Labor Cost'!$F$9</f>
        <v>70</v>
      </c>
      <c r="H131" s="203">
        <f t="shared" si="149"/>
        <v>196.5</v>
      </c>
      <c r="I131" s="203">
        <f t="shared" si="150"/>
        <v>4893.2057651273899</v>
      </c>
      <c r="J131" s="137"/>
      <c r="K131" s="146"/>
      <c r="L131" s="205">
        <v>15.7</v>
      </c>
      <c r="M131" s="137">
        <f>M133*0.2</f>
        <v>1.72</v>
      </c>
      <c r="N131" s="137"/>
      <c r="O131" s="137"/>
      <c r="P131" s="137"/>
      <c r="Q131" s="223">
        <f t="shared" si="151"/>
        <v>9.9607242038216608</v>
      </c>
      <c r="R131" s="224">
        <f t="shared" si="152"/>
        <v>4.9803621019108304</v>
      </c>
      <c r="S131" s="224">
        <f t="shared" si="153"/>
        <v>14.94108630573249</v>
      </c>
      <c r="T131" s="224">
        <f t="shared" si="154"/>
        <v>9.960724203821659</v>
      </c>
      <c r="U131" s="225">
        <f t="shared" si="155"/>
        <v>7128</v>
      </c>
      <c r="V131" s="225">
        <f t="shared" si="156"/>
        <v>978.64115302547805</v>
      </c>
      <c r="W131" s="225">
        <f t="shared" si="157"/>
        <v>8106.6411530254782</v>
      </c>
      <c r="X131" s="225">
        <f t="shared" si="158"/>
        <v>-3213.4353878980883</v>
      </c>
      <c r="Y131" s="168">
        <f t="shared" si="159"/>
        <v>0.2</v>
      </c>
      <c r="Z131" s="137"/>
      <c r="AA131" s="224">
        <v>9.9607242038216608</v>
      </c>
      <c r="AB131" s="137"/>
      <c r="AC131" s="137"/>
      <c r="AD131" s="137"/>
      <c r="AE131" s="137"/>
      <c r="AF131" s="137"/>
      <c r="AG131" s="137"/>
      <c r="AH131" s="137"/>
      <c r="AI131" s="137"/>
      <c r="AJ131" s="169">
        <v>1957.2823060509561</v>
      </c>
      <c r="AK131" s="137"/>
      <c r="AL131" s="137"/>
      <c r="AM131" s="137"/>
      <c r="AN131" s="137"/>
      <c r="AO131" s="137"/>
      <c r="AP131" s="137"/>
      <c r="AQ131" s="137"/>
      <c r="AR131" s="137"/>
      <c r="AS131" s="138">
        <v>0.2</v>
      </c>
      <c r="AT131" s="499"/>
      <c r="AU131" s="139">
        <v>0.4</v>
      </c>
      <c r="AV131" s="138">
        <v>0.4</v>
      </c>
      <c r="AW131" s="139"/>
      <c r="AX131" s="139"/>
      <c r="AY131" s="139"/>
      <c r="AZ131" s="139"/>
      <c r="BA131" s="139"/>
      <c r="BB131" s="139"/>
    </row>
    <row r="132" spans="1:54" ht="12.75" customHeight="1" x14ac:dyDescent="0.25">
      <c r="A132" s="200"/>
      <c r="B132" s="204" t="s">
        <v>115</v>
      </c>
      <c r="C132" s="202">
        <f t="shared" si="160"/>
        <v>45.276019108280266</v>
      </c>
      <c r="D132" s="203">
        <f t="shared" si="148"/>
        <v>49.803621019108299</v>
      </c>
      <c r="E132" s="203" t="s">
        <v>114</v>
      </c>
      <c r="F132" s="203">
        <f>'Material and Labor Cost'!$D$10</f>
        <v>126.50000000000001</v>
      </c>
      <c r="G132" s="203">
        <f>'Material and Labor Cost'!$F$10</f>
        <v>70</v>
      </c>
      <c r="H132" s="203">
        <f t="shared" si="149"/>
        <v>196.5</v>
      </c>
      <c r="I132" s="203">
        <f t="shared" si="150"/>
        <v>9786.4115302547798</v>
      </c>
      <c r="J132" s="137"/>
      <c r="K132" s="146"/>
      <c r="L132" s="137">
        <f>C130/L131</f>
        <v>1.7197452229299364</v>
      </c>
      <c r="M132" s="137">
        <f>M133*1</f>
        <v>8.6</v>
      </c>
      <c r="N132" s="137"/>
      <c r="O132" s="137"/>
      <c r="P132" s="137"/>
      <c r="Q132" s="223">
        <f t="shared" si="151"/>
        <v>19.921448407643322</v>
      </c>
      <c r="R132" s="224">
        <f t="shared" si="152"/>
        <v>9.9607242038216608</v>
      </c>
      <c r="S132" s="224">
        <f t="shared" si="153"/>
        <v>29.882172611464981</v>
      </c>
      <c r="T132" s="224">
        <f t="shared" si="154"/>
        <v>19.921448407643318</v>
      </c>
      <c r="U132" s="225">
        <f t="shared" si="155"/>
        <v>1957.2823060509561</v>
      </c>
      <c r="V132" s="225">
        <f t="shared" si="156"/>
        <v>1957.2823060509561</v>
      </c>
      <c r="W132" s="225">
        <f t="shared" si="157"/>
        <v>3914.5646121019122</v>
      </c>
      <c r="X132" s="225">
        <f t="shared" si="158"/>
        <v>5871.8469181528671</v>
      </c>
      <c r="Y132" s="168">
        <f t="shared" si="159"/>
        <v>0.2</v>
      </c>
      <c r="Z132" s="137"/>
      <c r="AA132" s="224">
        <v>19.921448407643322</v>
      </c>
      <c r="AB132" s="137"/>
      <c r="AC132" s="137"/>
      <c r="AD132" s="137"/>
      <c r="AE132" s="137"/>
      <c r="AF132" s="137"/>
      <c r="AG132" s="137"/>
      <c r="AH132" s="137"/>
      <c r="AI132" s="137"/>
      <c r="AJ132" s="169">
        <v>3914.5646121019122</v>
      </c>
      <c r="AK132" s="137"/>
      <c r="AL132" s="137"/>
      <c r="AM132" s="137"/>
      <c r="AN132" s="137"/>
      <c r="AO132" s="137"/>
      <c r="AP132" s="137"/>
      <c r="AQ132" s="137"/>
      <c r="AR132" s="137"/>
      <c r="AS132" s="138">
        <v>0.2</v>
      </c>
      <c r="AT132" s="499"/>
      <c r="AU132" s="139">
        <v>0.4</v>
      </c>
      <c r="AV132" s="138">
        <v>0.4</v>
      </c>
      <c r="AW132" s="139"/>
      <c r="AX132" s="139"/>
      <c r="AY132" s="139"/>
      <c r="AZ132" s="139"/>
      <c r="BA132" s="139"/>
      <c r="BB132" s="139"/>
    </row>
    <row r="133" spans="1:54" ht="12.75" customHeight="1" x14ac:dyDescent="0.25">
      <c r="A133" s="200"/>
      <c r="B133" s="204" t="s">
        <v>117</v>
      </c>
      <c r="C133" s="202">
        <f t="shared" si="160"/>
        <v>12.038216560509554</v>
      </c>
      <c r="D133" s="203">
        <f t="shared" ref="D133:D135" si="161">ROUNDUP(C133*$K$39,0)</f>
        <v>14</v>
      </c>
      <c r="E133" s="203" t="s">
        <v>118</v>
      </c>
      <c r="F133" s="203">
        <f>'Material and Labor Cost'!$D$11</f>
        <v>30.000000000000004</v>
      </c>
      <c r="G133" s="203">
        <f>'Material and Labor Cost'!$F$11</f>
        <v>20</v>
      </c>
      <c r="H133" s="203">
        <f t="shared" si="149"/>
        <v>50</v>
      </c>
      <c r="I133" s="203">
        <f t="shared" si="150"/>
        <v>700</v>
      </c>
      <c r="J133" s="137"/>
      <c r="K133" s="146"/>
      <c r="L133" s="137"/>
      <c r="M133" s="137">
        <v>8.6</v>
      </c>
      <c r="N133" s="137"/>
      <c r="O133" s="137"/>
      <c r="P133" s="137"/>
      <c r="Q133" s="223">
        <f t="shared" si="151"/>
        <v>5.6000000000000005</v>
      </c>
      <c r="R133" s="224">
        <f t="shared" si="152"/>
        <v>2.8000000000000003</v>
      </c>
      <c r="S133" s="224">
        <f t="shared" si="153"/>
        <v>8.4</v>
      </c>
      <c r="T133" s="224">
        <f t="shared" si="154"/>
        <v>5.6</v>
      </c>
      <c r="U133" s="225">
        <f t="shared" si="155"/>
        <v>3914.5646121019122</v>
      </c>
      <c r="V133" s="225">
        <f t="shared" si="156"/>
        <v>140</v>
      </c>
      <c r="W133" s="225">
        <f t="shared" si="157"/>
        <v>4054.5646121019122</v>
      </c>
      <c r="X133" s="225">
        <f t="shared" si="158"/>
        <v>-3354.5646121019122</v>
      </c>
      <c r="Y133" s="168">
        <f t="shared" si="159"/>
        <v>0.2</v>
      </c>
      <c r="Z133" s="137"/>
      <c r="AA133" s="224">
        <v>5.6000000000000005</v>
      </c>
      <c r="AB133" s="137"/>
      <c r="AC133" s="137"/>
      <c r="AD133" s="137"/>
      <c r="AE133" s="137"/>
      <c r="AF133" s="137"/>
      <c r="AG133" s="137"/>
      <c r="AH133" s="137"/>
      <c r="AI133" s="137"/>
      <c r="AJ133" s="169">
        <v>280</v>
      </c>
      <c r="AK133" s="137"/>
      <c r="AL133" s="137"/>
      <c r="AM133" s="137"/>
      <c r="AN133" s="137"/>
      <c r="AO133" s="137"/>
      <c r="AP133" s="137"/>
      <c r="AQ133" s="137"/>
      <c r="AR133" s="137"/>
      <c r="AS133" s="138">
        <v>0.2</v>
      </c>
      <c r="AT133" s="499"/>
      <c r="AU133" s="139">
        <v>0.4</v>
      </c>
      <c r="AV133" s="138">
        <v>0.4</v>
      </c>
      <c r="AW133" s="139"/>
      <c r="AX133" s="139"/>
      <c r="AY133" s="139"/>
      <c r="AZ133" s="139"/>
      <c r="BA133" s="139"/>
      <c r="BB133" s="139"/>
    </row>
    <row r="134" spans="1:54" ht="12.75" customHeight="1" x14ac:dyDescent="0.25">
      <c r="A134" s="200"/>
      <c r="B134" s="204" t="s">
        <v>119</v>
      </c>
      <c r="C134" s="202">
        <f t="shared" si="160"/>
        <v>58.471337579617838</v>
      </c>
      <c r="D134" s="203">
        <f t="shared" si="161"/>
        <v>65</v>
      </c>
      <c r="E134" s="203" t="s">
        <v>118</v>
      </c>
      <c r="F134" s="203">
        <f>'Material and Labor Cost'!$D$12</f>
        <v>10</v>
      </c>
      <c r="G134" s="203">
        <f>'Material and Labor Cost'!$F$12</f>
        <v>20</v>
      </c>
      <c r="H134" s="203">
        <f t="shared" si="149"/>
        <v>30</v>
      </c>
      <c r="I134" s="203">
        <f t="shared" si="150"/>
        <v>1950</v>
      </c>
      <c r="J134" s="137"/>
      <c r="K134" s="146"/>
      <c r="L134" s="205">
        <v>13.163583333333335</v>
      </c>
      <c r="M134" s="137"/>
      <c r="N134" s="137"/>
      <c r="O134" s="137"/>
      <c r="P134" s="137"/>
      <c r="Q134" s="223">
        <f t="shared" si="151"/>
        <v>26</v>
      </c>
      <c r="R134" s="224">
        <f t="shared" si="152"/>
        <v>13</v>
      </c>
      <c r="S134" s="224">
        <f t="shared" si="153"/>
        <v>39</v>
      </c>
      <c r="T134" s="224">
        <f t="shared" si="154"/>
        <v>26</v>
      </c>
      <c r="U134" s="225">
        <f t="shared" si="155"/>
        <v>280</v>
      </c>
      <c r="V134" s="225">
        <f t="shared" si="156"/>
        <v>390</v>
      </c>
      <c r="W134" s="225">
        <f t="shared" si="157"/>
        <v>670</v>
      </c>
      <c r="X134" s="225">
        <f t="shared" si="158"/>
        <v>1280</v>
      </c>
      <c r="Y134" s="168">
        <f t="shared" si="159"/>
        <v>0.2</v>
      </c>
      <c r="Z134" s="137"/>
      <c r="AA134" s="224">
        <v>26</v>
      </c>
      <c r="AB134" s="137"/>
      <c r="AC134" s="137"/>
      <c r="AD134" s="137"/>
      <c r="AE134" s="137"/>
      <c r="AF134" s="137"/>
      <c r="AG134" s="137"/>
      <c r="AH134" s="137"/>
      <c r="AI134" s="137"/>
      <c r="AJ134" s="169">
        <v>780</v>
      </c>
      <c r="AK134" s="137"/>
      <c r="AL134" s="137"/>
      <c r="AM134" s="137"/>
      <c r="AN134" s="137"/>
      <c r="AO134" s="137"/>
      <c r="AP134" s="137"/>
      <c r="AQ134" s="137"/>
      <c r="AR134" s="137"/>
      <c r="AS134" s="138">
        <v>0.2</v>
      </c>
      <c r="AT134" s="499"/>
      <c r="AU134" s="139">
        <v>0.4</v>
      </c>
      <c r="AV134" s="138">
        <v>0.4</v>
      </c>
      <c r="AW134" s="139"/>
      <c r="AX134" s="139"/>
      <c r="AY134" s="139"/>
      <c r="AZ134" s="139"/>
      <c r="BA134" s="139"/>
      <c r="BB134" s="139"/>
    </row>
    <row r="135" spans="1:54" ht="12.75" customHeight="1" x14ac:dyDescent="0.25">
      <c r="A135" s="200"/>
      <c r="B135" s="204" t="s">
        <v>120</v>
      </c>
      <c r="C135" s="202">
        <f t="shared" si="160"/>
        <v>37.662420382165607</v>
      </c>
      <c r="D135" s="203">
        <f t="shared" si="161"/>
        <v>42</v>
      </c>
      <c r="E135" s="203" t="s">
        <v>114</v>
      </c>
      <c r="F135" s="203">
        <f>'Material and Labor Cost'!$D$13</f>
        <v>110.00000000000001</v>
      </c>
      <c r="G135" s="203">
        <f>'Material and Labor Cost'!$F$13</f>
        <v>60.000000000000007</v>
      </c>
      <c r="H135" s="203">
        <f t="shared" si="149"/>
        <v>170.00000000000003</v>
      </c>
      <c r="I135" s="203">
        <f t="shared" si="150"/>
        <v>7140.0000000000009</v>
      </c>
      <c r="J135" s="137"/>
      <c r="K135" s="146"/>
      <c r="L135" s="205">
        <v>26.32716666666667</v>
      </c>
      <c r="M135" s="137"/>
      <c r="N135" s="137"/>
      <c r="O135" s="137"/>
      <c r="P135" s="137"/>
      <c r="Q135" s="223">
        <f t="shared" si="151"/>
        <v>16.8</v>
      </c>
      <c r="R135" s="224">
        <f t="shared" si="152"/>
        <v>8.4</v>
      </c>
      <c r="S135" s="224">
        <f t="shared" si="153"/>
        <v>25.200000000000003</v>
      </c>
      <c r="T135" s="224">
        <f t="shared" si="154"/>
        <v>16.799999999999997</v>
      </c>
      <c r="U135" s="225">
        <f t="shared" si="155"/>
        <v>780</v>
      </c>
      <c r="V135" s="225">
        <f t="shared" si="156"/>
        <v>1428.0000000000002</v>
      </c>
      <c r="W135" s="225">
        <f t="shared" si="157"/>
        <v>2208</v>
      </c>
      <c r="X135" s="225">
        <f t="shared" si="158"/>
        <v>4932.0000000000009</v>
      </c>
      <c r="Y135" s="168">
        <f t="shared" si="159"/>
        <v>0.2</v>
      </c>
      <c r="Z135" s="137"/>
      <c r="AA135" s="224">
        <v>16.8</v>
      </c>
      <c r="AB135" s="137"/>
      <c r="AC135" s="137"/>
      <c r="AD135" s="137"/>
      <c r="AE135" s="137"/>
      <c r="AF135" s="137"/>
      <c r="AG135" s="137"/>
      <c r="AH135" s="137"/>
      <c r="AI135" s="137"/>
      <c r="AJ135" s="169">
        <v>2856.0000000000005</v>
      </c>
      <c r="AK135" s="137"/>
      <c r="AL135" s="137"/>
      <c r="AM135" s="137"/>
      <c r="AN135" s="137"/>
      <c r="AO135" s="137"/>
      <c r="AP135" s="137"/>
      <c r="AQ135" s="137"/>
      <c r="AR135" s="137"/>
      <c r="AS135" s="138">
        <v>0.2</v>
      </c>
      <c r="AT135" s="499"/>
      <c r="AU135" s="139">
        <v>0.4</v>
      </c>
      <c r="AV135" s="138">
        <v>0.4</v>
      </c>
      <c r="AW135" s="139"/>
      <c r="AX135" s="139"/>
      <c r="AY135" s="139"/>
      <c r="AZ135" s="139"/>
      <c r="BA135" s="139"/>
      <c r="BB135" s="139"/>
    </row>
    <row r="136" spans="1:54" ht="12.75" customHeight="1" x14ac:dyDescent="0.25">
      <c r="A136" s="200"/>
      <c r="B136" s="204" t="s">
        <v>124</v>
      </c>
      <c r="C136" s="202">
        <f>C130*2</f>
        <v>54</v>
      </c>
      <c r="D136" s="203">
        <f>C136*$K$39</f>
        <v>59.400000000000006</v>
      </c>
      <c r="E136" s="203" t="s">
        <v>6</v>
      </c>
      <c r="F136" s="203">
        <f>'Material and Labor Cost'!$D$14</f>
        <v>250.00000000000003</v>
      </c>
      <c r="G136" s="203">
        <f>'Material and Labor Cost'!$F$14</f>
        <v>350</v>
      </c>
      <c r="H136" s="203">
        <f t="shared" si="149"/>
        <v>600</v>
      </c>
      <c r="I136" s="203">
        <f t="shared" si="150"/>
        <v>35640</v>
      </c>
      <c r="J136" s="137"/>
      <c r="K136" s="146"/>
      <c r="L136" s="205">
        <v>7</v>
      </c>
      <c r="M136" s="137"/>
      <c r="N136" s="137"/>
      <c r="O136" s="137"/>
      <c r="P136" s="137"/>
      <c r="Q136" s="223">
        <f t="shared" si="151"/>
        <v>23.760000000000005</v>
      </c>
      <c r="R136" s="224">
        <f t="shared" si="152"/>
        <v>11.880000000000003</v>
      </c>
      <c r="S136" s="224">
        <f t="shared" si="153"/>
        <v>35.640000000000008</v>
      </c>
      <c r="T136" s="224">
        <f t="shared" si="154"/>
        <v>23.759999999999998</v>
      </c>
      <c r="U136" s="225">
        <f t="shared" si="155"/>
        <v>2856.0000000000005</v>
      </c>
      <c r="V136" s="225">
        <f t="shared" si="156"/>
        <v>7128</v>
      </c>
      <c r="W136" s="225">
        <f t="shared" si="157"/>
        <v>9984</v>
      </c>
      <c r="X136" s="225">
        <f t="shared" si="158"/>
        <v>25656</v>
      </c>
      <c r="Y136" s="168">
        <f t="shared" si="159"/>
        <v>0.2</v>
      </c>
      <c r="Z136" s="137"/>
      <c r="AA136" s="224">
        <v>23.760000000000005</v>
      </c>
      <c r="AB136" s="137"/>
      <c r="AC136" s="137"/>
      <c r="AD136" s="137"/>
      <c r="AE136" s="137"/>
      <c r="AF136" s="137"/>
      <c r="AG136" s="137"/>
      <c r="AH136" s="137"/>
      <c r="AI136" s="137"/>
      <c r="AJ136" s="169">
        <v>14256</v>
      </c>
      <c r="AK136" s="137"/>
      <c r="AL136" s="137"/>
      <c r="AM136" s="137"/>
      <c r="AN136" s="137"/>
      <c r="AO136" s="137"/>
      <c r="AP136" s="137"/>
      <c r="AQ136" s="137"/>
      <c r="AR136" s="137"/>
      <c r="AS136" s="138">
        <v>0.2</v>
      </c>
      <c r="AT136" s="499"/>
      <c r="AU136" s="139">
        <v>0.4</v>
      </c>
      <c r="AV136" s="138">
        <v>0.4</v>
      </c>
      <c r="AW136" s="139"/>
      <c r="AX136" s="139"/>
      <c r="AY136" s="139"/>
      <c r="AZ136" s="139"/>
      <c r="BA136" s="139"/>
      <c r="BB136" s="139"/>
    </row>
    <row r="137" spans="1:54" ht="12.75" customHeight="1" x14ac:dyDescent="0.25">
      <c r="A137" s="200"/>
      <c r="B137" s="204"/>
      <c r="C137" s="202"/>
      <c r="D137" s="203"/>
      <c r="E137" s="203"/>
      <c r="F137" s="203"/>
      <c r="G137" s="203"/>
      <c r="H137" s="203"/>
      <c r="I137" s="203"/>
      <c r="J137" s="137"/>
      <c r="K137" s="146"/>
      <c r="L137" s="205">
        <v>34</v>
      </c>
      <c r="M137" s="137"/>
      <c r="N137" s="137"/>
      <c r="O137" s="137"/>
      <c r="P137" s="137"/>
      <c r="Q137" s="165"/>
      <c r="R137" s="166"/>
      <c r="S137" s="166"/>
      <c r="T137" s="166"/>
      <c r="U137" s="167"/>
      <c r="V137" s="167"/>
      <c r="W137" s="167"/>
      <c r="X137" s="167"/>
      <c r="Y137" s="168"/>
      <c r="Z137" s="137"/>
      <c r="AA137" s="166"/>
      <c r="AB137" s="137"/>
      <c r="AC137" s="137"/>
      <c r="AD137" s="137"/>
      <c r="AE137" s="137"/>
      <c r="AF137" s="137"/>
      <c r="AG137" s="137"/>
      <c r="AH137" s="137"/>
      <c r="AI137" s="137"/>
      <c r="AJ137" s="169"/>
      <c r="AK137" s="137"/>
      <c r="AL137" s="137"/>
      <c r="AM137" s="137"/>
      <c r="AN137" s="137"/>
      <c r="AO137" s="137"/>
      <c r="AP137" s="137"/>
      <c r="AQ137" s="137"/>
      <c r="AR137" s="137"/>
      <c r="AS137" s="138"/>
      <c r="AT137" s="499"/>
      <c r="AU137" s="139"/>
      <c r="AV137" s="138"/>
      <c r="AW137" s="139"/>
      <c r="AX137" s="139"/>
      <c r="AY137" s="139"/>
      <c r="AZ137" s="139"/>
      <c r="BA137" s="139"/>
      <c r="BB137" s="139"/>
    </row>
    <row r="138" spans="1:54" ht="12.75" customHeight="1" x14ac:dyDescent="0.25">
      <c r="A138" s="200"/>
      <c r="B138" s="201" t="s">
        <v>142</v>
      </c>
      <c r="C138" s="202"/>
      <c r="D138" s="203"/>
      <c r="E138" s="203"/>
      <c r="F138" s="203"/>
      <c r="G138" s="203"/>
      <c r="H138" s="203"/>
      <c r="I138" s="203"/>
      <c r="J138" s="137"/>
      <c r="K138" s="146"/>
      <c r="L138" s="205">
        <v>21.9</v>
      </c>
      <c r="M138" s="137"/>
      <c r="N138" s="137"/>
      <c r="O138" s="137"/>
      <c r="P138" s="137"/>
      <c r="Q138" s="165"/>
      <c r="R138" s="166"/>
      <c r="S138" s="166"/>
      <c r="T138" s="166"/>
      <c r="U138" s="167"/>
      <c r="V138" s="167"/>
      <c r="W138" s="167"/>
      <c r="X138" s="167"/>
      <c r="Y138" s="168"/>
      <c r="Z138" s="137"/>
      <c r="AA138" s="166"/>
      <c r="AB138" s="137"/>
      <c r="AC138" s="137"/>
      <c r="AD138" s="137"/>
      <c r="AE138" s="137"/>
      <c r="AF138" s="137"/>
      <c r="AG138" s="137"/>
      <c r="AH138" s="137"/>
      <c r="AI138" s="137"/>
      <c r="AJ138" s="169"/>
      <c r="AK138" s="137"/>
      <c r="AL138" s="137"/>
      <c r="AM138" s="137"/>
      <c r="AN138" s="137"/>
      <c r="AO138" s="137"/>
      <c r="AP138" s="137"/>
      <c r="AQ138" s="137"/>
      <c r="AR138" s="137"/>
      <c r="AS138" s="138"/>
      <c r="AT138" s="499"/>
      <c r="AU138" s="139"/>
      <c r="AV138" s="138"/>
      <c r="AW138" s="139"/>
      <c r="AX138" s="139"/>
      <c r="AY138" s="139"/>
      <c r="AZ138" s="139"/>
      <c r="BA138" s="139"/>
      <c r="BB138" s="139"/>
    </row>
    <row r="139" spans="1:54" ht="12.75" customHeight="1" x14ac:dyDescent="0.25">
      <c r="A139" s="200"/>
      <c r="B139" s="204" t="s">
        <v>112</v>
      </c>
      <c r="C139" s="202">
        <v>30</v>
      </c>
      <c r="D139" s="203">
        <f t="shared" ref="D139:D141" si="162">C139*$K$39</f>
        <v>33</v>
      </c>
      <c r="E139" s="203" t="s">
        <v>6</v>
      </c>
      <c r="F139" s="203">
        <f>'Material and Labor Cost'!$D$8</f>
        <v>250.00000000000003</v>
      </c>
      <c r="G139" s="203">
        <f>'Material and Labor Cost'!$F$8</f>
        <v>350</v>
      </c>
      <c r="H139" s="203">
        <f t="shared" ref="H139:H145" si="163">SUM(F139:G139)</f>
        <v>600</v>
      </c>
      <c r="I139" s="203">
        <f t="shared" ref="I139:I145" si="164">H139*D139</f>
        <v>19800</v>
      </c>
      <c r="J139" s="137"/>
      <c r="K139" s="146"/>
      <c r="L139" s="137"/>
      <c r="M139" s="137"/>
      <c r="N139" s="137"/>
      <c r="O139" s="137"/>
      <c r="P139" s="137"/>
      <c r="Q139" s="223">
        <f t="shared" ref="Q139:Q145" si="165">SUM(AA139:AH139)</f>
        <v>13.200000000000001</v>
      </c>
      <c r="R139" s="224">
        <f t="shared" ref="R139:R145" si="166">Y139*D139</f>
        <v>6.6000000000000005</v>
      </c>
      <c r="S139" s="224">
        <f t="shared" ref="S139:S145" si="167">SUM(Q139:R139)</f>
        <v>19.8</v>
      </c>
      <c r="T139" s="224">
        <f t="shared" ref="T139:T145" si="168">D139-S139</f>
        <v>13.2</v>
      </c>
      <c r="U139" s="225">
        <f t="shared" ref="U139:U145" si="169">SUM(AJ138:AQ138)</f>
        <v>0</v>
      </c>
      <c r="V139" s="225">
        <f t="shared" ref="V139:V145" si="170">Y139*I139</f>
        <v>3960</v>
      </c>
      <c r="W139" s="225">
        <f t="shared" ref="W139:W145" si="171">SUM(U139:V139)</f>
        <v>3960</v>
      </c>
      <c r="X139" s="225">
        <f t="shared" ref="X139:X145" si="172">I139-W139</f>
        <v>15840</v>
      </c>
      <c r="Y139" s="168">
        <f t="shared" ref="Y139:Y145" si="173">SUM(AS139)</f>
        <v>0.2</v>
      </c>
      <c r="Z139" s="137"/>
      <c r="AA139" s="224">
        <v>13.200000000000001</v>
      </c>
      <c r="AB139" s="137"/>
      <c r="AC139" s="137"/>
      <c r="AD139" s="137"/>
      <c r="AE139" s="137"/>
      <c r="AF139" s="137"/>
      <c r="AG139" s="137"/>
      <c r="AH139" s="137"/>
      <c r="AI139" s="137"/>
      <c r="AJ139" s="169">
        <v>7920</v>
      </c>
      <c r="AK139" s="137"/>
      <c r="AL139" s="137"/>
      <c r="AM139" s="137"/>
      <c r="AN139" s="137"/>
      <c r="AO139" s="137"/>
      <c r="AP139" s="137"/>
      <c r="AQ139" s="137"/>
      <c r="AR139" s="137"/>
      <c r="AS139" s="138">
        <v>0.2</v>
      </c>
      <c r="AT139" s="499"/>
      <c r="AU139" s="139">
        <v>0.4</v>
      </c>
      <c r="AV139" s="138">
        <v>0.4</v>
      </c>
      <c r="AW139" s="139"/>
      <c r="AX139" s="139"/>
      <c r="AY139" s="139"/>
      <c r="AZ139" s="139"/>
      <c r="BA139" s="139"/>
      <c r="BB139" s="139"/>
    </row>
    <row r="140" spans="1:54" ht="12.75" customHeight="1" x14ac:dyDescent="0.25">
      <c r="A140" s="200"/>
      <c r="B140" s="204" t="s">
        <v>113</v>
      </c>
      <c r="C140" s="202">
        <v>25.609499999999997</v>
      </c>
      <c r="D140" s="203">
        <f t="shared" si="162"/>
        <v>28.170449999999999</v>
      </c>
      <c r="E140" s="203" t="s">
        <v>114</v>
      </c>
      <c r="F140" s="203">
        <f>'Material and Labor Cost'!$D$9</f>
        <v>126.50000000000001</v>
      </c>
      <c r="G140" s="203">
        <f>'Material and Labor Cost'!$F$9</f>
        <v>70</v>
      </c>
      <c r="H140" s="203">
        <f t="shared" si="163"/>
        <v>196.5</v>
      </c>
      <c r="I140" s="203">
        <f t="shared" si="164"/>
        <v>5535.4934249999997</v>
      </c>
      <c r="J140" s="137"/>
      <c r="K140" s="146"/>
      <c r="L140" s="137"/>
      <c r="M140" s="137"/>
      <c r="N140" s="137"/>
      <c r="O140" s="137"/>
      <c r="P140" s="137"/>
      <c r="Q140" s="223">
        <f t="shared" si="165"/>
        <v>11.268180000000001</v>
      </c>
      <c r="R140" s="224">
        <f t="shared" si="166"/>
        <v>5.6340900000000005</v>
      </c>
      <c r="S140" s="224">
        <f t="shared" si="167"/>
        <v>16.902270000000001</v>
      </c>
      <c r="T140" s="224">
        <f t="shared" si="168"/>
        <v>11.268179999999997</v>
      </c>
      <c r="U140" s="225">
        <f t="shared" si="169"/>
        <v>7920</v>
      </c>
      <c r="V140" s="225">
        <f t="shared" si="170"/>
        <v>1107.0986849999999</v>
      </c>
      <c r="W140" s="225">
        <f t="shared" si="171"/>
        <v>9027.0986850000008</v>
      </c>
      <c r="X140" s="225">
        <f t="shared" si="172"/>
        <v>-3491.6052600000012</v>
      </c>
      <c r="Y140" s="168">
        <f t="shared" si="173"/>
        <v>0.2</v>
      </c>
      <c r="Z140" s="137"/>
      <c r="AA140" s="224">
        <v>11.268180000000001</v>
      </c>
      <c r="AB140" s="137"/>
      <c r="AC140" s="137"/>
      <c r="AD140" s="137"/>
      <c r="AE140" s="137"/>
      <c r="AF140" s="137"/>
      <c r="AG140" s="137"/>
      <c r="AH140" s="137"/>
      <c r="AI140" s="137"/>
      <c r="AJ140" s="169">
        <v>2214.1973699999999</v>
      </c>
      <c r="AK140" s="137"/>
      <c r="AL140" s="137"/>
      <c r="AM140" s="137"/>
      <c r="AN140" s="137"/>
      <c r="AO140" s="137"/>
      <c r="AP140" s="137"/>
      <c r="AQ140" s="137"/>
      <c r="AR140" s="137"/>
      <c r="AS140" s="138">
        <v>0.2</v>
      </c>
      <c r="AT140" s="499"/>
      <c r="AU140" s="139">
        <v>0.4</v>
      </c>
      <c r="AV140" s="138">
        <v>0.4</v>
      </c>
      <c r="AW140" s="139"/>
      <c r="AX140" s="139"/>
      <c r="AY140" s="139"/>
      <c r="AZ140" s="139"/>
      <c r="BA140" s="139"/>
      <c r="BB140" s="139"/>
    </row>
    <row r="141" spans="1:54" ht="12.75" customHeight="1" x14ac:dyDescent="0.25">
      <c r="A141" s="200"/>
      <c r="B141" s="204" t="s">
        <v>115</v>
      </c>
      <c r="C141" s="202">
        <v>51.218999999999994</v>
      </c>
      <c r="D141" s="203">
        <f t="shared" si="162"/>
        <v>56.340899999999998</v>
      </c>
      <c r="E141" s="203" t="s">
        <v>114</v>
      </c>
      <c r="F141" s="203">
        <f>'Material and Labor Cost'!$D$10</f>
        <v>126.50000000000001</v>
      </c>
      <c r="G141" s="203">
        <f>'Material and Labor Cost'!$F$10</f>
        <v>70</v>
      </c>
      <c r="H141" s="203">
        <f t="shared" si="163"/>
        <v>196.5</v>
      </c>
      <c r="I141" s="203">
        <f t="shared" si="164"/>
        <v>11070.986849999999</v>
      </c>
      <c r="J141" s="137"/>
      <c r="K141" s="146"/>
      <c r="L141" s="137"/>
      <c r="M141" s="137"/>
      <c r="N141" s="137"/>
      <c r="O141" s="137"/>
      <c r="P141" s="137"/>
      <c r="Q141" s="223">
        <f t="shared" si="165"/>
        <v>22.536360000000002</v>
      </c>
      <c r="R141" s="224">
        <f t="shared" si="166"/>
        <v>11.268180000000001</v>
      </c>
      <c r="S141" s="224">
        <f t="shared" si="167"/>
        <v>33.804540000000003</v>
      </c>
      <c r="T141" s="224">
        <f t="shared" si="168"/>
        <v>22.536359999999995</v>
      </c>
      <c r="U141" s="225">
        <f t="shared" si="169"/>
        <v>2214.1973699999999</v>
      </c>
      <c r="V141" s="225">
        <f t="shared" si="170"/>
        <v>2214.1973699999999</v>
      </c>
      <c r="W141" s="225">
        <f t="shared" si="171"/>
        <v>4428.3947399999997</v>
      </c>
      <c r="X141" s="225">
        <f t="shared" si="172"/>
        <v>6642.5921099999996</v>
      </c>
      <c r="Y141" s="168">
        <f t="shared" si="173"/>
        <v>0.2</v>
      </c>
      <c r="Z141" s="137"/>
      <c r="AA141" s="224">
        <v>22.536360000000002</v>
      </c>
      <c r="AB141" s="137"/>
      <c r="AC141" s="137"/>
      <c r="AD141" s="137"/>
      <c r="AE141" s="137"/>
      <c r="AF141" s="137"/>
      <c r="AG141" s="137"/>
      <c r="AH141" s="137"/>
      <c r="AI141" s="137"/>
      <c r="AJ141" s="169">
        <v>4428.3947399999997</v>
      </c>
      <c r="AK141" s="137"/>
      <c r="AL141" s="137"/>
      <c r="AM141" s="137"/>
      <c r="AN141" s="137"/>
      <c r="AO141" s="137"/>
      <c r="AP141" s="137"/>
      <c r="AQ141" s="137"/>
      <c r="AR141" s="137"/>
      <c r="AS141" s="138">
        <v>0.2</v>
      </c>
      <c r="AT141" s="499"/>
      <c r="AU141" s="139">
        <v>0.4</v>
      </c>
      <c r="AV141" s="138">
        <v>0.4</v>
      </c>
      <c r="AW141" s="139"/>
      <c r="AX141" s="139"/>
      <c r="AY141" s="139"/>
      <c r="AZ141" s="139"/>
      <c r="BA141" s="139"/>
      <c r="BB141" s="139"/>
    </row>
    <row r="142" spans="1:54" ht="12.75" customHeight="1" x14ac:dyDescent="0.25">
      <c r="A142" s="200"/>
      <c r="B142" s="204" t="s">
        <v>117</v>
      </c>
      <c r="C142" s="202">
        <v>16</v>
      </c>
      <c r="D142" s="203">
        <f t="shared" ref="D142:D144" si="174">ROUNDUP(C142*$K$39,0)</f>
        <v>18</v>
      </c>
      <c r="E142" s="203" t="s">
        <v>118</v>
      </c>
      <c r="F142" s="203">
        <f>'Material and Labor Cost'!$D$11</f>
        <v>30.000000000000004</v>
      </c>
      <c r="G142" s="203">
        <f>'Material and Labor Cost'!$F$11</f>
        <v>20</v>
      </c>
      <c r="H142" s="203">
        <f t="shared" si="163"/>
        <v>50</v>
      </c>
      <c r="I142" s="203">
        <f t="shared" si="164"/>
        <v>900</v>
      </c>
      <c r="J142" s="137"/>
      <c r="K142" s="146"/>
      <c r="L142" s="137"/>
      <c r="M142" s="137"/>
      <c r="N142" s="137"/>
      <c r="O142" s="137"/>
      <c r="P142" s="137"/>
      <c r="Q142" s="223">
        <f t="shared" si="165"/>
        <v>7.2</v>
      </c>
      <c r="R142" s="224">
        <f t="shared" si="166"/>
        <v>3.6</v>
      </c>
      <c r="S142" s="224">
        <f t="shared" si="167"/>
        <v>10.8</v>
      </c>
      <c r="T142" s="224">
        <f t="shared" si="168"/>
        <v>7.1999999999999993</v>
      </c>
      <c r="U142" s="225">
        <f t="shared" si="169"/>
        <v>4428.3947399999997</v>
      </c>
      <c r="V142" s="225">
        <f t="shared" si="170"/>
        <v>180</v>
      </c>
      <c r="W142" s="225">
        <f t="shared" si="171"/>
        <v>4608.3947399999997</v>
      </c>
      <c r="X142" s="225">
        <f t="shared" si="172"/>
        <v>-3708.3947399999997</v>
      </c>
      <c r="Y142" s="168">
        <f t="shared" si="173"/>
        <v>0.2</v>
      </c>
      <c r="Z142" s="137"/>
      <c r="AA142" s="224">
        <v>7.2</v>
      </c>
      <c r="AB142" s="137"/>
      <c r="AC142" s="137"/>
      <c r="AD142" s="137"/>
      <c r="AE142" s="137"/>
      <c r="AF142" s="137"/>
      <c r="AG142" s="137"/>
      <c r="AH142" s="137"/>
      <c r="AI142" s="137"/>
      <c r="AJ142" s="169">
        <v>360</v>
      </c>
      <c r="AK142" s="137"/>
      <c r="AL142" s="137"/>
      <c r="AM142" s="137"/>
      <c r="AN142" s="137"/>
      <c r="AO142" s="137"/>
      <c r="AP142" s="137"/>
      <c r="AQ142" s="137"/>
      <c r="AR142" s="137"/>
      <c r="AS142" s="138">
        <v>0.2</v>
      </c>
      <c r="AT142" s="499"/>
      <c r="AU142" s="139">
        <v>0.4</v>
      </c>
      <c r="AV142" s="138">
        <v>0.4</v>
      </c>
      <c r="AW142" s="139"/>
      <c r="AX142" s="139"/>
      <c r="AY142" s="139"/>
      <c r="AZ142" s="139"/>
      <c r="BA142" s="139"/>
      <c r="BB142" s="139"/>
    </row>
    <row r="143" spans="1:54" ht="12.75" customHeight="1" x14ac:dyDescent="0.25">
      <c r="A143" s="200"/>
      <c r="B143" s="204" t="s">
        <v>119</v>
      </c>
      <c r="C143" s="202">
        <v>66</v>
      </c>
      <c r="D143" s="203">
        <f t="shared" si="174"/>
        <v>73</v>
      </c>
      <c r="E143" s="203" t="s">
        <v>118</v>
      </c>
      <c r="F143" s="203">
        <f>'Material and Labor Cost'!$D$12</f>
        <v>10</v>
      </c>
      <c r="G143" s="203">
        <f>'Material and Labor Cost'!$F$12</f>
        <v>20</v>
      </c>
      <c r="H143" s="203">
        <f t="shared" si="163"/>
        <v>30</v>
      </c>
      <c r="I143" s="203">
        <f t="shared" si="164"/>
        <v>2190</v>
      </c>
      <c r="J143" s="137"/>
      <c r="K143" s="146"/>
      <c r="L143" s="137"/>
      <c r="M143" s="137"/>
      <c r="N143" s="137"/>
      <c r="O143" s="137"/>
      <c r="P143" s="137"/>
      <c r="Q143" s="223">
        <f t="shared" si="165"/>
        <v>29.200000000000003</v>
      </c>
      <c r="R143" s="224">
        <f t="shared" si="166"/>
        <v>14.600000000000001</v>
      </c>
      <c r="S143" s="224">
        <f t="shared" si="167"/>
        <v>43.800000000000004</v>
      </c>
      <c r="T143" s="224">
        <f t="shared" si="168"/>
        <v>29.199999999999996</v>
      </c>
      <c r="U143" s="225">
        <f t="shared" si="169"/>
        <v>360</v>
      </c>
      <c r="V143" s="225">
        <f t="shared" si="170"/>
        <v>438</v>
      </c>
      <c r="W143" s="225">
        <f t="shared" si="171"/>
        <v>798</v>
      </c>
      <c r="X143" s="225">
        <f t="shared" si="172"/>
        <v>1392</v>
      </c>
      <c r="Y143" s="168">
        <f t="shared" si="173"/>
        <v>0.2</v>
      </c>
      <c r="Z143" s="137"/>
      <c r="AA143" s="224">
        <v>29.200000000000003</v>
      </c>
      <c r="AB143" s="137"/>
      <c r="AC143" s="137"/>
      <c r="AD143" s="137"/>
      <c r="AE143" s="137"/>
      <c r="AF143" s="137"/>
      <c r="AG143" s="137"/>
      <c r="AH143" s="137"/>
      <c r="AI143" s="137"/>
      <c r="AJ143" s="169">
        <v>876</v>
      </c>
      <c r="AK143" s="137"/>
      <c r="AL143" s="137"/>
      <c r="AM143" s="137"/>
      <c r="AN143" s="137"/>
      <c r="AO143" s="137"/>
      <c r="AP143" s="137"/>
      <c r="AQ143" s="137"/>
      <c r="AR143" s="137"/>
      <c r="AS143" s="138">
        <v>0.2</v>
      </c>
      <c r="AT143" s="499"/>
      <c r="AU143" s="139">
        <v>0.4</v>
      </c>
      <c r="AV143" s="138">
        <v>0.4</v>
      </c>
      <c r="AW143" s="139"/>
      <c r="AX143" s="139"/>
      <c r="AY143" s="139"/>
      <c r="AZ143" s="139"/>
      <c r="BA143" s="139"/>
      <c r="BB143" s="139"/>
    </row>
    <row r="144" spans="1:54" ht="12.75" customHeight="1" x14ac:dyDescent="0.25">
      <c r="A144" s="200"/>
      <c r="B144" s="204" t="s">
        <v>120</v>
      </c>
      <c r="C144" s="202">
        <v>39.799999999999997</v>
      </c>
      <c r="D144" s="203">
        <f t="shared" si="174"/>
        <v>44</v>
      </c>
      <c r="E144" s="203" t="s">
        <v>114</v>
      </c>
      <c r="F144" s="203">
        <f>'Material and Labor Cost'!$D$13</f>
        <v>110.00000000000001</v>
      </c>
      <c r="G144" s="203">
        <f>'Material and Labor Cost'!$F$13</f>
        <v>60.000000000000007</v>
      </c>
      <c r="H144" s="203">
        <f t="shared" si="163"/>
        <v>170.00000000000003</v>
      </c>
      <c r="I144" s="203">
        <f t="shared" si="164"/>
        <v>7480.0000000000009</v>
      </c>
      <c r="J144" s="137"/>
      <c r="K144" s="146"/>
      <c r="L144" s="137"/>
      <c r="M144" s="137"/>
      <c r="N144" s="137"/>
      <c r="O144" s="137"/>
      <c r="P144" s="137"/>
      <c r="Q144" s="223">
        <f t="shared" si="165"/>
        <v>17.600000000000001</v>
      </c>
      <c r="R144" s="224">
        <f t="shared" si="166"/>
        <v>8.8000000000000007</v>
      </c>
      <c r="S144" s="224">
        <f t="shared" si="167"/>
        <v>26.400000000000002</v>
      </c>
      <c r="T144" s="224">
        <f t="shared" si="168"/>
        <v>17.599999999999998</v>
      </c>
      <c r="U144" s="225">
        <f t="shared" si="169"/>
        <v>876</v>
      </c>
      <c r="V144" s="225">
        <f t="shared" si="170"/>
        <v>1496.0000000000002</v>
      </c>
      <c r="W144" s="225">
        <f t="shared" si="171"/>
        <v>2372</v>
      </c>
      <c r="X144" s="225">
        <f t="shared" si="172"/>
        <v>5108.0000000000009</v>
      </c>
      <c r="Y144" s="168">
        <f t="shared" si="173"/>
        <v>0.2</v>
      </c>
      <c r="Z144" s="137"/>
      <c r="AA144" s="224">
        <v>17.600000000000001</v>
      </c>
      <c r="AB144" s="137"/>
      <c r="AC144" s="137"/>
      <c r="AD144" s="137"/>
      <c r="AE144" s="137"/>
      <c r="AF144" s="137"/>
      <c r="AG144" s="137"/>
      <c r="AH144" s="137"/>
      <c r="AI144" s="137"/>
      <c r="AJ144" s="169">
        <v>2992.0000000000005</v>
      </c>
      <c r="AK144" s="137"/>
      <c r="AL144" s="137"/>
      <c r="AM144" s="137"/>
      <c r="AN144" s="137"/>
      <c r="AO144" s="137"/>
      <c r="AP144" s="137"/>
      <c r="AQ144" s="137"/>
      <c r="AR144" s="137"/>
      <c r="AS144" s="138">
        <v>0.2</v>
      </c>
      <c r="AT144" s="499"/>
      <c r="AU144" s="139">
        <v>0.4</v>
      </c>
      <c r="AV144" s="138">
        <v>0.4</v>
      </c>
      <c r="AW144" s="139"/>
      <c r="AX144" s="139"/>
      <c r="AY144" s="139"/>
      <c r="AZ144" s="139"/>
      <c r="BA144" s="139"/>
      <c r="BB144" s="139"/>
    </row>
    <row r="145" spans="1:54" ht="12.75" customHeight="1" x14ac:dyDescent="0.25">
      <c r="A145" s="200"/>
      <c r="B145" s="204" t="s">
        <v>124</v>
      </c>
      <c r="C145" s="202">
        <f>C139*2</f>
        <v>60</v>
      </c>
      <c r="D145" s="203">
        <f>C145*$K$39</f>
        <v>66</v>
      </c>
      <c r="E145" s="203" t="s">
        <v>6</v>
      </c>
      <c r="F145" s="203">
        <f>'Material and Labor Cost'!$D$14</f>
        <v>250.00000000000003</v>
      </c>
      <c r="G145" s="203">
        <f>'Material and Labor Cost'!$F$14</f>
        <v>350</v>
      </c>
      <c r="H145" s="203">
        <f t="shared" si="163"/>
        <v>600</v>
      </c>
      <c r="I145" s="203">
        <f t="shared" si="164"/>
        <v>39600</v>
      </c>
      <c r="J145" s="137"/>
      <c r="K145" s="146"/>
      <c r="L145" s="137"/>
      <c r="M145" s="137"/>
      <c r="N145" s="137"/>
      <c r="O145" s="137"/>
      <c r="P145" s="137"/>
      <c r="Q145" s="223">
        <f t="shared" si="165"/>
        <v>26.400000000000002</v>
      </c>
      <c r="R145" s="224">
        <f t="shared" si="166"/>
        <v>13.200000000000001</v>
      </c>
      <c r="S145" s="224">
        <f t="shared" si="167"/>
        <v>39.6</v>
      </c>
      <c r="T145" s="224">
        <f t="shared" si="168"/>
        <v>26.4</v>
      </c>
      <c r="U145" s="225">
        <f t="shared" si="169"/>
        <v>2992.0000000000005</v>
      </c>
      <c r="V145" s="225">
        <f t="shared" si="170"/>
        <v>7920</v>
      </c>
      <c r="W145" s="225">
        <f t="shared" si="171"/>
        <v>10912</v>
      </c>
      <c r="X145" s="225">
        <f t="shared" si="172"/>
        <v>28688</v>
      </c>
      <c r="Y145" s="168">
        <f t="shared" si="173"/>
        <v>0.2</v>
      </c>
      <c r="Z145" s="137"/>
      <c r="AA145" s="224">
        <v>26.400000000000002</v>
      </c>
      <c r="AB145" s="137"/>
      <c r="AC145" s="137"/>
      <c r="AD145" s="137"/>
      <c r="AE145" s="137"/>
      <c r="AF145" s="137"/>
      <c r="AG145" s="137"/>
      <c r="AH145" s="137"/>
      <c r="AI145" s="137"/>
      <c r="AJ145" s="169">
        <v>15840</v>
      </c>
      <c r="AK145" s="137"/>
      <c r="AL145" s="137"/>
      <c r="AM145" s="137"/>
      <c r="AN145" s="137"/>
      <c r="AO145" s="137"/>
      <c r="AP145" s="137"/>
      <c r="AQ145" s="137"/>
      <c r="AR145" s="137"/>
      <c r="AS145" s="138">
        <v>0.2</v>
      </c>
      <c r="AT145" s="499"/>
      <c r="AU145" s="139">
        <v>0.4</v>
      </c>
      <c r="AV145" s="138">
        <v>0.4</v>
      </c>
      <c r="AW145" s="139"/>
      <c r="AX145" s="139"/>
      <c r="AY145" s="139"/>
      <c r="AZ145" s="139"/>
      <c r="BA145" s="139"/>
      <c r="BB145" s="139"/>
    </row>
    <row r="146" spans="1:54" ht="12.75" customHeight="1" x14ac:dyDescent="0.25">
      <c r="A146" s="200"/>
      <c r="B146" s="204"/>
      <c r="C146" s="202"/>
      <c r="D146" s="203"/>
      <c r="E146" s="203"/>
      <c r="F146" s="203"/>
      <c r="G146" s="203"/>
      <c r="H146" s="203"/>
      <c r="I146" s="203"/>
      <c r="J146" s="137"/>
      <c r="K146" s="146"/>
      <c r="L146" s="137"/>
      <c r="M146" s="137"/>
      <c r="N146" s="137"/>
      <c r="O146" s="137"/>
      <c r="P146" s="137"/>
      <c r="Q146" s="165"/>
      <c r="R146" s="166"/>
      <c r="S146" s="166"/>
      <c r="T146" s="166"/>
      <c r="U146" s="167"/>
      <c r="V146" s="167"/>
      <c r="W146" s="167"/>
      <c r="X146" s="167"/>
      <c r="Y146" s="168"/>
      <c r="Z146" s="137"/>
      <c r="AA146" s="166"/>
      <c r="AB146" s="137"/>
      <c r="AC146" s="137"/>
      <c r="AD146" s="137"/>
      <c r="AE146" s="137"/>
      <c r="AF146" s="137"/>
      <c r="AG146" s="137"/>
      <c r="AH146" s="137"/>
      <c r="AI146" s="137"/>
      <c r="AJ146" s="169"/>
      <c r="AK146" s="137"/>
      <c r="AL146" s="137"/>
      <c r="AM146" s="137"/>
      <c r="AN146" s="137"/>
      <c r="AO146" s="137"/>
      <c r="AP146" s="137"/>
      <c r="AQ146" s="137"/>
      <c r="AR146" s="137"/>
      <c r="AS146" s="138"/>
      <c r="AT146" s="499"/>
      <c r="AU146" s="139"/>
      <c r="AV146" s="138"/>
      <c r="AW146" s="139"/>
      <c r="AX146" s="139"/>
      <c r="AY146" s="139"/>
      <c r="AZ146" s="139"/>
      <c r="BA146" s="139"/>
      <c r="BB146" s="139"/>
    </row>
    <row r="147" spans="1:54" ht="12.75" customHeight="1" x14ac:dyDescent="0.25">
      <c r="A147" s="200"/>
      <c r="B147" s="201" t="s">
        <v>143</v>
      </c>
      <c r="C147" s="202"/>
      <c r="D147" s="203"/>
      <c r="E147" s="203"/>
      <c r="F147" s="203"/>
      <c r="G147" s="203"/>
      <c r="H147" s="203"/>
      <c r="I147" s="203"/>
      <c r="J147" s="137"/>
      <c r="K147" s="146"/>
      <c r="L147" s="137"/>
      <c r="M147" s="137"/>
      <c r="N147" s="137"/>
      <c r="O147" s="137"/>
      <c r="P147" s="137"/>
      <c r="Q147" s="165"/>
      <c r="R147" s="166"/>
      <c r="S147" s="166"/>
      <c r="T147" s="166"/>
      <c r="U147" s="167"/>
      <c r="V147" s="167"/>
      <c r="W147" s="167"/>
      <c r="X147" s="167"/>
      <c r="Y147" s="168"/>
      <c r="Z147" s="137"/>
      <c r="AA147" s="166"/>
      <c r="AB147" s="137"/>
      <c r="AC147" s="137"/>
      <c r="AD147" s="137"/>
      <c r="AE147" s="137"/>
      <c r="AF147" s="137"/>
      <c r="AG147" s="137"/>
      <c r="AH147" s="137"/>
      <c r="AI147" s="137"/>
      <c r="AJ147" s="169"/>
      <c r="AK147" s="137"/>
      <c r="AL147" s="137"/>
      <c r="AM147" s="137"/>
      <c r="AN147" s="137"/>
      <c r="AO147" s="137"/>
      <c r="AP147" s="137"/>
      <c r="AQ147" s="137"/>
      <c r="AR147" s="137"/>
      <c r="AS147" s="138"/>
      <c r="AT147" s="499"/>
      <c r="AU147" s="139"/>
      <c r="AV147" s="138"/>
      <c r="AW147" s="139"/>
      <c r="AX147" s="139"/>
      <c r="AY147" s="139"/>
      <c r="AZ147" s="139"/>
      <c r="BA147" s="139"/>
      <c r="BB147" s="139"/>
    </row>
    <row r="148" spans="1:54" ht="12.75" customHeight="1" x14ac:dyDescent="0.25">
      <c r="A148" s="200"/>
      <c r="B148" s="204" t="s">
        <v>144</v>
      </c>
      <c r="C148" s="202">
        <v>12.9</v>
      </c>
      <c r="D148" s="203">
        <f t="shared" ref="D148:D150" si="175">C148*$K$39</f>
        <v>14.190000000000001</v>
      </c>
      <c r="E148" s="203" t="s">
        <v>6</v>
      </c>
      <c r="F148" s="203">
        <f>'Material and Labor Cost'!$D$18</f>
        <v>250.00000000000003</v>
      </c>
      <c r="G148" s="203">
        <f>'Material and Labor Cost'!$F$18</f>
        <v>350</v>
      </c>
      <c r="H148" s="203">
        <f t="shared" ref="H148:H154" si="176">SUM(F148:G148)</f>
        <v>600</v>
      </c>
      <c r="I148" s="203">
        <f t="shared" ref="I148:I154" si="177">H148*D148</f>
        <v>8514</v>
      </c>
      <c r="J148" s="137"/>
      <c r="K148" s="146"/>
      <c r="L148" s="137"/>
      <c r="M148" s="137"/>
      <c r="N148" s="137"/>
      <c r="O148" s="137"/>
      <c r="P148" s="137"/>
      <c r="Q148" s="223">
        <f t="shared" ref="Q148:Q154" si="178">SUM(AA148:AH148)</f>
        <v>5.676000000000001</v>
      </c>
      <c r="R148" s="224">
        <f t="shared" ref="R148:R154" si="179">Y148*D148</f>
        <v>2.8380000000000005</v>
      </c>
      <c r="S148" s="224">
        <f t="shared" ref="S148:S154" si="180">SUM(Q148:R148)</f>
        <v>8.5140000000000011</v>
      </c>
      <c r="T148" s="224">
        <f t="shared" ref="T148:T154" si="181">D148-S148</f>
        <v>5.6760000000000002</v>
      </c>
      <c r="U148" s="225">
        <f t="shared" ref="U148:U154" si="182">SUM(AJ147:AQ147)</f>
        <v>0</v>
      </c>
      <c r="V148" s="225">
        <f t="shared" ref="V148:V154" si="183">Y148*I148</f>
        <v>1702.8000000000002</v>
      </c>
      <c r="W148" s="225">
        <f t="shared" ref="W148:W154" si="184">SUM(U148:V148)</f>
        <v>1702.8000000000002</v>
      </c>
      <c r="X148" s="225">
        <f t="shared" ref="X148:X154" si="185">I148-W148</f>
        <v>6811.2</v>
      </c>
      <c r="Y148" s="168">
        <f t="shared" ref="Y148:Y154" si="186">SUM(AS148)</f>
        <v>0.2</v>
      </c>
      <c r="Z148" s="137"/>
      <c r="AA148" s="224">
        <v>5.676000000000001</v>
      </c>
      <c r="AB148" s="137"/>
      <c r="AC148" s="137"/>
      <c r="AD148" s="137"/>
      <c r="AE148" s="137"/>
      <c r="AF148" s="137"/>
      <c r="AG148" s="137"/>
      <c r="AH148" s="137"/>
      <c r="AI148" s="137"/>
      <c r="AJ148" s="169">
        <v>3405.6000000000004</v>
      </c>
      <c r="AK148" s="137"/>
      <c r="AL148" s="137"/>
      <c r="AM148" s="137"/>
      <c r="AN148" s="137"/>
      <c r="AO148" s="137"/>
      <c r="AP148" s="137"/>
      <c r="AQ148" s="137"/>
      <c r="AR148" s="137"/>
      <c r="AS148" s="138">
        <v>0.2</v>
      </c>
      <c r="AT148" s="499"/>
      <c r="AU148" s="139">
        <v>0.4</v>
      </c>
      <c r="AV148" s="138">
        <v>0.4</v>
      </c>
      <c r="AW148" s="139"/>
      <c r="AX148" s="139"/>
      <c r="AY148" s="139"/>
      <c r="AZ148" s="139"/>
      <c r="BA148" s="139"/>
      <c r="BB148" s="139"/>
    </row>
    <row r="149" spans="1:54" ht="12.75" customHeight="1" x14ac:dyDescent="0.25">
      <c r="A149" s="200"/>
      <c r="B149" s="204" t="s">
        <v>113</v>
      </c>
      <c r="C149" s="202">
        <v>10.565833333333334</v>
      </c>
      <c r="D149" s="203">
        <f t="shared" si="175"/>
        <v>11.622416666666668</v>
      </c>
      <c r="E149" s="203" t="s">
        <v>114</v>
      </c>
      <c r="F149" s="203">
        <f>'Material and Labor Cost'!$D$9</f>
        <v>126.50000000000001</v>
      </c>
      <c r="G149" s="203">
        <f>'Material and Labor Cost'!$F$9</f>
        <v>70</v>
      </c>
      <c r="H149" s="203">
        <f t="shared" si="176"/>
        <v>196.5</v>
      </c>
      <c r="I149" s="203">
        <f t="shared" si="177"/>
        <v>2283.8048750000003</v>
      </c>
      <c r="J149" s="137"/>
      <c r="K149" s="146"/>
      <c r="L149" s="137"/>
      <c r="M149" s="137"/>
      <c r="N149" s="137"/>
      <c r="O149" s="137"/>
      <c r="P149" s="137"/>
      <c r="Q149" s="223">
        <f t="shared" si="178"/>
        <v>4.6489666666666674</v>
      </c>
      <c r="R149" s="224">
        <f t="shared" si="179"/>
        <v>2.3244833333333337</v>
      </c>
      <c r="S149" s="224">
        <f t="shared" si="180"/>
        <v>6.9734500000000015</v>
      </c>
      <c r="T149" s="224">
        <f t="shared" si="181"/>
        <v>4.6489666666666665</v>
      </c>
      <c r="U149" s="225">
        <f t="shared" si="182"/>
        <v>3405.6000000000004</v>
      </c>
      <c r="V149" s="225">
        <f t="shared" si="183"/>
        <v>456.76097500000009</v>
      </c>
      <c r="W149" s="225">
        <f t="shared" si="184"/>
        <v>3862.3609750000005</v>
      </c>
      <c r="X149" s="225">
        <f t="shared" si="185"/>
        <v>-1578.5561000000002</v>
      </c>
      <c r="Y149" s="168">
        <f t="shared" si="186"/>
        <v>0.2</v>
      </c>
      <c r="Z149" s="137"/>
      <c r="AA149" s="224">
        <v>4.6489666666666674</v>
      </c>
      <c r="AB149" s="137"/>
      <c r="AC149" s="137"/>
      <c r="AD149" s="137"/>
      <c r="AE149" s="137"/>
      <c r="AF149" s="137"/>
      <c r="AG149" s="137"/>
      <c r="AH149" s="137"/>
      <c r="AI149" s="137"/>
      <c r="AJ149" s="169">
        <v>913.52195000000017</v>
      </c>
      <c r="AK149" s="137"/>
      <c r="AL149" s="137"/>
      <c r="AM149" s="137"/>
      <c r="AN149" s="137"/>
      <c r="AO149" s="137"/>
      <c r="AP149" s="137"/>
      <c r="AQ149" s="137"/>
      <c r="AR149" s="137"/>
      <c r="AS149" s="138">
        <v>0.2</v>
      </c>
      <c r="AT149" s="499"/>
      <c r="AU149" s="139">
        <v>0.4</v>
      </c>
      <c r="AV149" s="138">
        <v>0.4</v>
      </c>
      <c r="AW149" s="139"/>
      <c r="AX149" s="139"/>
      <c r="AY149" s="139"/>
      <c r="AZ149" s="139"/>
      <c r="BA149" s="139"/>
      <c r="BB149" s="139"/>
    </row>
    <row r="150" spans="1:54" ht="12.75" customHeight="1" x14ac:dyDescent="0.25">
      <c r="A150" s="200"/>
      <c r="B150" s="204" t="s">
        <v>115</v>
      </c>
      <c r="C150" s="202">
        <v>21.131666666666668</v>
      </c>
      <c r="D150" s="203">
        <f t="shared" si="175"/>
        <v>23.244833333333336</v>
      </c>
      <c r="E150" s="203" t="s">
        <v>114</v>
      </c>
      <c r="F150" s="203">
        <f>'Material and Labor Cost'!$D$10</f>
        <v>126.50000000000001</v>
      </c>
      <c r="G150" s="203">
        <f>'Material and Labor Cost'!$F$10</f>
        <v>70</v>
      </c>
      <c r="H150" s="203">
        <f t="shared" si="176"/>
        <v>196.5</v>
      </c>
      <c r="I150" s="203">
        <f t="shared" si="177"/>
        <v>4567.6097500000005</v>
      </c>
      <c r="J150" s="137"/>
      <c r="K150" s="146"/>
      <c r="L150" s="137"/>
      <c r="M150" s="137"/>
      <c r="N150" s="137"/>
      <c r="O150" s="137"/>
      <c r="P150" s="137"/>
      <c r="Q150" s="223">
        <f t="shared" si="178"/>
        <v>9.2979333333333347</v>
      </c>
      <c r="R150" s="224">
        <f t="shared" si="179"/>
        <v>4.6489666666666674</v>
      </c>
      <c r="S150" s="224">
        <f t="shared" si="180"/>
        <v>13.946900000000003</v>
      </c>
      <c r="T150" s="224">
        <f t="shared" si="181"/>
        <v>9.2979333333333329</v>
      </c>
      <c r="U150" s="225">
        <f t="shared" si="182"/>
        <v>913.52195000000017</v>
      </c>
      <c r="V150" s="225">
        <f t="shared" si="183"/>
        <v>913.52195000000017</v>
      </c>
      <c r="W150" s="225">
        <f t="shared" si="184"/>
        <v>1827.0439000000003</v>
      </c>
      <c r="X150" s="225">
        <f t="shared" si="185"/>
        <v>2740.56585</v>
      </c>
      <c r="Y150" s="168">
        <f t="shared" si="186"/>
        <v>0.2</v>
      </c>
      <c r="Z150" s="137"/>
      <c r="AA150" s="224">
        <v>9.2979333333333347</v>
      </c>
      <c r="AB150" s="137"/>
      <c r="AC150" s="137"/>
      <c r="AD150" s="137"/>
      <c r="AE150" s="137"/>
      <c r="AF150" s="137"/>
      <c r="AG150" s="137"/>
      <c r="AH150" s="137"/>
      <c r="AI150" s="137"/>
      <c r="AJ150" s="169">
        <v>1827.0439000000003</v>
      </c>
      <c r="AK150" s="137"/>
      <c r="AL150" s="137"/>
      <c r="AM150" s="137"/>
      <c r="AN150" s="137"/>
      <c r="AO150" s="137"/>
      <c r="AP150" s="137"/>
      <c r="AQ150" s="137"/>
      <c r="AR150" s="137"/>
      <c r="AS150" s="138">
        <v>0.2</v>
      </c>
      <c r="AT150" s="499"/>
      <c r="AU150" s="139">
        <v>0.4</v>
      </c>
      <c r="AV150" s="138">
        <v>0.4</v>
      </c>
      <c r="AW150" s="139"/>
      <c r="AX150" s="139"/>
      <c r="AY150" s="139"/>
      <c r="AZ150" s="139"/>
      <c r="BA150" s="139"/>
      <c r="BB150" s="139"/>
    </row>
    <row r="151" spans="1:54" ht="12.75" customHeight="1" x14ac:dyDescent="0.25">
      <c r="A151" s="200"/>
      <c r="B151" s="204" t="s">
        <v>117</v>
      </c>
      <c r="C151" s="202">
        <v>7</v>
      </c>
      <c r="D151" s="203">
        <f t="shared" ref="D151:D153" si="187">ROUNDUP(C151*$K$39,0)</f>
        <v>8</v>
      </c>
      <c r="E151" s="203" t="s">
        <v>118</v>
      </c>
      <c r="F151" s="203">
        <f>'Material and Labor Cost'!$D$11</f>
        <v>30.000000000000004</v>
      </c>
      <c r="G151" s="203">
        <f>'Material and Labor Cost'!$F$11</f>
        <v>20</v>
      </c>
      <c r="H151" s="203">
        <f t="shared" si="176"/>
        <v>50</v>
      </c>
      <c r="I151" s="203">
        <f t="shared" si="177"/>
        <v>400</v>
      </c>
      <c r="J151" s="137"/>
      <c r="K151" s="146"/>
      <c r="L151" s="137"/>
      <c r="M151" s="137"/>
      <c r="N151" s="137"/>
      <c r="O151" s="137"/>
      <c r="P151" s="137"/>
      <c r="Q151" s="223">
        <f t="shared" si="178"/>
        <v>3.2</v>
      </c>
      <c r="R151" s="224">
        <f t="shared" si="179"/>
        <v>1.6</v>
      </c>
      <c r="S151" s="224">
        <f t="shared" si="180"/>
        <v>4.8000000000000007</v>
      </c>
      <c r="T151" s="224">
        <f t="shared" si="181"/>
        <v>3.1999999999999993</v>
      </c>
      <c r="U151" s="225">
        <f t="shared" si="182"/>
        <v>1827.0439000000003</v>
      </c>
      <c r="V151" s="225">
        <f t="shared" si="183"/>
        <v>80</v>
      </c>
      <c r="W151" s="225">
        <f t="shared" si="184"/>
        <v>1907.0439000000003</v>
      </c>
      <c r="X151" s="225">
        <f t="shared" si="185"/>
        <v>-1507.0439000000003</v>
      </c>
      <c r="Y151" s="168">
        <f t="shared" si="186"/>
        <v>0.2</v>
      </c>
      <c r="Z151" s="137"/>
      <c r="AA151" s="224">
        <v>3.2</v>
      </c>
      <c r="AB151" s="137"/>
      <c r="AC151" s="137"/>
      <c r="AD151" s="137"/>
      <c r="AE151" s="137"/>
      <c r="AF151" s="137"/>
      <c r="AG151" s="137"/>
      <c r="AH151" s="137"/>
      <c r="AI151" s="137"/>
      <c r="AJ151" s="169">
        <v>160</v>
      </c>
      <c r="AK151" s="137"/>
      <c r="AL151" s="137"/>
      <c r="AM151" s="137"/>
      <c r="AN151" s="137"/>
      <c r="AO151" s="137"/>
      <c r="AP151" s="137"/>
      <c r="AQ151" s="137"/>
      <c r="AR151" s="137"/>
      <c r="AS151" s="138">
        <v>0.2</v>
      </c>
      <c r="AT151" s="499"/>
      <c r="AU151" s="139">
        <v>0.4</v>
      </c>
      <c r="AV151" s="138">
        <v>0.4</v>
      </c>
      <c r="AW151" s="139"/>
      <c r="AX151" s="139"/>
      <c r="AY151" s="139"/>
      <c r="AZ151" s="139"/>
      <c r="BA151" s="139"/>
      <c r="BB151" s="139"/>
    </row>
    <row r="152" spans="1:54" ht="12.75" customHeight="1" x14ac:dyDescent="0.25">
      <c r="A152" s="200"/>
      <c r="B152" s="204" t="s">
        <v>119</v>
      </c>
      <c r="C152" s="202">
        <v>29</v>
      </c>
      <c r="D152" s="203">
        <f t="shared" si="187"/>
        <v>32</v>
      </c>
      <c r="E152" s="203" t="s">
        <v>118</v>
      </c>
      <c r="F152" s="203">
        <f>'Material and Labor Cost'!$D$12</f>
        <v>10</v>
      </c>
      <c r="G152" s="203">
        <f>'Material and Labor Cost'!$F$12</f>
        <v>20</v>
      </c>
      <c r="H152" s="203">
        <f t="shared" si="176"/>
        <v>30</v>
      </c>
      <c r="I152" s="203">
        <f t="shared" si="177"/>
        <v>960</v>
      </c>
      <c r="J152" s="137"/>
      <c r="K152" s="146"/>
      <c r="L152" s="137"/>
      <c r="M152" s="137"/>
      <c r="N152" s="137"/>
      <c r="O152" s="137"/>
      <c r="P152" s="137"/>
      <c r="Q152" s="223">
        <f t="shared" si="178"/>
        <v>12.8</v>
      </c>
      <c r="R152" s="224">
        <f t="shared" si="179"/>
        <v>6.4</v>
      </c>
      <c r="S152" s="224">
        <f t="shared" si="180"/>
        <v>19.200000000000003</v>
      </c>
      <c r="T152" s="224">
        <f t="shared" si="181"/>
        <v>12.799999999999997</v>
      </c>
      <c r="U152" s="225">
        <f t="shared" si="182"/>
        <v>160</v>
      </c>
      <c r="V152" s="225">
        <f t="shared" si="183"/>
        <v>192</v>
      </c>
      <c r="W152" s="225">
        <f t="shared" si="184"/>
        <v>352</v>
      </c>
      <c r="X152" s="225">
        <f t="shared" si="185"/>
        <v>608</v>
      </c>
      <c r="Y152" s="168">
        <f t="shared" si="186"/>
        <v>0.2</v>
      </c>
      <c r="Z152" s="137"/>
      <c r="AA152" s="224">
        <v>12.8</v>
      </c>
      <c r="AB152" s="137"/>
      <c r="AC152" s="137"/>
      <c r="AD152" s="137"/>
      <c r="AE152" s="137"/>
      <c r="AF152" s="137"/>
      <c r="AG152" s="137"/>
      <c r="AH152" s="137"/>
      <c r="AI152" s="137"/>
      <c r="AJ152" s="169">
        <v>384</v>
      </c>
      <c r="AK152" s="137"/>
      <c r="AL152" s="137"/>
      <c r="AM152" s="137"/>
      <c r="AN152" s="137"/>
      <c r="AO152" s="137"/>
      <c r="AP152" s="137"/>
      <c r="AQ152" s="137"/>
      <c r="AR152" s="137"/>
      <c r="AS152" s="138">
        <v>0.2</v>
      </c>
      <c r="AT152" s="499"/>
      <c r="AU152" s="139">
        <v>0.4</v>
      </c>
      <c r="AV152" s="138">
        <v>0.4</v>
      </c>
      <c r="AW152" s="139"/>
      <c r="AX152" s="139"/>
      <c r="AY152" s="139"/>
      <c r="AZ152" s="139"/>
      <c r="BA152" s="139"/>
      <c r="BB152" s="139"/>
    </row>
    <row r="153" spans="1:54" ht="12.75" customHeight="1" x14ac:dyDescent="0.25">
      <c r="A153" s="200"/>
      <c r="B153" s="204" t="s">
        <v>120</v>
      </c>
      <c r="C153" s="202">
        <v>14.5</v>
      </c>
      <c r="D153" s="203">
        <f t="shared" si="187"/>
        <v>16</v>
      </c>
      <c r="E153" s="203" t="s">
        <v>114</v>
      </c>
      <c r="F153" s="203">
        <f>'Material and Labor Cost'!$D$13</f>
        <v>110.00000000000001</v>
      </c>
      <c r="G153" s="203">
        <f>'Material and Labor Cost'!$F$13</f>
        <v>60.000000000000007</v>
      </c>
      <c r="H153" s="203">
        <f t="shared" si="176"/>
        <v>170.00000000000003</v>
      </c>
      <c r="I153" s="203">
        <f t="shared" si="177"/>
        <v>2720.0000000000005</v>
      </c>
      <c r="J153" s="137"/>
      <c r="K153" s="146"/>
      <c r="L153" s="137"/>
      <c r="M153" s="137"/>
      <c r="N153" s="137"/>
      <c r="O153" s="137"/>
      <c r="P153" s="137"/>
      <c r="Q153" s="223">
        <f t="shared" si="178"/>
        <v>6.4</v>
      </c>
      <c r="R153" s="224">
        <f t="shared" si="179"/>
        <v>3.2</v>
      </c>
      <c r="S153" s="224">
        <f t="shared" si="180"/>
        <v>9.6000000000000014</v>
      </c>
      <c r="T153" s="224">
        <f t="shared" si="181"/>
        <v>6.3999999999999986</v>
      </c>
      <c r="U153" s="225">
        <f t="shared" si="182"/>
        <v>384</v>
      </c>
      <c r="V153" s="225">
        <f t="shared" si="183"/>
        <v>544.00000000000011</v>
      </c>
      <c r="W153" s="225">
        <f t="shared" si="184"/>
        <v>928.00000000000011</v>
      </c>
      <c r="X153" s="225">
        <f t="shared" si="185"/>
        <v>1792.0000000000005</v>
      </c>
      <c r="Y153" s="168">
        <f t="shared" si="186"/>
        <v>0.2</v>
      </c>
      <c r="Z153" s="137"/>
      <c r="AA153" s="224">
        <v>6.4</v>
      </c>
      <c r="AB153" s="137"/>
      <c r="AC153" s="137"/>
      <c r="AD153" s="137"/>
      <c r="AE153" s="137"/>
      <c r="AF153" s="137"/>
      <c r="AG153" s="137"/>
      <c r="AH153" s="137"/>
      <c r="AI153" s="137"/>
      <c r="AJ153" s="169">
        <v>1088.0000000000002</v>
      </c>
      <c r="AK153" s="137"/>
      <c r="AL153" s="137"/>
      <c r="AM153" s="137"/>
      <c r="AN153" s="137"/>
      <c r="AO153" s="137"/>
      <c r="AP153" s="137"/>
      <c r="AQ153" s="137"/>
      <c r="AR153" s="137"/>
      <c r="AS153" s="138">
        <v>0.2</v>
      </c>
      <c r="AT153" s="499"/>
      <c r="AU153" s="139">
        <v>0.4</v>
      </c>
      <c r="AV153" s="138">
        <v>0.4</v>
      </c>
      <c r="AW153" s="139"/>
      <c r="AX153" s="139"/>
      <c r="AY153" s="139"/>
      <c r="AZ153" s="139"/>
      <c r="BA153" s="139"/>
      <c r="BB153" s="139"/>
    </row>
    <row r="154" spans="1:54" ht="12.75" customHeight="1" x14ac:dyDescent="0.25">
      <c r="A154" s="200"/>
      <c r="B154" s="204" t="s">
        <v>124</v>
      </c>
      <c r="C154" s="202">
        <f>C148*2</f>
        <v>25.8</v>
      </c>
      <c r="D154" s="203">
        <f>C154*$K$39</f>
        <v>28.380000000000003</v>
      </c>
      <c r="E154" s="203" t="s">
        <v>6</v>
      </c>
      <c r="F154" s="203">
        <f>'Material and Labor Cost'!$D$14</f>
        <v>250.00000000000003</v>
      </c>
      <c r="G154" s="203">
        <f>'Material and Labor Cost'!$F$14</f>
        <v>350</v>
      </c>
      <c r="H154" s="203">
        <f t="shared" si="176"/>
        <v>600</v>
      </c>
      <c r="I154" s="203">
        <f t="shared" si="177"/>
        <v>17028</v>
      </c>
      <c r="J154" s="137"/>
      <c r="K154" s="146"/>
      <c r="L154" s="137"/>
      <c r="M154" s="137"/>
      <c r="N154" s="137"/>
      <c r="O154" s="137"/>
      <c r="P154" s="137"/>
      <c r="Q154" s="223">
        <f t="shared" si="178"/>
        <v>11.352000000000002</v>
      </c>
      <c r="R154" s="224">
        <f t="shared" si="179"/>
        <v>5.676000000000001</v>
      </c>
      <c r="S154" s="224">
        <f t="shared" si="180"/>
        <v>17.028000000000002</v>
      </c>
      <c r="T154" s="224">
        <f t="shared" si="181"/>
        <v>11.352</v>
      </c>
      <c r="U154" s="225">
        <f t="shared" si="182"/>
        <v>1088.0000000000002</v>
      </c>
      <c r="V154" s="225">
        <f t="shared" si="183"/>
        <v>3405.6000000000004</v>
      </c>
      <c r="W154" s="225">
        <f t="shared" si="184"/>
        <v>4493.6000000000004</v>
      </c>
      <c r="X154" s="225">
        <f t="shared" si="185"/>
        <v>12534.4</v>
      </c>
      <c r="Y154" s="168">
        <f t="shared" si="186"/>
        <v>0.2</v>
      </c>
      <c r="Z154" s="137"/>
      <c r="AA154" s="224">
        <v>11.352000000000002</v>
      </c>
      <c r="AB154" s="137"/>
      <c r="AC154" s="137"/>
      <c r="AD154" s="137"/>
      <c r="AE154" s="137"/>
      <c r="AF154" s="137"/>
      <c r="AG154" s="137"/>
      <c r="AH154" s="137"/>
      <c r="AI154" s="137"/>
      <c r="AJ154" s="169">
        <v>6811.2000000000007</v>
      </c>
      <c r="AK154" s="137"/>
      <c r="AL154" s="137"/>
      <c r="AM154" s="137"/>
      <c r="AN154" s="137"/>
      <c r="AO154" s="137"/>
      <c r="AP154" s="137"/>
      <c r="AQ154" s="137"/>
      <c r="AR154" s="137"/>
      <c r="AS154" s="138">
        <v>0.2</v>
      </c>
      <c r="AT154" s="499"/>
      <c r="AU154" s="139">
        <v>0.4</v>
      </c>
      <c r="AV154" s="138">
        <v>0.4</v>
      </c>
      <c r="AW154" s="139"/>
      <c r="AX154" s="139"/>
      <c r="AY154" s="139"/>
      <c r="AZ154" s="139"/>
      <c r="BA154" s="139"/>
      <c r="BB154" s="139"/>
    </row>
    <row r="155" spans="1:54" ht="12.75" customHeight="1" x14ac:dyDescent="0.25">
      <c r="A155" s="200"/>
      <c r="B155" s="204"/>
      <c r="C155" s="202"/>
      <c r="D155" s="203"/>
      <c r="E155" s="203"/>
      <c r="F155" s="203"/>
      <c r="G155" s="203"/>
      <c r="H155" s="203"/>
      <c r="I155" s="203"/>
      <c r="J155" s="137"/>
      <c r="K155" s="146"/>
      <c r="L155" s="137"/>
      <c r="M155" s="137"/>
      <c r="N155" s="137"/>
      <c r="O155" s="137"/>
      <c r="P155" s="137"/>
      <c r="Q155" s="165"/>
      <c r="R155" s="166"/>
      <c r="S155" s="166"/>
      <c r="T155" s="166"/>
      <c r="U155" s="167"/>
      <c r="V155" s="167"/>
      <c r="W155" s="167"/>
      <c r="X155" s="167"/>
      <c r="Y155" s="168"/>
      <c r="Z155" s="137"/>
      <c r="AA155" s="166"/>
      <c r="AB155" s="137"/>
      <c r="AC155" s="137"/>
      <c r="AD155" s="137"/>
      <c r="AE155" s="137"/>
      <c r="AF155" s="137"/>
      <c r="AG155" s="137"/>
      <c r="AH155" s="137"/>
      <c r="AI155" s="137"/>
      <c r="AJ155" s="169"/>
      <c r="AK155" s="137"/>
      <c r="AL155" s="137"/>
      <c r="AM155" s="137"/>
      <c r="AN155" s="137"/>
      <c r="AO155" s="137"/>
      <c r="AP155" s="137"/>
      <c r="AQ155" s="137"/>
      <c r="AR155" s="137"/>
      <c r="AS155" s="138"/>
      <c r="AT155" s="499"/>
      <c r="AU155" s="139"/>
      <c r="AV155" s="138"/>
      <c r="AW155" s="139"/>
      <c r="AX155" s="139"/>
      <c r="AY155" s="139"/>
      <c r="AZ155" s="139"/>
      <c r="BA155" s="139"/>
      <c r="BB155" s="139"/>
    </row>
    <row r="156" spans="1:54" ht="12.75" customHeight="1" x14ac:dyDescent="0.25">
      <c r="A156" s="207"/>
      <c r="B156" s="226" t="s">
        <v>145</v>
      </c>
      <c r="C156" s="209"/>
      <c r="D156" s="209"/>
      <c r="E156" s="209"/>
      <c r="F156" s="209"/>
      <c r="G156" s="209"/>
      <c r="H156" s="209"/>
      <c r="I156" s="209"/>
      <c r="J156" s="210"/>
      <c r="K156" s="212"/>
      <c r="L156" s="210"/>
      <c r="M156" s="210"/>
      <c r="N156" s="210"/>
      <c r="O156" s="210"/>
      <c r="P156" s="213"/>
      <c r="Q156" s="214"/>
      <c r="R156" s="215"/>
      <c r="S156" s="215"/>
      <c r="T156" s="215"/>
      <c r="U156" s="216"/>
      <c r="V156" s="216"/>
      <c r="W156" s="216"/>
      <c r="X156" s="216"/>
      <c r="Y156" s="217"/>
      <c r="Z156" s="218"/>
      <c r="AA156" s="215"/>
      <c r="AB156" s="210"/>
      <c r="AC156" s="210"/>
      <c r="AD156" s="211"/>
      <c r="AE156" s="211"/>
      <c r="AF156" s="211"/>
      <c r="AG156" s="211"/>
      <c r="AH156" s="211"/>
      <c r="AI156" s="211"/>
      <c r="AJ156" s="219"/>
      <c r="AK156" s="211"/>
      <c r="AL156" s="211"/>
      <c r="AM156" s="211"/>
      <c r="AN156" s="211"/>
      <c r="AO156" s="211"/>
      <c r="AP156" s="211"/>
      <c r="AQ156" s="211"/>
      <c r="AR156" s="211"/>
      <c r="AS156" s="138"/>
      <c r="AT156" s="499"/>
      <c r="AU156" s="220"/>
      <c r="AV156" s="138"/>
      <c r="AW156" s="220"/>
      <c r="AX156" s="220"/>
      <c r="AY156" s="220"/>
      <c r="AZ156" s="220"/>
      <c r="BA156" s="220"/>
      <c r="BB156" s="220"/>
    </row>
    <row r="157" spans="1:54" ht="12.75" customHeight="1" x14ac:dyDescent="0.25">
      <c r="A157" s="200"/>
      <c r="B157" s="204" t="s">
        <v>126</v>
      </c>
      <c r="C157" s="202">
        <v>46.8</v>
      </c>
      <c r="D157" s="203">
        <f t="shared" ref="D157:D159" si="188">C157*$K$39</f>
        <v>51.480000000000004</v>
      </c>
      <c r="E157" s="203" t="s">
        <v>6</v>
      </c>
      <c r="F157" s="203">
        <f>'Material and Labor Cost'!$D$15</f>
        <v>250.00000000000003</v>
      </c>
      <c r="G157" s="203">
        <f>'Material and Labor Cost'!$F$15</f>
        <v>350</v>
      </c>
      <c r="H157" s="203">
        <f t="shared" ref="H157:H163" si="189">SUM(F157:G157)</f>
        <v>600</v>
      </c>
      <c r="I157" s="203">
        <f t="shared" ref="I157:I163" si="190">H157*D157</f>
        <v>30888.000000000004</v>
      </c>
      <c r="J157" s="137"/>
      <c r="K157" s="146"/>
      <c r="L157" s="137"/>
      <c r="M157" s="137"/>
      <c r="N157" s="137"/>
      <c r="O157" s="137"/>
      <c r="P157" s="137"/>
      <c r="Q157" s="223">
        <f t="shared" ref="Q157:Q163" si="191">SUM(AA157:AH157)</f>
        <v>20.592000000000002</v>
      </c>
      <c r="R157" s="224">
        <f t="shared" ref="R157:R163" si="192">Y157*D157</f>
        <v>0</v>
      </c>
      <c r="S157" s="224">
        <f t="shared" ref="S157:S163" si="193">SUM(Q157:R157)</f>
        <v>20.592000000000002</v>
      </c>
      <c r="T157" s="224">
        <f t="shared" ref="T157:T163" si="194">D157-S157</f>
        <v>30.888000000000002</v>
      </c>
      <c r="U157" s="225">
        <f t="shared" ref="U157:U163" si="195">SUM(AJ156:AQ156)</f>
        <v>0</v>
      </c>
      <c r="V157" s="225">
        <f t="shared" ref="V157:V163" si="196">Y157*I157</f>
        <v>0</v>
      </c>
      <c r="W157" s="225">
        <f t="shared" ref="W157:W163" si="197">SUM(U157:V157)</f>
        <v>0</v>
      </c>
      <c r="X157" s="225">
        <f t="shared" ref="X157:X163" si="198">I157-W157</f>
        <v>30888.000000000004</v>
      </c>
      <c r="Y157" s="168">
        <f t="shared" ref="Y157:Y163" si="199">SUM(AS157)</f>
        <v>0</v>
      </c>
      <c r="Z157" s="137"/>
      <c r="AA157" s="224">
        <v>20.592000000000002</v>
      </c>
      <c r="AB157" s="137"/>
      <c r="AC157" s="137"/>
      <c r="AD157" s="137"/>
      <c r="AE157" s="137"/>
      <c r="AF157" s="137"/>
      <c r="AG157" s="137"/>
      <c r="AH157" s="137"/>
      <c r="AI157" s="137"/>
      <c r="AJ157" s="169">
        <v>12355.200000000003</v>
      </c>
      <c r="AK157" s="137"/>
      <c r="AL157" s="137"/>
      <c r="AM157" s="137"/>
      <c r="AN157" s="137"/>
      <c r="AO157" s="137"/>
      <c r="AP157" s="137"/>
      <c r="AQ157" s="137"/>
      <c r="AR157" s="137"/>
      <c r="AS157" s="138">
        <v>0</v>
      </c>
      <c r="AT157" s="499"/>
      <c r="AU157" s="139">
        <v>0.4</v>
      </c>
      <c r="AV157" s="138">
        <v>0.6</v>
      </c>
      <c r="AW157" s="139"/>
      <c r="AX157" s="139"/>
      <c r="AY157" s="139"/>
      <c r="AZ157" s="139"/>
      <c r="BA157" s="139"/>
      <c r="BB157" s="139"/>
    </row>
    <row r="158" spans="1:54" ht="12.75" customHeight="1" x14ac:dyDescent="0.25">
      <c r="A158" s="200"/>
      <c r="B158" s="204" t="s">
        <v>113</v>
      </c>
      <c r="C158" s="202">
        <v>76.096333333333334</v>
      </c>
      <c r="D158" s="203">
        <f t="shared" si="188"/>
        <v>83.705966666666669</v>
      </c>
      <c r="E158" s="203" t="s">
        <v>114</v>
      </c>
      <c r="F158" s="203">
        <f>'Material and Labor Cost'!$D$9</f>
        <v>126.50000000000001</v>
      </c>
      <c r="G158" s="203">
        <f>'Material and Labor Cost'!$F$9</f>
        <v>70</v>
      </c>
      <c r="H158" s="203">
        <f t="shared" si="189"/>
        <v>196.5</v>
      </c>
      <c r="I158" s="203">
        <f t="shared" si="190"/>
        <v>16448.222450000001</v>
      </c>
      <c r="J158" s="137"/>
      <c r="K158" s="146"/>
      <c r="L158" s="137"/>
      <c r="M158" s="137"/>
      <c r="N158" s="137"/>
      <c r="O158" s="137"/>
      <c r="P158" s="137"/>
      <c r="Q158" s="223">
        <f t="shared" si="191"/>
        <v>33.48238666666667</v>
      </c>
      <c r="R158" s="224">
        <f t="shared" si="192"/>
        <v>0</v>
      </c>
      <c r="S158" s="224">
        <f t="shared" si="193"/>
        <v>33.48238666666667</v>
      </c>
      <c r="T158" s="224">
        <f t="shared" si="194"/>
        <v>50.223579999999998</v>
      </c>
      <c r="U158" s="225">
        <f t="shared" si="195"/>
        <v>12355.200000000003</v>
      </c>
      <c r="V158" s="225">
        <f t="shared" si="196"/>
        <v>0</v>
      </c>
      <c r="W158" s="225">
        <f t="shared" si="197"/>
        <v>12355.200000000003</v>
      </c>
      <c r="X158" s="225">
        <f t="shared" si="198"/>
        <v>4093.0224499999986</v>
      </c>
      <c r="Y158" s="168">
        <f t="shared" si="199"/>
        <v>0</v>
      </c>
      <c r="Z158" s="137"/>
      <c r="AA158" s="224">
        <v>33.48238666666667</v>
      </c>
      <c r="AB158" s="137"/>
      <c r="AC158" s="137"/>
      <c r="AD158" s="137"/>
      <c r="AE158" s="137"/>
      <c r="AF158" s="137"/>
      <c r="AG158" s="137"/>
      <c r="AH158" s="137"/>
      <c r="AI158" s="137"/>
      <c r="AJ158" s="169">
        <v>6579.2889800000012</v>
      </c>
      <c r="AK158" s="137"/>
      <c r="AL158" s="137"/>
      <c r="AM158" s="137"/>
      <c r="AN158" s="137"/>
      <c r="AO158" s="137"/>
      <c r="AP158" s="137"/>
      <c r="AQ158" s="137"/>
      <c r="AR158" s="137"/>
      <c r="AS158" s="138">
        <v>0</v>
      </c>
      <c r="AT158" s="499"/>
      <c r="AU158" s="139">
        <v>0.4</v>
      </c>
      <c r="AV158" s="138">
        <v>0.6</v>
      </c>
      <c r="AW158" s="139"/>
      <c r="AX158" s="139"/>
      <c r="AY158" s="139"/>
      <c r="AZ158" s="139"/>
      <c r="BA158" s="139"/>
      <c r="BB158" s="139"/>
    </row>
    <row r="159" spans="1:54" ht="12.75" customHeight="1" x14ac:dyDescent="0.25">
      <c r="A159" s="200"/>
      <c r="B159" s="204" t="s">
        <v>115</v>
      </c>
      <c r="C159" s="202">
        <v>114.14449999999999</v>
      </c>
      <c r="D159" s="203">
        <f t="shared" si="188"/>
        <v>125.55895000000001</v>
      </c>
      <c r="E159" s="203" t="s">
        <v>114</v>
      </c>
      <c r="F159" s="203">
        <f>'Material and Labor Cost'!$D$10</f>
        <v>126.50000000000001</v>
      </c>
      <c r="G159" s="203">
        <f>'Material and Labor Cost'!$F$10</f>
        <v>70</v>
      </c>
      <c r="H159" s="203">
        <f t="shared" si="189"/>
        <v>196.5</v>
      </c>
      <c r="I159" s="203">
        <f t="shared" si="190"/>
        <v>24672.333675000002</v>
      </c>
      <c r="J159" s="137"/>
      <c r="K159" s="146"/>
      <c r="L159" s="137"/>
      <c r="M159" s="137"/>
      <c r="N159" s="137"/>
      <c r="O159" s="137"/>
      <c r="P159" s="137"/>
      <c r="Q159" s="223">
        <f t="shared" si="191"/>
        <v>50.223580000000005</v>
      </c>
      <c r="R159" s="224">
        <f t="shared" si="192"/>
        <v>0</v>
      </c>
      <c r="S159" s="224">
        <f t="shared" si="193"/>
        <v>50.223580000000005</v>
      </c>
      <c r="T159" s="224">
        <f t="shared" si="194"/>
        <v>75.335370000000012</v>
      </c>
      <c r="U159" s="225">
        <f t="shared" si="195"/>
        <v>6579.2889800000012</v>
      </c>
      <c r="V159" s="225">
        <f t="shared" si="196"/>
        <v>0</v>
      </c>
      <c r="W159" s="225">
        <f t="shared" si="197"/>
        <v>6579.2889800000012</v>
      </c>
      <c r="X159" s="225">
        <f t="shared" si="198"/>
        <v>18093.044695000001</v>
      </c>
      <c r="Y159" s="168">
        <f t="shared" si="199"/>
        <v>0</v>
      </c>
      <c r="Z159" s="137"/>
      <c r="AA159" s="224">
        <v>50.223580000000005</v>
      </c>
      <c r="AB159" s="137"/>
      <c r="AC159" s="137"/>
      <c r="AD159" s="137"/>
      <c r="AE159" s="137"/>
      <c r="AF159" s="137"/>
      <c r="AG159" s="137"/>
      <c r="AH159" s="137"/>
      <c r="AI159" s="137"/>
      <c r="AJ159" s="169">
        <v>9868.9334700000018</v>
      </c>
      <c r="AK159" s="137"/>
      <c r="AL159" s="137"/>
      <c r="AM159" s="137"/>
      <c r="AN159" s="137"/>
      <c r="AO159" s="137"/>
      <c r="AP159" s="137"/>
      <c r="AQ159" s="137"/>
      <c r="AR159" s="137"/>
      <c r="AS159" s="138">
        <v>0</v>
      </c>
      <c r="AT159" s="499"/>
      <c r="AU159" s="139">
        <v>0.4</v>
      </c>
      <c r="AV159" s="138">
        <v>0.6</v>
      </c>
      <c r="AW159" s="139"/>
      <c r="AX159" s="139"/>
      <c r="AY159" s="139"/>
      <c r="AZ159" s="139"/>
      <c r="BA159" s="139"/>
      <c r="BB159" s="139"/>
    </row>
    <row r="160" spans="1:54" ht="12.75" customHeight="1" x14ac:dyDescent="0.25">
      <c r="A160" s="200"/>
      <c r="B160" s="204" t="s">
        <v>117</v>
      </c>
      <c r="C160" s="202">
        <v>46</v>
      </c>
      <c r="D160" s="203">
        <f t="shared" ref="D160:D161" si="200">ROUNDUP(C160*$K$39,0)</f>
        <v>51</v>
      </c>
      <c r="E160" s="203" t="s">
        <v>118</v>
      </c>
      <c r="F160" s="203">
        <f>'Material and Labor Cost'!$D$11</f>
        <v>30.000000000000004</v>
      </c>
      <c r="G160" s="203">
        <f>'Material and Labor Cost'!$F$11</f>
        <v>20</v>
      </c>
      <c r="H160" s="203">
        <f t="shared" si="189"/>
        <v>50</v>
      </c>
      <c r="I160" s="203">
        <f t="shared" si="190"/>
        <v>2550</v>
      </c>
      <c r="J160" s="137"/>
      <c r="K160" s="146"/>
      <c r="L160" s="137"/>
      <c r="M160" s="137"/>
      <c r="N160" s="137"/>
      <c r="O160" s="137"/>
      <c r="P160" s="137"/>
      <c r="Q160" s="223">
        <f t="shared" si="191"/>
        <v>20.400000000000002</v>
      </c>
      <c r="R160" s="224">
        <f t="shared" si="192"/>
        <v>0</v>
      </c>
      <c r="S160" s="224">
        <f t="shared" si="193"/>
        <v>20.400000000000002</v>
      </c>
      <c r="T160" s="224">
        <f t="shared" si="194"/>
        <v>30.599999999999998</v>
      </c>
      <c r="U160" s="225">
        <f t="shared" si="195"/>
        <v>9868.9334700000018</v>
      </c>
      <c r="V160" s="225">
        <f t="shared" si="196"/>
        <v>0</v>
      </c>
      <c r="W160" s="225">
        <f t="shared" si="197"/>
        <v>9868.9334700000018</v>
      </c>
      <c r="X160" s="225">
        <f t="shared" si="198"/>
        <v>-7318.9334700000018</v>
      </c>
      <c r="Y160" s="168">
        <f t="shared" si="199"/>
        <v>0</v>
      </c>
      <c r="Z160" s="137"/>
      <c r="AA160" s="224">
        <v>20.400000000000002</v>
      </c>
      <c r="AB160" s="137"/>
      <c r="AC160" s="137"/>
      <c r="AD160" s="137"/>
      <c r="AE160" s="137"/>
      <c r="AF160" s="137"/>
      <c r="AG160" s="137"/>
      <c r="AH160" s="137"/>
      <c r="AI160" s="137"/>
      <c r="AJ160" s="169">
        <v>1020</v>
      </c>
      <c r="AK160" s="137"/>
      <c r="AL160" s="137"/>
      <c r="AM160" s="137"/>
      <c r="AN160" s="137"/>
      <c r="AO160" s="137"/>
      <c r="AP160" s="137"/>
      <c r="AQ160" s="137"/>
      <c r="AR160" s="137"/>
      <c r="AS160" s="138">
        <v>0</v>
      </c>
      <c r="AT160" s="499"/>
      <c r="AU160" s="139">
        <v>0.4</v>
      </c>
      <c r="AV160" s="138">
        <v>0.6</v>
      </c>
      <c r="AW160" s="139"/>
      <c r="AX160" s="139"/>
      <c r="AY160" s="139"/>
      <c r="AZ160" s="139"/>
      <c r="BA160" s="139"/>
      <c r="BB160" s="139"/>
    </row>
    <row r="161" spans="1:54" ht="12.75" customHeight="1" x14ac:dyDescent="0.25">
      <c r="A161" s="200"/>
      <c r="B161" s="204" t="s">
        <v>119</v>
      </c>
      <c r="C161" s="202">
        <v>274</v>
      </c>
      <c r="D161" s="203">
        <f t="shared" si="200"/>
        <v>302</v>
      </c>
      <c r="E161" s="203" t="s">
        <v>118</v>
      </c>
      <c r="F161" s="203">
        <f>'Material and Labor Cost'!$D$12</f>
        <v>10</v>
      </c>
      <c r="G161" s="203">
        <f>'Material and Labor Cost'!$F$12</f>
        <v>20</v>
      </c>
      <c r="H161" s="203">
        <f t="shared" si="189"/>
        <v>30</v>
      </c>
      <c r="I161" s="203">
        <f t="shared" si="190"/>
        <v>9060</v>
      </c>
      <c r="J161" s="137"/>
      <c r="K161" s="146"/>
      <c r="L161" s="137"/>
      <c r="M161" s="137"/>
      <c r="N161" s="137"/>
      <c r="O161" s="137"/>
      <c r="P161" s="137"/>
      <c r="Q161" s="223">
        <f t="shared" si="191"/>
        <v>120.80000000000001</v>
      </c>
      <c r="R161" s="224">
        <f t="shared" si="192"/>
        <v>0</v>
      </c>
      <c r="S161" s="224">
        <f t="shared" si="193"/>
        <v>120.80000000000001</v>
      </c>
      <c r="T161" s="224">
        <f t="shared" si="194"/>
        <v>181.2</v>
      </c>
      <c r="U161" s="225">
        <f t="shared" si="195"/>
        <v>1020</v>
      </c>
      <c r="V161" s="225">
        <f t="shared" si="196"/>
        <v>0</v>
      </c>
      <c r="W161" s="225">
        <f t="shared" si="197"/>
        <v>1020</v>
      </c>
      <c r="X161" s="225">
        <f t="shared" si="198"/>
        <v>8040</v>
      </c>
      <c r="Y161" s="168">
        <f t="shared" si="199"/>
        <v>0</v>
      </c>
      <c r="Z161" s="137"/>
      <c r="AA161" s="224">
        <v>120.80000000000001</v>
      </c>
      <c r="AB161" s="137"/>
      <c r="AC161" s="137"/>
      <c r="AD161" s="137"/>
      <c r="AE161" s="137"/>
      <c r="AF161" s="137"/>
      <c r="AG161" s="137"/>
      <c r="AH161" s="137"/>
      <c r="AI161" s="137"/>
      <c r="AJ161" s="169">
        <v>3624</v>
      </c>
      <c r="AK161" s="137"/>
      <c r="AL161" s="137"/>
      <c r="AM161" s="137"/>
      <c r="AN161" s="137"/>
      <c r="AO161" s="137"/>
      <c r="AP161" s="137"/>
      <c r="AQ161" s="137"/>
      <c r="AR161" s="137"/>
      <c r="AS161" s="138">
        <v>0</v>
      </c>
      <c r="AT161" s="499"/>
      <c r="AU161" s="139">
        <v>0.4</v>
      </c>
      <c r="AV161" s="138">
        <v>0.6</v>
      </c>
      <c r="AW161" s="139"/>
      <c r="AX161" s="139"/>
      <c r="AY161" s="139"/>
      <c r="AZ161" s="139"/>
      <c r="BA161" s="139"/>
      <c r="BB161" s="139"/>
    </row>
    <row r="162" spans="1:54" ht="12.75" customHeight="1" x14ac:dyDescent="0.25">
      <c r="A162" s="200"/>
      <c r="B162" s="204" t="s">
        <v>127</v>
      </c>
      <c r="C162" s="202">
        <v>7.1816666666666666</v>
      </c>
      <c r="D162" s="203">
        <f t="shared" ref="D162:D163" si="201">C162*$K$39</f>
        <v>7.8998333333333344</v>
      </c>
      <c r="E162" s="203" t="s">
        <v>114</v>
      </c>
      <c r="F162" s="203">
        <f>'Material and Labor Cost'!$D$16</f>
        <v>110.00000000000001</v>
      </c>
      <c r="G162" s="203">
        <f>'Material and Labor Cost'!$F$16</f>
        <v>20</v>
      </c>
      <c r="H162" s="203">
        <f t="shared" si="189"/>
        <v>130</v>
      </c>
      <c r="I162" s="203">
        <f t="shared" si="190"/>
        <v>1026.9783333333335</v>
      </c>
      <c r="J162" s="137"/>
      <c r="K162" s="146"/>
      <c r="L162" s="137"/>
      <c r="M162" s="137"/>
      <c r="N162" s="137"/>
      <c r="O162" s="137"/>
      <c r="P162" s="137"/>
      <c r="Q162" s="223">
        <f t="shared" si="191"/>
        <v>3.1599333333333339</v>
      </c>
      <c r="R162" s="224">
        <f t="shared" si="192"/>
        <v>0</v>
      </c>
      <c r="S162" s="224">
        <f t="shared" si="193"/>
        <v>3.1599333333333339</v>
      </c>
      <c r="T162" s="224">
        <f t="shared" si="194"/>
        <v>4.7399000000000004</v>
      </c>
      <c r="U162" s="225">
        <f t="shared" si="195"/>
        <v>3624</v>
      </c>
      <c r="V162" s="225">
        <f t="shared" si="196"/>
        <v>0</v>
      </c>
      <c r="W162" s="225">
        <f t="shared" si="197"/>
        <v>3624</v>
      </c>
      <c r="X162" s="225">
        <f t="shared" si="198"/>
        <v>-2597.0216666666665</v>
      </c>
      <c r="Y162" s="168">
        <f t="shared" si="199"/>
        <v>0</v>
      </c>
      <c r="Z162" s="137"/>
      <c r="AA162" s="224">
        <v>3.1599333333333339</v>
      </c>
      <c r="AB162" s="137"/>
      <c r="AC162" s="137"/>
      <c r="AD162" s="137"/>
      <c r="AE162" s="137"/>
      <c r="AF162" s="137"/>
      <c r="AG162" s="137"/>
      <c r="AH162" s="137"/>
      <c r="AI162" s="137"/>
      <c r="AJ162" s="169">
        <v>410.7913333333334</v>
      </c>
      <c r="AK162" s="137"/>
      <c r="AL162" s="137"/>
      <c r="AM162" s="137"/>
      <c r="AN162" s="137"/>
      <c r="AO162" s="137"/>
      <c r="AP162" s="137"/>
      <c r="AQ162" s="137"/>
      <c r="AR162" s="137"/>
      <c r="AS162" s="138">
        <v>0</v>
      </c>
      <c r="AT162" s="499"/>
      <c r="AU162" s="139">
        <v>0.4</v>
      </c>
      <c r="AV162" s="138">
        <v>0.6</v>
      </c>
      <c r="AW162" s="139"/>
      <c r="AX162" s="139"/>
      <c r="AY162" s="139"/>
      <c r="AZ162" s="139"/>
      <c r="BA162" s="139"/>
      <c r="BB162" s="139"/>
    </row>
    <row r="163" spans="1:54" ht="12.75" customHeight="1" x14ac:dyDescent="0.25">
      <c r="A163" s="200"/>
      <c r="B163" s="204" t="s">
        <v>128</v>
      </c>
      <c r="C163" s="202">
        <v>65</v>
      </c>
      <c r="D163" s="203">
        <f t="shared" si="201"/>
        <v>71.5</v>
      </c>
      <c r="E163" s="203" t="s">
        <v>114</v>
      </c>
      <c r="F163" s="203">
        <f>'Material and Labor Cost'!$D$17</f>
        <v>110.00000000000001</v>
      </c>
      <c r="G163" s="203">
        <f>'Material and Labor Cost'!$F$17</f>
        <v>20</v>
      </c>
      <c r="H163" s="203">
        <f t="shared" si="189"/>
        <v>130</v>
      </c>
      <c r="I163" s="203">
        <f t="shared" si="190"/>
        <v>9295</v>
      </c>
      <c r="J163" s="137"/>
      <c r="K163" s="146"/>
      <c r="L163" s="137"/>
      <c r="M163" s="137"/>
      <c r="N163" s="137"/>
      <c r="O163" s="137"/>
      <c r="P163" s="137"/>
      <c r="Q163" s="223">
        <f t="shared" si="191"/>
        <v>28.6</v>
      </c>
      <c r="R163" s="224">
        <f t="shared" si="192"/>
        <v>0</v>
      </c>
      <c r="S163" s="224">
        <f t="shared" si="193"/>
        <v>28.6</v>
      </c>
      <c r="T163" s="224">
        <f t="shared" si="194"/>
        <v>42.9</v>
      </c>
      <c r="U163" s="225">
        <f t="shared" si="195"/>
        <v>410.7913333333334</v>
      </c>
      <c r="V163" s="225">
        <f t="shared" si="196"/>
        <v>0</v>
      </c>
      <c r="W163" s="225">
        <f t="shared" si="197"/>
        <v>410.7913333333334</v>
      </c>
      <c r="X163" s="225">
        <f t="shared" si="198"/>
        <v>8884.2086666666673</v>
      </c>
      <c r="Y163" s="168">
        <f t="shared" si="199"/>
        <v>0</v>
      </c>
      <c r="Z163" s="137"/>
      <c r="AA163" s="224">
        <v>28.6</v>
      </c>
      <c r="AB163" s="137"/>
      <c r="AC163" s="137"/>
      <c r="AD163" s="137"/>
      <c r="AE163" s="137"/>
      <c r="AF163" s="137"/>
      <c r="AG163" s="137"/>
      <c r="AH163" s="137"/>
      <c r="AI163" s="137"/>
      <c r="AJ163" s="169">
        <v>3718</v>
      </c>
      <c r="AK163" s="137"/>
      <c r="AL163" s="137"/>
      <c r="AM163" s="137"/>
      <c r="AN163" s="137"/>
      <c r="AO163" s="137"/>
      <c r="AP163" s="137"/>
      <c r="AQ163" s="137"/>
      <c r="AR163" s="137"/>
      <c r="AS163" s="138">
        <v>0</v>
      </c>
      <c r="AT163" s="499"/>
      <c r="AU163" s="139">
        <v>0.4</v>
      </c>
      <c r="AV163" s="138">
        <v>0.6</v>
      </c>
      <c r="AW163" s="139"/>
      <c r="AX163" s="139"/>
      <c r="AY163" s="139"/>
      <c r="AZ163" s="139"/>
      <c r="BA163" s="139"/>
      <c r="BB163" s="139"/>
    </row>
    <row r="164" spans="1:54" ht="12.75" customHeight="1" x14ac:dyDescent="0.25">
      <c r="A164" s="200"/>
      <c r="B164" s="204"/>
      <c r="C164" s="202"/>
      <c r="D164" s="203"/>
      <c r="E164" s="203"/>
      <c r="F164" s="203"/>
      <c r="G164" s="203"/>
      <c r="H164" s="203"/>
      <c r="I164" s="203"/>
      <c r="J164" s="137"/>
      <c r="K164" s="146"/>
      <c r="L164" s="137"/>
      <c r="M164" s="137"/>
      <c r="N164" s="137"/>
      <c r="O164" s="137"/>
      <c r="P164" s="137"/>
      <c r="Q164" s="165"/>
      <c r="R164" s="166"/>
      <c r="S164" s="166"/>
      <c r="T164" s="166"/>
      <c r="U164" s="167"/>
      <c r="V164" s="167"/>
      <c r="W164" s="167"/>
      <c r="X164" s="167"/>
      <c r="Y164" s="168"/>
      <c r="Z164" s="137"/>
      <c r="AA164" s="166"/>
      <c r="AB164" s="137"/>
      <c r="AC164" s="137"/>
      <c r="AD164" s="137"/>
      <c r="AE164" s="137"/>
      <c r="AF164" s="137"/>
      <c r="AG164" s="137"/>
      <c r="AH164" s="137"/>
      <c r="AI164" s="137"/>
      <c r="AJ164" s="169"/>
      <c r="AK164" s="137"/>
      <c r="AL164" s="137"/>
      <c r="AM164" s="137"/>
      <c r="AN164" s="137"/>
      <c r="AO164" s="137"/>
      <c r="AP164" s="137"/>
      <c r="AQ164" s="137"/>
      <c r="AR164" s="137"/>
      <c r="AS164" s="138"/>
      <c r="AT164" s="499"/>
      <c r="AU164" s="139"/>
      <c r="AV164" s="138"/>
      <c r="AW164" s="139"/>
      <c r="AX164" s="139"/>
      <c r="AY164" s="139"/>
      <c r="AZ164" s="139"/>
      <c r="BA164" s="139"/>
      <c r="BB164" s="139"/>
    </row>
    <row r="165" spans="1:54" ht="12.75" customHeight="1" x14ac:dyDescent="0.25">
      <c r="A165" s="200"/>
      <c r="B165" s="204" t="s">
        <v>129</v>
      </c>
      <c r="C165" s="202"/>
      <c r="D165" s="203">
        <v>1</v>
      </c>
      <c r="E165" s="203" t="s">
        <v>94</v>
      </c>
      <c r="F165" s="203"/>
      <c r="G165" s="203"/>
      <c r="H165" s="203"/>
      <c r="I165" s="203">
        <f>SUM(I130:I163)*$K$44</f>
        <v>14746.002332685775</v>
      </c>
      <c r="J165" s="137"/>
      <c r="K165" s="146"/>
      <c r="L165" s="137"/>
      <c r="M165" s="137"/>
      <c r="N165" s="137"/>
      <c r="O165" s="137"/>
      <c r="P165" s="137"/>
      <c r="Q165" s="223">
        <f>SUM(AA165:AH165)</f>
        <v>0.3</v>
      </c>
      <c r="R165" s="224">
        <f>Y165*D165</f>
        <v>0.4</v>
      </c>
      <c r="S165" s="224">
        <f>SUM(Q165:R165)</f>
        <v>0.7</v>
      </c>
      <c r="T165" s="224">
        <f>D165-S165</f>
        <v>0.30000000000000004</v>
      </c>
      <c r="U165" s="225">
        <f>SUM(AJ164:AQ164)</f>
        <v>0</v>
      </c>
      <c r="V165" s="225">
        <f>Y165*I165</f>
        <v>5898.4009330743102</v>
      </c>
      <c r="W165" s="225">
        <f>SUM(U165:V165)</f>
        <v>5898.4009330743102</v>
      </c>
      <c r="X165" s="225">
        <f>I165-W165</f>
        <v>8847.6013996114652</v>
      </c>
      <c r="Y165" s="168">
        <f>SUM(AS165)</f>
        <v>0.4</v>
      </c>
      <c r="Z165" s="137"/>
      <c r="AA165" s="224">
        <v>0.3</v>
      </c>
      <c r="AB165" s="137"/>
      <c r="AC165" s="137"/>
      <c r="AD165" s="137"/>
      <c r="AE165" s="137"/>
      <c r="AF165" s="137"/>
      <c r="AG165" s="137"/>
      <c r="AH165" s="137"/>
      <c r="AI165" s="137"/>
      <c r="AJ165" s="169">
        <v>4423.8006998057326</v>
      </c>
      <c r="AK165" s="137"/>
      <c r="AL165" s="137"/>
      <c r="AM165" s="137"/>
      <c r="AN165" s="137"/>
      <c r="AO165" s="137"/>
      <c r="AP165" s="137"/>
      <c r="AQ165" s="137"/>
      <c r="AR165" s="137"/>
      <c r="AS165" s="138">
        <v>0.4</v>
      </c>
      <c r="AT165" s="499"/>
      <c r="AU165" s="139">
        <v>0.3</v>
      </c>
      <c r="AV165" s="138">
        <v>0.3</v>
      </c>
      <c r="AW165" s="139"/>
      <c r="AX165" s="139"/>
      <c r="AY165" s="139"/>
      <c r="AZ165" s="139"/>
      <c r="BA165" s="139"/>
      <c r="BB165" s="139"/>
    </row>
    <row r="166" spans="1:54" ht="12.75" customHeight="1" x14ac:dyDescent="0.25">
      <c r="A166" s="207"/>
      <c r="B166" s="500" t="s">
        <v>146</v>
      </c>
      <c r="C166" s="501"/>
      <c r="D166" s="501"/>
      <c r="E166" s="501"/>
      <c r="F166" s="501"/>
      <c r="G166" s="501"/>
      <c r="H166" s="502"/>
      <c r="I166" s="172">
        <f>SUM(I129:I165)</f>
        <v>309666.04898640123</v>
      </c>
      <c r="J166" s="210"/>
      <c r="K166" s="212"/>
      <c r="L166" s="210"/>
      <c r="M166" s="210"/>
      <c r="N166" s="210"/>
      <c r="O166" s="210"/>
      <c r="P166" s="213"/>
      <c r="Q166" s="176">
        <f t="shared" ref="Q166:X166" si="202">SUM(Q130:Q165)</f>
        <v>572.25951261146497</v>
      </c>
      <c r="R166" s="177">
        <f t="shared" si="202"/>
        <v>147.75080630573248</v>
      </c>
      <c r="S166" s="177">
        <f t="shared" si="202"/>
        <v>720.01031891719765</v>
      </c>
      <c r="T166" s="177">
        <f t="shared" si="202"/>
        <v>710.88846261146489</v>
      </c>
      <c r="U166" s="178">
        <f t="shared" si="202"/>
        <v>77342.818661486206</v>
      </c>
      <c r="V166" s="178">
        <f t="shared" si="202"/>
        <v>46094.303372150753</v>
      </c>
      <c r="W166" s="178">
        <f t="shared" si="202"/>
        <v>123437.12203363697</v>
      </c>
      <c r="X166" s="178">
        <f t="shared" si="202"/>
        <v>186228.92695276433</v>
      </c>
      <c r="Y166" s="227">
        <f>SUM(Y130:Y165)/COUNT(Y130:Y165)</f>
        <v>0.15862068965517245</v>
      </c>
      <c r="Z166" s="218"/>
      <c r="AA166" s="177">
        <v>572.25951261146497</v>
      </c>
      <c r="AB166" s="210"/>
      <c r="AC166" s="210"/>
      <c r="AD166" s="211"/>
      <c r="AE166" s="211"/>
      <c r="AF166" s="211"/>
      <c r="AG166" s="211"/>
      <c r="AH166" s="211"/>
      <c r="AI166" s="211"/>
      <c r="AJ166" s="219">
        <v>122391.81936129194</v>
      </c>
      <c r="AK166" s="211"/>
      <c r="AL166" s="211"/>
      <c r="AM166" s="211"/>
      <c r="AN166" s="211"/>
      <c r="AO166" s="211"/>
      <c r="AP166" s="211"/>
      <c r="AQ166" s="211"/>
      <c r="AR166" s="211"/>
      <c r="AS166" s="138"/>
      <c r="AT166" s="499"/>
      <c r="AU166" s="227">
        <f>SUM(AU130:AU165)/COUNT(AU130:AU165)</f>
        <v>0.39655172413793122</v>
      </c>
      <c r="AV166" s="227">
        <f>SUM(AV130:AV165)/COUNT(AV130:AV165)</f>
        <v>0.44482758620689655</v>
      </c>
      <c r="AW166" s="220"/>
      <c r="AX166" s="220"/>
      <c r="AY166" s="220"/>
      <c r="AZ166" s="220"/>
      <c r="BA166" s="220"/>
      <c r="BB166" s="220"/>
    </row>
    <row r="167" spans="1:54" ht="12.75" customHeight="1" x14ac:dyDescent="0.25">
      <c r="A167" s="228"/>
      <c r="B167" s="510" t="s">
        <v>147</v>
      </c>
      <c r="C167" s="501"/>
      <c r="D167" s="501"/>
      <c r="E167" s="501"/>
      <c r="F167" s="501"/>
      <c r="G167" s="501"/>
      <c r="H167" s="502"/>
      <c r="I167" s="229">
        <f>SUM(I63,I127,I166)</f>
        <v>942300.43814511341</v>
      </c>
      <c r="J167" s="230"/>
      <c r="K167" s="231"/>
      <c r="L167" s="230"/>
      <c r="M167" s="230"/>
      <c r="N167" s="230"/>
      <c r="O167" s="230"/>
      <c r="P167" s="232"/>
      <c r="Q167" s="233">
        <f t="shared" ref="Q167:X167" si="203">SUM(Q166,Q127,Q63)</f>
        <v>1803.560079562179</v>
      </c>
      <c r="R167" s="234">
        <f t="shared" si="203"/>
        <v>419.18248472308619</v>
      </c>
      <c r="S167" s="234">
        <f t="shared" si="203"/>
        <v>2222.7425642852659</v>
      </c>
      <c r="T167" s="234">
        <f t="shared" si="203"/>
        <v>1792.5724378114919</v>
      </c>
      <c r="U167" s="235">
        <f t="shared" si="203"/>
        <v>242815.64842036279</v>
      </c>
      <c r="V167" s="235">
        <f t="shared" si="203"/>
        <v>134756.62733235105</v>
      </c>
      <c r="W167" s="235">
        <f t="shared" si="203"/>
        <v>377572.27575271385</v>
      </c>
      <c r="X167" s="235">
        <f t="shared" si="203"/>
        <v>564728.16239239974</v>
      </c>
      <c r="Y167" s="236">
        <f>SUM(Y166,Y127,Y63)/3</f>
        <v>0.1392000938306357</v>
      </c>
      <c r="Z167" s="237"/>
      <c r="AA167" s="234">
        <v>1803.560079562179</v>
      </c>
      <c r="AB167" s="230"/>
      <c r="AC167" s="230"/>
      <c r="AD167" s="238"/>
      <c r="AE167" s="238"/>
      <c r="AF167" s="238"/>
      <c r="AG167" s="238"/>
      <c r="AH167" s="238"/>
      <c r="AI167" s="238"/>
      <c r="AJ167" s="239">
        <v>409966.42043902306</v>
      </c>
      <c r="AK167" s="238"/>
      <c r="AL167" s="238"/>
      <c r="AM167" s="238"/>
      <c r="AN167" s="238"/>
      <c r="AO167" s="238"/>
      <c r="AP167" s="238"/>
      <c r="AQ167" s="238"/>
      <c r="AR167" s="238"/>
      <c r="AS167" s="138"/>
      <c r="AT167" s="499"/>
      <c r="AU167" s="236">
        <f>SUM(AU166,AU127,AU63)/3</f>
        <v>0.44411134568770033</v>
      </c>
      <c r="AV167" s="236">
        <f>SUM(AV166,AV127,AV63)/3</f>
        <v>0.41664320900774116</v>
      </c>
      <c r="AW167" s="240"/>
      <c r="AX167" s="240"/>
      <c r="AY167" s="240"/>
      <c r="AZ167" s="240"/>
      <c r="BA167" s="240"/>
      <c r="BB167" s="240"/>
    </row>
    <row r="168" spans="1:54" ht="12.75" customHeight="1" x14ac:dyDescent="0.25">
      <c r="A168" s="186"/>
      <c r="B168" s="187" t="s">
        <v>148</v>
      </c>
      <c r="C168" s="188"/>
      <c r="D168" s="188"/>
      <c r="E168" s="188"/>
      <c r="F168" s="188"/>
      <c r="G168" s="188"/>
      <c r="H168" s="188"/>
      <c r="I168" s="188"/>
      <c r="J168" s="137"/>
      <c r="K168" s="146"/>
      <c r="L168" s="137"/>
      <c r="M168" s="137"/>
      <c r="N168" s="137"/>
      <c r="O168" s="137"/>
      <c r="P168" s="137"/>
      <c r="Q168" s="165"/>
      <c r="R168" s="166"/>
      <c r="S168" s="166"/>
      <c r="T168" s="166"/>
      <c r="U168" s="167"/>
      <c r="V168" s="167"/>
      <c r="W168" s="167"/>
      <c r="X168" s="167"/>
      <c r="Y168" s="168"/>
      <c r="Z168" s="137"/>
      <c r="AA168" s="166"/>
      <c r="AB168" s="137"/>
      <c r="AC168" s="137"/>
      <c r="AD168" s="137"/>
      <c r="AE168" s="137"/>
      <c r="AF168" s="137"/>
      <c r="AG168" s="137"/>
      <c r="AH168" s="137"/>
      <c r="AI168" s="137"/>
      <c r="AJ168" s="169"/>
      <c r="AK168" s="137"/>
      <c r="AL168" s="137"/>
      <c r="AM168" s="137"/>
      <c r="AN168" s="137"/>
      <c r="AO168" s="137"/>
      <c r="AP168" s="137"/>
      <c r="AQ168" s="137"/>
      <c r="AR168" s="137"/>
      <c r="AS168" s="138"/>
      <c r="AT168" s="499"/>
      <c r="AU168" s="139"/>
      <c r="AV168" s="138"/>
      <c r="AW168" s="139"/>
      <c r="AX168" s="139"/>
      <c r="AY168" s="139"/>
      <c r="AZ168" s="139"/>
      <c r="BA168" s="139"/>
      <c r="BB168" s="139"/>
    </row>
    <row r="169" spans="1:54" ht="12.75" customHeight="1" x14ac:dyDescent="0.25">
      <c r="A169" s="186"/>
      <c r="B169" s="199" t="s">
        <v>149</v>
      </c>
      <c r="C169" s="188"/>
      <c r="D169" s="188"/>
      <c r="E169" s="188"/>
      <c r="F169" s="188"/>
      <c r="G169" s="188"/>
      <c r="H169" s="188"/>
      <c r="I169" s="188"/>
      <c r="J169" s="137"/>
      <c r="K169" s="146"/>
      <c r="L169" s="137"/>
      <c r="M169" s="137"/>
      <c r="N169" s="137"/>
      <c r="O169" s="137"/>
      <c r="P169" s="137"/>
      <c r="Q169" s="165"/>
      <c r="R169" s="166"/>
      <c r="S169" s="166"/>
      <c r="T169" s="166"/>
      <c r="U169" s="167"/>
      <c r="V169" s="167"/>
      <c r="W169" s="167"/>
      <c r="X169" s="167"/>
      <c r="Y169" s="168"/>
      <c r="Z169" s="137"/>
      <c r="AA169" s="166"/>
      <c r="AB169" s="137"/>
      <c r="AC169" s="137"/>
      <c r="AD169" s="137"/>
      <c r="AE169" s="137"/>
      <c r="AF169" s="137"/>
      <c r="AG169" s="137"/>
      <c r="AH169" s="137"/>
      <c r="AI169" s="137"/>
      <c r="AJ169" s="169"/>
      <c r="AK169" s="137"/>
      <c r="AL169" s="137"/>
      <c r="AM169" s="137"/>
      <c r="AN169" s="137"/>
      <c r="AO169" s="137"/>
      <c r="AP169" s="137"/>
      <c r="AQ169" s="137"/>
      <c r="AR169" s="137"/>
      <c r="AS169" s="138"/>
      <c r="AT169" s="499"/>
      <c r="AU169" s="139"/>
      <c r="AV169" s="138"/>
      <c r="AW169" s="139"/>
      <c r="AX169" s="139"/>
      <c r="AY169" s="139"/>
      <c r="AZ169" s="139"/>
      <c r="BA169" s="139"/>
      <c r="BB169" s="139"/>
    </row>
    <row r="170" spans="1:54" ht="12.75" customHeight="1" x14ac:dyDescent="0.25">
      <c r="A170" s="200"/>
      <c r="B170" s="201" t="s">
        <v>111</v>
      </c>
      <c r="C170" s="202"/>
      <c r="D170" s="203"/>
      <c r="E170" s="203"/>
      <c r="F170" s="203"/>
      <c r="G170" s="203"/>
      <c r="H170" s="203"/>
      <c r="I170" s="203"/>
      <c r="J170" s="137"/>
      <c r="K170" s="146" t="s">
        <v>150</v>
      </c>
      <c r="L170" s="137"/>
      <c r="M170" s="137"/>
      <c r="N170" s="137"/>
      <c r="O170" s="137"/>
      <c r="P170" s="137"/>
      <c r="Q170" s="165"/>
      <c r="R170" s="166"/>
      <c r="S170" s="166"/>
      <c r="T170" s="166"/>
      <c r="U170" s="167"/>
      <c r="V170" s="167"/>
      <c r="W170" s="167"/>
      <c r="X170" s="167"/>
      <c r="Y170" s="168"/>
      <c r="Z170" s="137"/>
      <c r="AA170" s="166"/>
      <c r="AB170" s="137"/>
      <c r="AC170" s="137"/>
      <c r="AD170" s="137"/>
      <c r="AE170" s="137"/>
      <c r="AF170" s="137"/>
      <c r="AG170" s="137"/>
      <c r="AH170" s="137"/>
      <c r="AI170" s="137"/>
      <c r="AJ170" s="169"/>
      <c r="AK170" s="137"/>
      <c r="AL170" s="137"/>
      <c r="AM170" s="137"/>
      <c r="AN170" s="137"/>
      <c r="AO170" s="137"/>
      <c r="AP170" s="137"/>
      <c r="AQ170" s="137"/>
      <c r="AR170" s="137"/>
      <c r="AS170" s="138"/>
      <c r="AT170" s="499"/>
      <c r="AU170" s="139"/>
      <c r="AV170" s="138"/>
      <c r="AW170" s="139"/>
      <c r="AX170" s="139"/>
      <c r="AY170" s="139"/>
      <c r="AZ170" s="139"/>
      <c r="BA170" s="139"/>
      <c r="BB170" s="139"/>
    </row>
    <row r="171" spans="1:54" ht="12.75" customHeight="1" x14ac:dyDescent="0.25">
      <c r="A171" s="200"/>
      <c r="B171" s="161" t="s">
        <v>151</v>
      </c>
      <c r="C171" s="202">
        <v>52.2</v>
      </c>
      <c r="D171" s="203">
        <f>C171*$K$171</f>
        <v>57.420000000000009</v>
      </c>
      <c r="E171" s="203" t="s">
        <v>6</v>
      </c>
      <c r="F171" s="203">
        <f>'Material and Labor Cost'!$D$48</f>
        <v>1320</v>
      </c>
      <c r="G171" s="203">
        <f>'Material and Labor Cost'!$F$48</f>
        <v>350</v>
      </c>
      <c r="H171" s="203">
        <f>SUM(F171,G171)</f>
        <v>1670</v>
      </c>
      <c r="I171" s="203">
        <f>D171*H171</f>
        <v>95891.400000000009</v>
      </c>
      <c r="J171" s="137"/>
      <c r="K171" s="241">
        <v>1.1000000000000001</v>
      </c>
      <c r="L171" s="137"/>
      <c r="M171" s="137"/>
      <c r="N171" s="137"/>
      <c r="O171" s="137"/>
      <c r="P171" s="137"/>
      <c r="Q171" s="223">
        <f>SUM(AA171:AH171)</f>
        <v>0</v>
      </c>
      <c r="R171" s="224">
        <f>Y171*D171</f>
        <v>28.710000000000004</v>
      </c>
      <c r="S171" s="224">
        <f>SUM(Q171:R171)</f>
        <v>28.710000000000004</v>
      </c>
      <c r="T171" s="224">
        <f>D171-S171</f>
        <v>28.710000000000004</v>
      </c>
      <c r="U171" s="225">
        <f>SUM(AJ170:AQ170)</f>
        <v>0</v>
      </c>
      <c r="V171" s="225">
        <f>Y171*I171</f>
        <v>47945.700000000004</v>
      </c>
      <c r="W171" s="225">
        <f>SUM(U171:V171)</f>
        <v>47945.700000000004</v>
      </c>
      <c r="X171" s="225">
        <f>I171-W171</f>
        <v>47945.700000000004</v>
      </c>
      <c r="Y171" s="168">
        <f>SUM(AS171)</f>
        <v>0.5</v>
      </c>
      <c r="Z171" s="137"/>
      <c r="AA171" s="224">
        <v>0</v>
      </c>
      <c r="AB171" s="137"/>
      <c r="AC171" s="137"/>
      <c r="AD171" s="137"/>
      <c r="AE171" s="137"/>
      <c r="AF171" s="137"/>
      <c r="AG171" s="137"/>
      <c r="AH171" s="137"/>
      <c r="AI171" s="137"/>
      <c r="AJ171" s="169">
        <v>0</v>
      </c>
      <c r="AK171" s="137"/>
      <c r="AL171" s="137"/>
      <c r="AM171" s="137"/>
      <c r="AN171" s="137"/>
      <c r="AO171" s="137"/>
      <c r="AP171" s="137"/>
      <c r="AQ171" s="137"/>
      <c r="AR171" s="137"/>
      <c r="AS171" s="138">
        <v>0.5</v>
      </c>
      <c r="AT171" s="499"/>
      <c r="AU171" s="139"/>
      <c r="AV171" s="138">
        <v>0.5</v>
      </c>
      <c r="AW171" s="139"/>
      <c r="AX171" s="139"/>
      <c r="AY171" s="139"/>
      <c r="AZ171" s="139"/>
      <c r="BA171" s="139"/>
      <c r="BB171" s="139"/>
    </row>
    <row r="172" spans="1:54" ht="12.75" customHeight="1" x14ac:dyDescent="0.25">
      <c r="A172" s="200"/>
      <c r="B172" s="204"/>
      <c r="C172" s="202"/>
      <c r="D172" s="203"/>
      <c r="E172" s="203"/>
      <c r="F172" s="203"/>
      <c r="G172" s="203"/>
      <c r="H172" s="203"/>
      <c r="I172" s="203"/>
      <c r="J172" s="137"/>
      <c r="K172" s="146"/>
      <c r="L172" s="137"/>
      <c r="M172" s="137"/>
      <c r="N172" s="137"/>
      <c r="O172" s="137"/>
      <c r="P172" s="137"/>
      <c r="Q172" s="165"/>
      <c r="R172" s="166"/>
      <c r="S172" s="166"/>
      <c r="T172" s="166"/>
      <c r="U172" s="167"/>
      <c r="V172" s="167"/>
      <c r="W172" s="167"/>
      <c r="X172" s="167"/>
      <c r="Y172" s="168"/>
      <c r="Z172" s="137"/>
      <c r="AA172" s="166"/>
      <c r="AB172" s="137"/>
      <c r="AC172" s="137"/>
      <c r="AD172" s="137"/>
      <c r="AE172" s="137"/>
      <c r="AF172" s="137"/>
      <c r="AG172" s="137"/>
      <c r="AH172" s="137"/>
      <c r="AI172" s="137"/>
      <c r="AJ172" s="169"/>
      <c r="AK172" s="137"/>
      <c r="AL172" s="137"/>
      <c r="AM172" s="137"/>
      <c r="AN172" s="137"/>
      <c r="AO172" s="137"/>
      <c r="AP172" s="137"/>
      <c r="AQ172" s="137"/>
      <c r="AR172" s="137"/>
      <c r="AS172" s="138"/>
      <c r="AT172" s="499"/>
      <c r="AU172" s="139"/>
      <c r="AV172" s="138"/>
      <c r="AW172" s="139"/>
      <c r="AX172" s="139"/>
      <c r="AY172" s="139"/>
      <c r="AZ172" s="139"/>
      <c r="BA172" s="139"/>
      <c r="BB172" s="139"/>
    </row>
    <row r="173" spans="1:54" ht="12.75" customHeight="1" x14ac:dyDescent="0.25">
      <c r="A173" s="200"/>
      <c r="B173" s="242" t="s">
        <v>152</v>
      </c>
      <c r="C173" s="202"/>
      <c r="D173" s="203"/>
      <c r="E173" s="203"/>
      <c r="F173" s="203"/>
      <c r="G173" s="203"/>
      <c r="H173" s="203"/>
      <c r="I173" s="203"/>
      <c r="J173" s="137"/>
      <c r="K173" s="146"/>
      <c r="L173" s="137"/>
      <c r="M173" s="137"/>
      <c r="N173" s="137"/>
      <c r="O173" s="137"/>
      <c r="P173" s="137"/>
      <c r="Q173" s="165"/>
      <c r="R173" s="166"/>
      <c r="S173" s="166"/>
      <c r="T173" s="166"/>
      <c r="U173" s="167"/>
      <c r="V173" s="167"/>
      <c r="W173" s="167"/>
      <c r="X173" s="167"/>
      <c r="Y173" s="168"/>
      <c r="Z173" s="137"/>
      <c r="AA173" s="166"/>
      <c r="AB173" s="137"/>
      <c r="AC173" s="137"/>
      <c r="AD173" s="137"/>
      <c r="AE173" s="137"/>
      <c r="AF173" s="137"/>
      <c r="AG173" s="137"/>
      <c r="AH173" s="137"/>
      <c r="AI173" s="137"/>
      <c r="AJ173" s="169"/>
      <c r="AK173" s="137"/>
      <c r="AL173" s="137"/>
      <c r="AM173" s="137"/>
      <c r="AN173" s="137"/>
      <c r="AO173" s="137"/>
      <c r="AP173" s="137"/>
      <c r="AQ173" s="137"/>
      <c r="AR173" s="137"/>
      <c r="AS173" s="138"/>
      <c r="AT173" s="499"/>
      <c r="AU173" s="139"/>
      <c r="AV173" s="138"/>
      <c r="AW173" s="139"/>
      <c r="AX173" s="139"/>
      <c r="AY173" s="139"/>
      <c r="AZ173" s="139"/>
      <c r="BA173" s="139"/>
      <c r="BB173" s="139"/>
    </row>
    <row r="174" spans="1:54" ht="12.75" customHeight="1" x14ac:dyDescent="0.25">
      <c r="A174" s="200"/>
      <c r="B174" s="161" t="s">
        <v>151</v>
      </c>
      <c r="C174" s="202">
        <v>4</v>
      </c>
      <c r="D174" s="203">
        <f>C174*$K$171</f>
        <v>4.4000000000000004</v>
      </c>
      <c r="E174" s="203" t="s">
        <v>6</v>
      </c>
      <c r="F174" s="203">
        <f>'Material and Labor Cost'!$D$51</f>
        <v>1320</v>
      </c>
      <c r="G174" s="203">
        <f>'Material and Labor Cost'!$F$51</f>
        <v>350</v>
      </c>
      <c r="H174" s="203">
        <f>SUM(F174,G174)</f>
        <v>1670</v>
      </c>
      <c r="I174" s="203">
        <f>D174*H174</f>
        <v>7348.0000000000009</v>
      </c>
      <c r="J174" s="137"/>
      <c r="K174" s="141" t="s">
        <v>121</v>
      </c>
      <c r="L174" s="137"/>
      <c r="M174" s="137"/>
      <c r="N174" s="137"/>
      <c r="O174" s="137"/>
      <c r="P174" s="137"/>
      <c r="Q174" s="223">
        <f>SUM(AA174:AH174)</f>
        <v>0</v>
      </c>
      <c r="R174" s="224">
        <f>Y174*D174</f>
        <v>2.2000000000000002</v>
      </c>
      <c r="S174" s="224">
        <f>SUM(Q174:R174)</f>
        <v>2.2000000000000002</v>
      </c>
      <c r="T174" s="224">
        <f>D174-S174</f>
        <v>2.2000000000000002</v>
      </c>
      <c r="U174" s="225">
        <f>SUM(AJ173:AQ173)</f>
        <v>0</v>
      </c>
      <c r="V174" s="225">
        <f>Y174*I174</f>
        <v>3674.0000000000005</v>
      </c>
      <c r="W174" s="225">
        <f>SUM(U174:V174)</f>
        <v>3674.0000000000005</v>
      </c>
      <c r="X174" s="225">
        <f>I174-W174</f>
        <v>3674.0000000000005</v>
      </c>
      <c r="Y174" s="168">
        <f>SUM(AS174)</f>
        <v>0.5</v>
      </c>
      <c r="Z174" s="137"/>
      <c r="AA174" s="224">
        <v>0</v>
      </c>
      <c r="AB174" s="137"/>
      <c r="AC174" s="137"/>
      <c r="AD174" s="137"/>
      <c r="AE174" s="137"/>
      <c r="AF174" s="137"/>
      <c r="AG174" s="137"/>
      <c r="AH174" s="137"/>
      <c r="AI174" s="137"/>
      <c r="AJ174" s="169">
        <v>0</v>
      </c>
      <c r="AK174" s="137"/>
      <c r="AL174" s="137"/>
      <c r="AM174" s="137"/>
      <c r="AN174" s="137"/>
      <c r="AO174" s="137"/>
      <c r="AP174" s="137"/>
      <c r="AQ174" s="137"/>
      <c r="AR174" s="137"/>
      <c r="AS174" s="138">
        <v>0.5</v>
      </c>
      <c r="AT174" s="499"/>
      <c r="AU174" s="139"/>
      <c r="AV174" s="138">
        <v>0.5</v>
      </c>
      <c r="AW174" s="139"/>
      <c r="AX174" s="139"/>
      <c r="AY174" s="139"/>
      <c r="AZ174" s="139"/>
      <c r="BA174" s="139"/>
      <c r="BB174" s="139"/>
    </row>
    <row r="175" spans="1:54" ht="12.75" customHeight="1" x14ac:dyDescent="0.25">
      <c r="A175" s="200"/>
      <c r="B175" s="204"/>
      <c r="C175" s="202"/>
      <c r="D175" s="203"/>
      <c r="E175" s="203"/>
      <c r="F175" s="203"/>
      <c r="G175" s="203"/>
      <c r="H175" s="203"/>
      <c r="I175" s="203"/>
      <c r="J175" s="137"/>
      <c r="K175" s="206"/>
      <c r="L175" s="137"/>
      <c r="M175" s="137"/>
      <c r="N175" s="137"/>
      <c r="O175" s="137"/>
      <c r="P175" s="137"/>
      <c r="Q175" s="165"/>
      <c r="R175" s="166"/>
      <c r="S175" s="166"/>
      <c r="T175" s="166"/>
      <c r="U175" s="167"/>
      <c r="V175" s="167"/>
      <c r="W175" s="167"/>
      <c r="X175" s="167"/>
      <c r="Y175" s="168"/>
      <c r="Z175" s="137"/>
      <c r="AA175" s="166"/>
      <c r="AB175" s="137"/>
      <c r="AC175" s="137"/>
      <c r="AD175" s="137"/>
      <c r="AE175" s="137"/>
      <c r="AF175" s="137"/>
      <c r="AG175" s="137"/>
      <c r="AH175" s="137"/>
      <c r="AI175" s="137"/>
      <c r="AJ175" s="169"/>
      <c r="AK175" s="137"/>
      <c r="AL175" s="137"/>
      <c r="AM175" s="137"/>
      <c r="AN175" s="137"/>
      <c r="AO175" s="137"/>
      <c r="AP175" s="137"/>
      <c r="AQ175" s="137"/>
      <c r="AR175" s="137"/>
      <c r="AS175" s="138"/>
      <c r="AT175" s="499"/>
      <c r="AU175" s="139"/>
      <c r="AV175" s="138"/>
      <c r="AW175" s="139"/>
      <c r="AX175" s="139"/>
      <c r="AY175" s="139"/>
      <c r="AZ175" s="139"/>
      <c r="BA175" s="139"/>
      <c r="BB175" s="139"/>
    </row>
    <row r="176" spans="1:54" ht="12.75" customHeight="1" x14ac:dyDescent="0.25">
      <c r="A176" s="200"/>
      <c r="B176" s="242" t="s">
        <v>153</v>
      </c>
      <c r="C176" s="202"/>
      <c r="D176" s="203"/>
      <c r="E176" s="203"/>
      <c r="F176" s="203"/>
      <c r="G176" s="203"/>
      <c r="H176" s="203"/>
      <c r="I176" s="203"/>
      <c r="J176" s="137"/>
      <c r="K176" s="206">
        <v>0.2</v>
      </c>
      <c r="L176" s="137"/>
      <c r="M176" s="137"/>
      <c r="N176" s="137"/>
      <c r="O176" s="137"/>
      <c r="P176" s="137"/>
      <c r="Q176" s="165"/>
      <c r="R176" s="166"/>
      <c r="S176" s="166"/>
      <c r="T176" s="166"/>
      <c r="U176" s="167"/>
      <c r="V176" s="167"/>
      <c r="W176" s="167"/>
      <c r="X176" s="167"/>
      <c r="Y176" s="168"/>
      <c r="Z176" s="137"/>
      <c r="AA176" s="166"/>
      <c r="AB176" s="137"/>
      <c r="AC176" s="137"/>
      <c r="AD176" s="137"/>
      <c r="AE176" s="137"/>
      <c r="AF176" s="137"/>
      <c r="AG176" s="137"/>
      <c r="AH176" s="137"/>
      <c r="AI176" s="137"/>
      <c r="AJ176" s="169"/>
      <c r="AK176" s="137"/>
      <c r="AL176" s="137"/>
      <c r="AM176" s="137"/>
      <c r="AN176" s="137"/>
      <c r="AO176" s="137"/>
      <c r="AP176" s="137"/>
      <c r="AQ176" s="137"/>
      <c r="AR176" s="137"/>
      <c r="AS176" s="138"/>
      <c r="AT176" s="499"/>
      <c r="AU176" s="139"/>
      <c r="AV176" s="138"/>
      <c r="AW176" s="139"/>
      <c r="AX176" s="139"/>
      <c r="AY176" s="139"/>
      <c r="AZ176" s="139"/>
      <c r="BA176" s="139"/>
      <c r="BB176" s="139"/>
    </row>
    <row r="177" spans="1:54" ht="12.75" customHeight="1" x14ac:dyDescent="0.25">
      <c r="A177" s="200"/>
      <c r="B177" s="161" t="s">
        <v>154</v>
      </c>
      <c r="C177" s="202">
        <v>2.8</v>
      </c>
      <c r="D177" s="203">
        <f>C177*$K$171</f>
        <v>3.08</v>
      </c>
      <c r="E177" s="203" t="s">
        <v>6</v>
      </c>
      <c r="F177" s="203">
        <f>'Material and Labor Cost'!$D$54</f>
        <v>880.00000000000011</v>
      </c>
      <c r="G177" s="203">
        <f>'Material and Labor Cost'!$F$54</f>
        <v>350</v>
      </c>
      <c r="H177" s="203">
        <f>SUM(F177,G177)</f>
        <v>1230</v>
      </c>
      <c r="I177" s="203">
        <f>D177*H177</f>
        <v>3788.4</v>
      </c>
      <c r="J177" s="137"/>
      <c r="K177" s="146"/>
      <c r="L177" s="137"/>
      <c r="M177" s="137"/>
      <c r="N177" s="137"/>
      <c r="O177" s="137"/>
      <c r="P177" s="137"/>
      <c r="Q177" s="223">
        <f>SUM(AA177:AH177)</f>
        <v>0</v>
      </c>
      <c r="R177" s="224">
        <f>Y177*D177</f>
        <v>0.92399999999999993</v>
      </c>
      <c r="S177" s="224">
        <f>SUM(Q177:R177)</f>
        <v>0.92399999999999993</v>
      </c>
      <c r="T177" s="224">
        <f>D177-S177</f>
        <v>2.1560000000000001</v>
      </c>
      <c r="U177" s="225">
        <f>SUM(AJ176:AQ176)</f>
        <v>0</v>
      </c>
      <c r="V177" s="225">
        <f>Y177*I177</f>
        <v>1136.52</v>
      </c>
      <c r="W177" s="225">
        <f>SUM(U177:V177)</f>
        <v>1136.52</v>
      </c>
      <c r="X177" s="225">
        <f>I177-W177</f>
        <v>2651.88</v>
      </c>
      <c r="Y177" s="168">
        <f>SUM(AS177)</f>
        <v>0.3</v>
      </c>
      <c r="Z177" s="137"/>
      <c r="AA177" s="224">
        <v>0</v>
      </c>
      <c r="AB177" s="137"/>
      <c r="AC177" s="137"/>
      <c r="AD177" s="137"/>
      <c r="AE177" s="137"/>
      <c r="AF177" s="137"/>
      <c r="AG177" s="137"/>
      <c r="AH177" s="137"/>
      <c r="AI177" s="137"/>
      <c r="AJ177" s="169">
        <v>0</v>
      </c>
      <c r="AK177" s="137"/>
      <c r="AL177" s="137"/>
      <c r="AM177" s="137"/>
      <c r="AN177" s="137"/>
      <c r="AO177" s="137"/>
      <c r="AP177" s="137"/>
      <c r="AQ177" s="137"/>
      <c r="AR177" s="137"/>
      <c r="AS177" s="138">
        <v>0.3</v>
      </c>
      <c r="AT177" s="499"/>
      <c r="AU177" s="139"/>
      <c r="AV177" s="138">
        <v>0.3</v>
      </c>
      <c r="AW177" s="139"/>
      <c r="AX177" s="139"/>
      <c r="AY177" s="139"/>
      <c r="AZ177" s="139"/>
      <c r="BA177" s="139"/>
      <c r="BB177" s="139"/>
    </row>
    <row r="178" spans="1:54" ht="12.75" customHeight="1" x14ac:dyDescent="0.25">
      <c r="A178" s="200"/>
      <c r="B178" s="161"/>
      <c r="C178" s="202"/>
      <c r="D178" s="203"/>
      <c r="E178" s="203"/>
      <c r="F178" s="203"/>
      <c r="G178" s="203"/>
      <c r="H178" s="203"/>
      <c r="I178" s="203"/>
      <c r="J178" s="137"/>
      <c r="K178" s="146"/>
      <c r="L178" s="137"/>
      <c r="M178" s="137"/>
      <c r="N178" s="137"/>
      <c r="O178" s="137"/>
      <c r="P178" s="137"/>
      <c r="Q178" s="165"/>
      <c r="R178" s="166"/>
      <c r="S178" s="166"/>
      <c r="T178" s="166"/>
      <c r="U178" s="167"/>
      <c r="V178" s="167"/>
      <c r="W178" s="167"/>
      <c r="X178" s="167"/>
      <c r="Y178" s="168"/>
      <c r="Z178" s="137"/>
      <c r="AA178" s="166"/>
      <c r="AB178" s="137"/>
      <c r="AC178" s="137"/>
      <c r="AD178" s="137"/>
      <c r="AE178" s="137"/>
      <c r="AF178" s="137"/>
      <c r="AG178" s="137"/>
      <c r="AH178" s="137"/>
      <c r="AI178" s="137"/>
      <c r="AJ178" s="169"/>
      <c r="AK178" s="137"/>
      <c r="AL178" s="137"/>
      <c r="AM178" s="137"/>
      <c r="AN178" s="137"/>
      <c r="AO178" s="137"/>
      <c r="AP178" s="137"/>
      <c r="AQ178" s="137"/>
      <c r="AR178" s="137"/>
      <c r="AS178" s="138"/>
      <c r="AT178" s="499"/>
      <c r="AU178" s="139"/>
      <c r="AV178" s="138"/>
      <c r="AW178" s="139"/>
      <c r="AX178" s="139"/>
      <c r="AY178" s="139"/>
      <c r="AZ178" s="139"/>
      <c r="BA178" s="139"/>
      <c r="BB178" s="139"/>
    </row>
    <row r="179" spans="1:54" ht="12.75" customHeight="1" x14ac:dyDescent="0.25">
      <c r="A179" s="200"/>
      <c r="B179" s="204" t="s">
        <v>129</v>
      </c>
      <c r="C179" s="202"/>
      <c r="D179" s="203">
        <v>1</v>
      </c>
      <c r="E179" s="203" t="s">
        <v>94</v>
      </c>
      <c r="F179" s="203"/>
      <c r="G179" s="203"/>
      <c r="H179" s="203"/>
      <c r="I179" s="203">
        <f>SUM(I171:I177)*$K$176</f>
        <v>21405.56</v>
      </c>
      <c r="J179" s="137"/>
      <c r="K179" s="146"/>
      <c r="L179" s="137"/>
      <c r="M179" s="137"/>
      <c r="N179" s="137"/>
      <c r="O179" s="137"/>
      <c r="P179" s="137"/>
      <c r="Q179" s="223">
        <f>SUM(AA179:AH179)</f>
        <v>0.43</v>
      </c>
      <c r="R179" s="224">
        <f>Y179*D179</f>
        <v>0.14000000000000001</v>
      </c>
      <c r="S179" s="224">
        <f>SUM(Q179:R179)</f>
        <v>0.57000000000000006</v>
      </c>
      <c r="T179" s="224">
        <f>D179-S179</f>
        <v>0.42999999999999994</v>
      </c>
      <c r="U179" s="225">
        <f>SUM(AJ178:AQ178)</f>
        <v>0</v>
      </c>
      <c r="V179" s="225">
        <f>Y179*I179</f>
        <v>2996.7784000000006</v>
      </c>
      <c r="W179" s="225">
        <f>SUM(U179:V179)</f>
        <v>2996.7784000000006</v>
      </c>
      <c r="X179" s="225">
        <f>I179-W179</f>
        <v>18408.781600000002</v>
      </c>
      <c r="Y179" s="168">
        <f>SUM(AS179)</f>
        <v>0.14000000000000001</v>
      </c>
      <c r="Z179" s="137"/>
      <c r="AA179" s="224">
        <v>0.43</v>
      </c>
      <c r="AB179" s="137"/>
      <c r="AC179" s="137"/>
      <c r="AD179" s="137"/>
      <c r="AE179" s="137"/>
      <c r="AF179" s="137"/>
      <c r="AG179" s="137"/>
      <c r="AH179" s="137"/>
      <c r="AI179" s="137"/>
      <c r="AJ179" s="169">
        <v>9204.390800000001</v>
      </c>
      <c r="AK179" s="137"/>
      <c r="AL179" s="137"/>
      <c r="AM179" s="137"/>
      <c r="AN179" s="137"/>
      <c r="AO179" s="137"/>
      <c r="AP179" s="137"/>
      <c r="AQ179" s="137"/>
      <c r="AR179" s="137"/>
      <c r="AS179" s="138">
        <v>0.14000000000000001</v>
      </c>
      <c r="AT179" s="499"/>
      <c r="AU179" s="139">
        <v>0.43</v>
      </c>
      <c r="AV179" s="138">
        <v>0.43</v>
      </c>
      <c r="AW179" s="139"/>
      <c r="AX179" s="139"/>
      <c r="AY179" s="139"/>
      <c r="AZ179" s="139"/>
      <c r="BA179" s="139"/>
      <c r="BB179" s="139"/>
    </row>
    <row r="180" spans="1:54" ht="12.75" customHeight="1" x14ac:dyDescent="0.25">
      <c r="A180" s="207"/>
      <c r="B180" s="500" t="s">
        <v>155</v>
      </c>
      <c r="C180" s="501"/>
      <c r="D180" s="501"/>
      <c r="E180" s="501"/>
      <c r="F180" s="501"/>
      <c r="G180" s="501"/>
      <c r="H180" s="502"/>
      <c r="I180" s="172">
        <f>SUM(I171:I177,I179)</f>
        <v>128433.36</v>
      </c>
      <c r="J180" s="210"/>
      <c r="K180" s="212"/>
      <c r="L180" s="210"/>
      <c r="M180" s="210"/>
      <c r="N180" s="210"/>
      <c r="O180" s="210"/>
      <c r="P180" s="213"/>
      <c r="Q180" s="176">
        <f t="shared" ref="Q180:X180" si="204">SUM(Q171:Q179)</f>
        <v>0.43</v>
      </c>
      <c r="R180" s="177">
        <f t="shared" si="204"/>
        <v>31.974000000000004</v>
      </c>
      <c r="S180" s="177">
        <f t="shared" si="204"/>
        <v>32.404000000000003</v>
      </c>
      <c r="T180" s="177">
        <f t="shared" si="204"/>
        <v>33.496000000000002</v>
      </c>
      <c r="U180" s="178">
        <f t="shared" si="204"/>
        <v>0</v>
      </c>
      <c r="V180" s="178">
        <f t="shared" si="204"/>
        <v>55752.998400000004</v>
      </c>
      <c r="W180" s="178">
        <f t="shared" si="204"/>
        <v>55752.998400000004</v>
      </c>
      <c r="X180" s="178">
        <f t="shared" si="204"/>
        <v>72680.361600000004</v>
      </c>
      <c r="Y180" s="227">
        <f>SUM(Y171:Y179)/COUNT(Y171:Y179)</f>
        <v>0.36</v>
      </c>
      <c r="Z180" s="218"/>
      <c r="AA180" s="177">
        <v>0.43</v>
      </c>
      <c r="AB180" s="210"/>
      <c r="AC180" s="210"/>
      <c r="AD180" s="211"/>
      <c r="AE180" s="211"/>
      <c r="AF180" s="211"/>
      <c r="AG180" s="211"/>
      <c r="AH180" s="211"/>
      <c r="AI180" s="211"/>
      <c r="AJ180" s="219">
        <v>9204.390800000001</v>
      </c>
      <c r="AK180" s="211"/>
      <c r="AL180" s="211"/>
      <c r="AM180" s="211"/>
      <c r="AN180" s="211"/>
      <c r="AO180" s="211"/>
      <c r="AP180" s="211"/>
      <c r="AQ180" s="211"/>
      <c r="AR180" s="211"/>
      <c r="AS180" s="138"/>
      <c r="AT180" s="499"/>
      <c r="AU180" s="227">
        <f>SUM(AU171:AU179)/4</f>
        <v>0.1075</v>
      </c>
      <c r="AV180" s="227">
        <f>SUM(AV171:AV179)/4</f>
        <v>0.4325</v>
      </c>
      <c r="AW180" s="220"/>
      <c r="AX180" s="220"/>
      <c r="AY180" s="220"/>
      <c r="AZ180" s="220"/>
      <c r="BA180" s="220"/>
      <c r="BB180" s="220"/>
    </row>
    <row r="181" spans="1:54" ht="12.75" customHeight="1" x14ac:dyDescent="0.25">
      <c r="A181" s="186"/>
      <c r="B181" s="199" t="s">
        <v>156</v>
      </c>
      <c r="C181" s="188"/>
      <c r="D181" s="188"/>
      <c r="E181" s="188"/>
      <c r="F181" s="188"/>
      <c r="G181" s="188"/>
      <c r="H181" s="188"/>
      <c r="I181" s="188"/>
      <c r="J181" s="137"/>
      <c r="K181" s="146"/>
      <c r="L181" s="137"/>
      <c r="M181" s="137"/>
      <c r="N181" s="137"/>
      <c r="O181" s="137"/>
      <c r="P181" s="137"/>
      <c r="Q181" s="165"/>
      <c r="R181" s="166"/>
      <c r="S181" s="166"/>
      <c r="T181" s="166"/>
      <c r="U181" s="167"/>
      <c r="V181" s="167"/>
      <c r="W181" s="167"/>
      <c r="X181" s="167"/>
      <c r="Y181" s="168"/>
      <c r="Z181" s="137"/>
      <c r="AA181" s="166"/>
      <c r="AB181" s="137"/>
      <c r="AC181" s="137"/>
      <c r="AD181" s="137"/>
      <c r="AE181" s="137"/>
      <c r="AF181" s="137"/>
      <c r="AG181" s="137"/>
      <c r="AH181" s="137"/>
      <c r="AI181" s="137"/>
      <c r="AJ181" s="169"/>
      <c r="AK181" s="137"/>
      <c r="AL181" s="137"/>
      <c r="AM181" s="137"/>
      <c r="AN181" s="137"/>
      <c r="AO181" s="137"/>
      <c r="AP181" s="137"/>
      <c r="AQ181" s="137"/>
      <c r="AR181" s="137"/>
      <c r="AS181" s="138"/>
      <c r="AT181" s="499"/>
      <c r="AU181" s="168"/>
      <c r="AV181" s="138"/>
      <c r="AW181" s="139"/>
      <c r="AX181" s="139"/>
      <c r="AY181" s="139"/>
      <c r="AZ181" s="139"/>
      <c r="BA181" s="139"/>
      <c r="BB181" s="139"/>
    </row>
    <row r="182" spans="1:54" ht="12.75" customHeight="1" x14ac:dyDescent="0.25">
      <c r="A182" s="200"/>
      <c r="B182" s="242" t="s">
        <v>157</v>
      </c>
      <c r="C182" s="202"/>
      <c r="D182" s="203"/>
      <c r="E182" s="203"/>
      <c r="F182" s="203"/>
      <c r="G182" s="203"/>
      <c r="H182" s="203"/>
      <c r="I182" s="203"/>
      <c r="J182" s="137"/>
      <c r="K182" s="146"/>
      <c r="L182" s="137"/>
      <c r="M182" s="137"/>
      <c r="N182" s="137"/>
      <c r="O182" s="137"/>
      <c r="P182" s="137"/>
      <c r="Q182" s="165"/>
      <c r="R182" s="166"/>
      <c r="S182" s="166"/>
      <c r="T182" s="166"/>
      <c r="U182" s="167"/>
      <c r="V182" s="167"/>
      <c r="W182" s="167"/>
      <c r="X182" s="167"/>
      <c r="Y182" s="168"/>
      <c r="Z182" s="137"/>
      <c r="AA182" s="166"/>
      <c r="AB182" s="137"/>
      <c r="AC182" s="137"/>
      <c r="AD182" s="137"/>
      <c r="AE182" s="137"/>
      <c r="AF182" s="137"/>
      <c r="AG182" s="137"/>
      <c r="AH182" s="137"/>
      <c r="AI182" s="137"/>
      <c r="AJ182" s="169"/>
      <c r="AK182" s="137"/>
      <c r="AL182" s="137"/>
      <c r="AM182" s="137"/>
      <c r="AN182" s="137"/>
      <c r="AO182" s="137"/>
      <c r="AP182" s="137"/>
      <c r="AQ182" s="137"/>
      <c r="AR182" s="137"/>
      <c r="AS182" s="138"/>
      <c r="AT182" s="499"/>
      <c r="AU182" s="168"/>
      <c r="AV182" s="138"/>
      <c r="AW182" s="139"/>
      <c r="AX182" s="139"/>
      <c r="AY182" s="139"/>
      <c r="AZ182" s="139"/>
      <c r="BA182" s="139"/>
      <c r="BB182" s="139"/>
    </row>
    <row r="183" spans="1:54" ht="12.75" customHeight="1" x14ac:dyDescent="0.25">
      <c r="A183" s="200"/>
      <c r="B183" s="161" t="s">
        <v>158</v>
      </c>
      <c r="C183" s="202">
        <v>13.6</v>
      </c>
      <c r="D183" s="203">
        <f>C183*$K$171</f>
        <v>14.96</v>
      </c>
      <c r="E183" s="203" t="s">
        <v>6</v>
      </c>
      <c r="F183" s="203">
        <f>'Material and Labor Cost'!$D$58</f>
        <v>300</v>
      </c>
      <c r="G183" s="203">
        <f>'Material and Labor Cost'!$F$58</f>
        <v>350</v>
      </c>
      <c r="H183" s="203">
        <f>SUM(F183,G183)</f>
        <v>650</v>
      </c>
      <c r="I183" s="203">
        <f>D183*H183</f>
        <v>9724</v>
      </c>
      <c r="J183" s="137"/>
      <c r="K183" s="146"/>
      <c r="L183" s="137"/>
      <c r="M183" s="137"/>
      <c r="N183" s="137"/>
      <c r="O183" s="137"/>
      <c r="P183" s="137"/>
      <c r="Q183" s="223">
        <f>SUM(AA183:AH183)</f>
        <v>0</v>
      </c>
      <c r="R183" s="224">
        <f>Y183*D183</f>
        <v>0</v>
      </c>
      <c r="S183" s="224">
        <f>SUM(Q183:R183)</f>
        <v>0</v>
      </c>
      <c r="T183" s="224">
        <f>D183-S183</f>
        <v>14.96</v>
      </c>
      <c r="U183" s="225">
        <f>SUM(AJ182:AQ182)</f>
        <v>0</v>
      </c>
      <c r="V183" s="225">
        <f>Y183*I183</f>
        <v>0</v>
      </c>
      <c r="W183" s="225">
        <f>SUM(U183:V183)</f>
        <v>0</v>
      </c>
      <c r="X183" s="225">
        <f>I183-W183</f>
        <v>9724</v>
      </c>
      <c r="Y183" s="168">
        <f>SUM(AS183)</f>
        <v>0</v>
      </c>
      <c r="Z183" s="137"/>
      <c r="AA183" s="224">
        <v>0</v>
      </c>
      <c r="AB183" s="137"/>
      <c r="AC183" s="137"/>
      <c r="AD183" s="137"/>
      <c r="AE183" s="137"/>
      <c r="AF183" s="137"/>
      <c r="AG183" s="137"/>
      <c r="AH183" s="137"/>
      <c r="AI183" s="137"/>
      <c r="AJ183" s="169">
        <v>0</v>
      </c>
      <c r="AK183" s="137"/>
      <c r="AL183" s="137"/>
      <c r="AM183" s="137"/>
      <c r="AN183" s="137"/>
      <c r="AO183" s="137"/>
      <c r="AP183" s="137"/>
      <c r="AQ183" s="137"/>
      <c r="AR183" s="137"/>
      <c r="AS183" s="138"/>
      <c r="AT183" s="499"/>
      <c r="AU183" s="168"/>
      <c r="AV183" s="138"/>
      <c r="AW183" s="139"/>
      <c r="AX183" s="139"/>
      <c r="AY183" s="139"/>
      <c r="AZ183" s="139"/>
      <c r="BA183" s="139"/>
      <c r="BB183" s="139"/>
    </row>
    <row r="184" spans="1:54" ht="12.75" customHeight="1" x14ac:dyDescent="0.25">
      <c r="A184" s="200"/>
      <c r="B184" s="161"/>
      <c r="C184" s="202"/>
      <c r="D184" s="203"/>
      <c r="E184" s="203"/>
      <c r="F184" s="203"/>
      <c r="G184" s="203"/>
      <c r="H184" s="203"/>
      <c r="I184" s="203"/>
      <c r="J184" s="137"/>
      <c r="K184" s="146"/>
      <c r="L184" s="137"/>
      <c r="M184" s="137"/>
      <c r="N184" s="137"/>
      <c r="O184" s="137"/>
      <c r="P184" s="137"/>
      <c r="Q184" s="165"/>
      <c r="R184" s="166"/>
      <c r="S184" s="166"/>
      <c r="T184" s="166"/>
      <c r="U184" s="167"/>
      <c r="V184" s="167"/>
      <c r="W184" s="167"/>
      <c r="X184" s="167"/>
      <c r="Y184" s="168"/>
      <c r="Z184" s="137"/>
      <c r="AA184" s="166"/>
      <c r="AB184" s="137"/>
      <c r="AC184" s="137"/>
      <c r="AD184" s="137"/>
      <c r="AE184" s="137"/>
      <c r="AF184" s="137"/>
      <c r="AG184" s="137"/>
      <c r="AH184" s="137"/>
      <c r="AI184" s="137"/>
      <c r="AJ184" s="169"/>
      <c r="AK184" s="137"/>
      <c r="AL184" s="137"/>
      <c r="AM184" s="137"/>
      <c r="AN184" s="137"/>
      <c r="AO184" s="137"/>
      <c r="AP184" s="137"/>
      <c r="AQ184" s="137"/>
      <c r="AR184" s="137"/>
      <c r="AS184" s="138"/>
      <c r="AT184" s="499"/>
      <c r="AU184" s="168"/>
      <c r="AV184" s="138"/>
      <c r="AW184" s="139"/>
      <c r="AX184" s="139"/>
      <c r="AY184" s="139"/>
      <c r="AZ184" s="139"/>
      <c r="BA184" s="139"/>
      <c r="BB184" s="139"/>
    </row>
    <row r="185" spans="1:54" ht="12.75" customHeight="1" x14ac:dyDescent="0.25">
      <c r="A185" s="200"/>
      <c r="B185" s="242" t="s">
        <v>159</v>
      </c>
      <c r="C185" s="202"/>
      <c r="D185" s="203"/>
      <c r="E185" s="203"/>
      <c r="F185" s="203"/>
      <c r="G185" s="203"/>
      <c r="H185" s="203"/>
      <c r="I185" s="203"/>
      <c r="J185" s="137"/>
      <c r="K185" s="146"/>
      <c r="L185" s="137"/>
      <c r="M185" s="137"/>
      <c r="N185" s="137"/>
      <c r="O185" s="137"/>
      <c r="P185" s="137"/>
      <c r="Q185" s="165"/>
      <c r="R185" s="166"/>
      <c r="S185" s="166"/>
      <c r="T185" s="166"/>
      <c r="U185" s="167"/>
      <c r="V185" s="167"/>
      <c r="W185" s="167"/>
      <c r="X185" s="167"/>
      <c r="Y185" s="168"/>
      <c r="Z185" s="137"/>
      <c r="AA185" s="166"/>
      <c r="AB185" s="137"/>
      <c r="AC185" s="137"/>
      <c r="AD185" s="137"/>
      <c r="AE185" s="137"/>
      <c r="AF185" s="137"/>
      <c r="AG185" s="137"/>
      <c r="AH185" s="137"/>
      <c r="AI185" s="137"/>
      <c r="AJ185" s="169"/>
      <c r="AK185" s="137"/>
      <c r="AL185" s="137"/>
      <c r="AM185" s="137"/>
      <c r="AN185" s="137"/>
      <c r="AO185" s="137"/>
      <c r="AP185" s="137"/>
      <c r="AQ185" s="137"/>
      <c r="AR185" s="137"/>
      <c r="AS185" s="138"/>
      <c r="AT185" s="499"/>
      <c r="AU185" s="168"/>
      <c r="AV185" s="138"/>
      <c r="AW185" s="139"/>
      <c r="AX185" s="139"/>
      <c r="AY185" s="139"/>
      <c r="AZ185" s="139"/>
      <c r="BA185" s="139"/>
      <c r="BB185" s="139"/>
    </row>
    <row r="186" spans="1:54" ht="12.75" customHeight="1" x14ac:dyDescent="0.25">
      <c r="A186" s="200"/>
      <c r="B186" s="161" t="s">
        <v>158</v>
      </c>
      <c r="C186" s="202">
        <v>11.5</v>
      </c>
      <c r="D186" s="203">
        <f>C186*$K$171</f>
        <v>12.65</v>
      </c>
      <c r="E186" s="203" t="s">
        <v>6</v>
      </c>
      <c r="F186" s="203">
        <f>'Material and Labor Cost'!$D$61</f>
        <v>300</v>
      </c>
      <c r="G186" s="203">
        <f>'Material and Labor Cost'!$F$61</f>
        <v>350</v>
      </c>
      <c r="H186" s="203">
        <f>SUM(F186,G186)</f>
        <v>650</v>
      </c>
      <c r="I186" s="203">
        <f>D186*H186</f>
        <v>8222.5</v>
      </c>
      <c r="J186" s="137"/>
      <c r="K186" s="146"/>
      <c r="L186" s="137"/>
      <c r="M186" s="137"/>
      <c r="N186" s="137"/>
      <c r="O186" s="137"/>
      <c r="P186" s="137"/>
      <c r="Q186" s="223">
        <f>SUM(AA186:AH186)</f>
        <v>0</v>
      </c>
      <c r="R186" s="224">
        <f>Y186*D186</f>
        <v>0</v>
      </c>
      <c r="S186" s="224">
        <f>SUM(Q186:R186)</f>
        <v>0</v>
      </c>
      <c r="T186" s="224">
        <f>D186-S186</f>
        <v>12.65</v>
      </c>
      <c r="U186" s="225">
        <f>SUM(AJ185:AQ185)</f>
        <v>0</v>
      </c>
      <c r="V186" s="225">
        <f>Y186*I186</f>
        <v>0</v>
      </c>
      <c r="W186" s="225">
        <f>SUM(U186:V186)</f>
        <v>0</v>
      </c>
      <c r="X186" s="225">
        <f>I186-W186</f>
        <v>8222.5</v>
      </c>
      <c r="Y186" s="168">
        <f>SUM(AS186)</f>
        <v>0</v>
      </c>
      <c r="Z186" s="137"/>
      <c r="AA186" s="224">
        <v>0</v>
      </c>
      <c r="AB186" s="137"/>
      <c r="AC186" s="137"/>
      <c r="AD186" s="137"/>
      <c r="AE186" s="137"/>
      <c r="AF186" s="137"/>
      <c r="AG186" s="137"/>
      <c r="AH186" s="137"/>
      <c r="AI186" s="137"/>
      <c r="AJ186" s="169">
        <v>0</v>
      </c>
      <c r="AK186" s="137"/>
      <c r="AL186" s="137"/>
      <c r="AM186" s="137"/>
      <c r="AN186" s="137"/>
      <c r="AO186" s="137"/>
      <c r="AP186" s="137"/>
      <c r="AQ186" s="137"/>
      <c r="AR186" s="137"/>
      <c r="AS186" s="138"/>
      <c r="AT186" s="499"/>
      <c r="AU186" s="168"/>
      <c r="AV186" s="138"/>
      <c r="AW186" s="139"/>
      <c r="AX186" s="139"/>
      <c r="AY186" s="139"/>
      <c r="AZ186" s="139"/>
      <c r="BA186" s="139"/>
      <c r="BB186" s="139"/>
    </row>
    <row r="187" spans="1:54" ht="12.75" customHeight="1" x14ac:dyDescent="0.25">
      <c r="A187" s="200"/>
      <c r="B187" s="161"/>
      <c r="C187" s="202"/>
      <c r="D187" s="203"/>
      <c r="E187" s="203"/>
      <c r="F187" s="203"/>
      <c r="G187" s="203"/>
      <c r="H187" s="203"/>
      <c r="I187" s="203"/>
      <c r="J187" s="137"/>
      <c r="K187" s="146"/>
      <c r="L187" s="137"/>
      <c r="M187" s="137"/>
      <c r="N187" s="137"/>
      <c r="O187" s="137"/>
      <c r="P187" s="137"/>
      <c r="Q187" s="165"/>
      <c r="R187" s="166"/>
      <c r="S187" s="166"/>
      <c r="T187" s="166"/>
      <c r="U187" s="167"/>
      <c r="V187" s="167"/>
      <c r="W187" s="167"/>
      <c r="X187" s="167"/>
      <c r="Y187" s="168"/>
      <c r="Z187" s="137"/>
      <c r="AA187" s="166"/>
      <c r="AB187" s="137"/>
      <c r="AC187" s="137"/>
      <c r="AD187" s="137"/>
      <c r="AE187" s="137"/>
      <c r="AF187" s="137"/>
      <c r="AG187" s="137"/>
      <c r="AH187" s="137"/>
      <c r="AI187" s="137"/>
      <c r="AJ187" s="169"/>
      <c r="AK187" s="137"/>
      <c r="AL187" s="137"/>
      <c r="AM187" s="137"/>
      <c r="AN187" s="137"/>
      <c r="AO187" s="137"/>
      <c r="AP187" s="137"/>
      <c r="AQ187" s="137"/>
      <c r="AR187" s="137"/>
      <c r="AS187" s="138"/>
      <c r="AT187" s="499"/>
      <c r="AU187" s="168"/>
      <c r="AV187" s="138"/>
      <c r="AW187" s="139"/>
      <c r="AX187" s="139"/>
      <c r="AY187" s="139"/>
      <c r="AZ187" s="139"/>
      <c r="BA187" s="139"/>
      <c r="BB187" s="139"/>
    </row>
    <row r="188" spans="1:54" ht="12.75" customHeight="1" x14ac:dyDescent="0.25">
      <c r="A188" s="200"/>
      <c r="B188" s="242" t="s">
        <v>160</v>
      </c>
      <c r="C188" s="202"/>
      <c r="D188" s="203"/>
      <c r="E188" s="203"/>
      <c r="F188" s="203"/>
      <c r="G188" s="203"/>
      <c r="H188" s="203"/>
      <c r="I188" s="203"/>
      <c r="J188" s="137"/>
      <c r="K188" s="146"/>
      <c r="L188" s="137"/>
      <c r="M188" s="137"/>
      <c r="N188" s="137"/>
      <c r="O188" s="137"/>
      <c r="P188" s="137"/>
      <c r="Q188" s="165"/>
      <c r="R188" s="166"/>
      <c r="S188" s="166"/>
      <c r="T188" s="166"/>
      <c r="U188" s="167"/>
      <c r="V188" s="167"/>
      <c r="W188" s="167"/>
      <c r="X188" s="167"/>
      <c r="Y188" s="168"/>
      <c r="Z188" s="137"/>
      <c r="AA188" s="166"/>
      <c r="AB188" s="137"/>
      <c r="AC188" s="137"/>
      <c r="AD188" s="137"/>
      <c r="AE188" s="137"/>
      <c r="AF188" s="137"/>
      <c r="AG188" s="137"/>
      <c r="AH188" s="137"/>
      <c r="AI188" s="137"/>
      <c r="AJ188" s="169"/>
      <c r="AK188" s="137"/>
      <c r="AL188" s="137"/>
      <c r="AM188" s="137"/>
      <c r="AN188" s="137"/>
      <c r="AO188" s="137"/>
      <c r="AP188" s="137"/>
      <c r="AQ188" s="137"/>
      <c r="AR188" s="137"/>
      <c r="AS188" s="138"/>
      <c r="AT188" s="499"/>
      <c r="AU188" s="168"/>
      <c r="AV188" s="138"/>
      <c r="AW188" s="139"/>
      <c r="AX188" s="139"/>
      <c r="AY188" s="139"/>
      <c r="AZ188" s="139"/>
      <c r="BA188" s="139"/>
      <c r="BB188" s="139"/>
    </row>
    <row r="189" spans="1:54" ht="12.75" customHeight="1" x14ac:dyDescent="0.25">
      <c r="A189" s="200"/>
      <c r="B189" s="161" t="s">
        <v>158</v>
      </c>
      <c r="C189" s="202">
        <v>13.4</v>
      </c>
      <c r="D189" s="203">
        <f>C189*$K$171</f>
        <v>14.740000000000002</v>
      </c>
      <c r="E189" s="203" t="s">
        <v>6</v>
      </c>
      <c r="F189" s="203">
        <f>'Material and Labor Cost'!$D$64</f>
        <v>300</v>
      </c>
      <c r="G189" s="203">
        <f>'Material and Labor Cost'!$F$64</f>
        <v>350</v>
      </c>
      <c r="H189" s="203">
        <f>SUM(F189,G189)</f>
        <v>650</v>
      </c>
      <c r="I189" s="203">
        <f>D189*H189</f>
        <v>9581.0000000000018</v>
      </c>
      <c r="J189" s="137"/>
      <c r="K189" s="146"/>
      <c r="L189" s="137"/>
      <c r="M189" s="137"/>
      <c r="N189" s="137"/>
      <c r="O189" s="137"/>
      <c r="P189" s="137"/>
      <c r="Q189" s="223">
        <f>SUM(AA189:AH189)</f>
        <v>0</v>
      </c>
      <c r="R189" s="224">
        <f>Y189*D189</f>
        <v>0</v>
      </c>
      <c r="S189" s="224">
        <f>SUM(Q189:R189)</f>
        <v>0</v>
      </c>
      <c r="T189" s="224">
        <f>D189-S189</f>
        <v>14.740000000000002</v>
      </c>
      <c r="U189" s="225">
        <f>SUM(AJ188:AQ188)</f>
        <v>0</v>
      </c>
      <c r="V189" s="225">
        <f>Y189*I189</f>
        <v>0</v>
      </c>
      <c r="W189" s="225">
        <f>SUM(U189:V189)</f>
        <v>0</v>
      </c>
      <c r="X189" s="225">
        <f>I189-W189</f>
        <v>9581.0000000000018</v>
      </c>
      <c r="Y189" s="168">
        <f>SUM(AS189)</f>
        <v>0</v>
      </c>
      <c r="Z189" s="137"/>
      <c r="AA189" s="224">
        <v>0</v>
      </c>
      <c r="AB189" s="137"/>
      <c r="AC189" s="137"/>
      <c r="AD189" s="137"/>
      <c r="AE189" s="137"/>
      <c r="AF189" s="137"/>
      <c r="AG189" s="137"/>
      <c r="AH189" s="137"/>
      <c r="AI189" s="137"/>
      <c r="AJ189" s="169">
        <v>0</v>
      </c>
      <c r="AK189" s="137"/>
      <c r="AL189" s="137"/>
      <c r="AM189" s="137"/>
      <c r="AN189" s="137"/>
      <c r="AO189" s="137"/>
      <c r="AP189" s="137"/>
      <c r="AQ189" s="137"/>
      <c r="AR189" s="137"/>
      <c r="AS189" s="138"/>
      <c r="AT189" s="499"/>
      <c r="AU189" s="168"/>
      <c r="AV189" s="138"/>
      <c r="AW189" s="139"/>
      <c r="AX189" s="139"/>
      <c r="AY189" s="139"/>
      <c r="AZ189" s="139"/>
      <c r="BA189" s="139"/>
      <c r="BB189" s="139"/>
    </row>
    <row r="190" spans="1:54" ht="12.75" customHeight="1" x14ac:dyDescent="0.25">
      <c r="A190" s="200"/>
      <c r="B190" s="161"/>
      <c r="C190" s="202"/>
      <c r="D190" s="203"/>
      <c r="E190" s="203"/>
      <c r="F190" s="203"/>
      <c r="G190" s="203"/>
      <c r="H190" s="203"/>
      <c r="I190" s="203"/>
      <c r="J190" s="137"/>
      <c r="K190" s="146"/>
      <c r="L190" s="137"/>
      <c r="M190" s="137"/>
      <c r="N190" s="137"/>
      <c r="O190" s="137"/>
      <c r="P190" s="137"/>
      <c r="Q190" s="165"/>
      <c r="R190" s="166"/>
      <c r="S190" s="166"/>
      <c r="T190" s="166"/>
      <c r="U190" s="167"/>
      <c r="V190" s="167"/>
      <c r="W190" s="167"/>
      <c r="X190" s="167"/>
      <c r="Y190" s="168"/>
      <c r="Z190" s="137"/>
      <c r="AA190" s="166"/>
      <c r="AB190" s="137"/>
      <c r="AC190" s="137"/>
      <c r="AD190" s="137"/>
      <c r="AE190" s="137"/>
      <c r="AF190" s="137"/>
      <c r="AG190" s="137"/>
      <c r="AH190" s="137"/>
      <c r="AI190" s="137"/>
      <c r="AJ190" s="169"/>
      <c r="AK190" s="137"/>
      <c r="AL190" s="137"/>
      <c r="AM190" s="137"/>
      <c r="AN190" s="137"/>
      <c r="AO190" s="137"/>
      <c r="AP190" s="137"/>
      <c r="AQ190" s="137"/>
      <c r="AR190" s="137"/>
      <c r="AS190" s="138"/>
      <c r="AT190" s="499"/>
      <c r="AU190" s="168"/>
      <c r="AV190" s="138"/>
      <c r="AW190" s="139"/>
      <c r="AX190" s="139"/>
      <c r="AY190" s="139"/>
      <c r="AZ190" s="139"/>
      <c r="BA190" s="139"/>
      <c r="BB190" s="139"/>
    </row>
    <row r="191" spans="1:54" ht="12.75" customHeight="1" x14ac:dyDescent="0.25">
      <c r="A191" s="200"/>
      <c r="B191" s="242" t="s">
        <v>161</v>
      </c>
      <c r="C191" s="202"/>
      <c r="D191" s="203"/>
      <c r="E191" s="203"/>
      <c r="F191" s="203"/>
      <c r="G191" s="203"/>
      <c r="H191" s="203"/>
      <c r="I191" s="203"/>
      <c r="J191" s="137"/>
      <c r="K191" s="146"/>
      <c r="L191" s="137"/>
      <c r="M191" s="137"/>
      <c r="N191" s="137"/>
      <c r="O191" s="137"/>
      <c r="P191" s="137"/>
      <c r="Q191" s="165"/>
      <c r="R191" s="166"/>
      <c r="S191" s="166"/>
      <c r="T191" s="166"/>
      <c r="U191" s="167"/>
      <c r="V191" s="167"/>
      <c r="W191" s="167"/>
      <c r="X191" s="167"/>
      <c r="Y191" s="168"/>
      <c r="Z191" s="137"/>
      <c r="AA191" s="166"/>
      <c r="AB191" s="137"/>
      <c r="AC191" s="137"/>
      <c r="AD191" s="137"/>
      <c r="AE191" s="137"/>
      <c r="AF191" s="137"/>
      <c r="AG191" s="137"/>
      <c r="AH191" s="137"/>
      <c r="AI191" s="137"/>
      <c r="AJ191" s="169"/>
      <c r="AK191" s="137"/>
      <c r="AL191" s="137"/>
      <c r="AM191" s="137"/>
      <c r="AN191" s="137"/>
      <c r="AO191" s="137"/>
      <c r="AP191" s="137"/>
      <c r="AQ191" s="137"/>
      <c r="AR191" s="137"/>
      <c r="AS191" s="138"/>
      <c r="AT191" s="499"/>
      <c r="AU191" s="168"/>
      <c r="AV191" s="138"/>
      <c r="AW191" s="139"/>
      <c r="AX191" s="139"/>
      <c r="AY191" s="139"/>
      <c r="AZ191" s="139"/>
      <c r="BA191" s="139"/>
      <c r="BB191" s="139"/>
    </row>
    <row r="192" spans="1:54" ht="12.75" customHeight="1" x14ac:dyDescent="0.25">
      <c r="A192" s="200"/>
      <c r="B192" s="161" t="s">
        <v>158</v>
      </c>
      <c r="C192" s="202">
        <v>13.7</v>
      </c>
      <c r="D192" s="203">
        <f>C192*$K$171</f>
        <v>15.07</v>
      </c>
      <c r="E192" s="203" t="s">
        <v>6</v>
      </c>
      <c r="F192" s="203">
        <f>'Material and Labor Cost'!$D$67</f>
        <v>300</v>
      </c>
      <c r="G192" s="203">
        <f>'Material and Labor Cost'!$F$67</f>
        <v>350</v>
      </c>
      <c r="H192" s="203">
        <f>SUM(F192,G192)</f>
        <v>650</v>
      </c>
      <c r="I192" s="203">
        <f>D192*H192</f>
        <v>9795.5</v>
      </c>
      <c r="J192" s="137"/>
      <c r="K192" s="146"/>
      <c r="L192" s="137"/>
      <c r="M192" s="137"/>
      <c r="N192" s="137"/>
      <c r="O192" s="137"/>
      <c r="P192" s="137"/>
      <c r="Q192" s="223">
        <f>SUM(AA192:AH192)</f>
        <v>0</v>
      </c>
      <c r="R192" s="224">
        <f>Y192*D192</f>
        <v>0</v>
      </c>
      <c r="S192" s="224">
        <f>SUM(Q192:R192)</f>
        <v>0</v>
      </c>
      <c r="T192" s="224">
        <f>D192-S192</f>
        <v>15.07</v>
      </c>
      <c r="U192" s="225">
        <f>SUM(AJ191:AQ191)</f>
        <v>0</v>
      </c>
      <c r="V192" s="225">
        <f>Y192*I192</f>
        <v>0</v>
      </c>
      <c r="W192" s="225">
        <f>SUM(U192:V192)</f>
        <v>0</v>
      </c>
      <c r="X192" s="225">
        <f>I192-W192</f>
        <v>9795.5</v>
      </c>
      <c r="Y192" s="168">
        <f>SUM(AS192)</f>
        <v>0</v>
      </c>
      <c r="Z192" s="137"/>
      <c r="AA192" s="224">
        <v>0</v>
      </c>
      <c r="AB192" s="137"/>
      <c r="AC192" s="137"/>
      <c r="AD192" s="137"/>
      <c r="AE192" s="137"/>
      <c r="AF192" s="137"/>
      <c r="AG192" s="137"/>
      <c r="AH192" s="137"/>
      <c r="AI192" s="137"/>
      <c r="AJ192" s="169">
        <v>0</v>
      </c>
      <c r="AK192" s="137"/>
      <c r="AL192" s="137"/>
      <c r="AM192" s="137"/>
      <c r="AN192" s="137"/>
      <c r="AO192" s="137"/>
      <c r="AP192" s="137"/>
      <c r="AQ192" s="137"/>
      <c r="AR192" s="137"/>
      <c r="AS192" s="138"/>
      <c r="AT192" s="499"/>
      <c r="AU192" s="168"/>
      <c r="AV192" s="138"/>
      <c r="AW192" s="139"/>
      <c r="AX192" s="139"/>
      <c r="AY192" s="139"/>
      <c r="AZ192" s="139"/>
      <c r="BA192" s="139"/>
      <c r="BB192" s="139"/>
    </row>
    <row r="193" spans="1:54" ht="12.75" customHeight="1" x14ac:dyDescent="0.25">
      <c r="A193" s="200"/>
      <c r="B193" s="161"/>
      <c r="C193" s="202"/>
      <c r="D193" s="203"/>
      <c r="E193" s="203"/>
      <c r="F193" s="203"/>
      <c r="G193" s="203"/>
      <c r="H193" s="203"/>
      <c r="I193" s="203"/>
      <c r="J193" s="137"/>
      <c r="K193" s="146"/>
      <c r="L193" s="137"/>
      <c r="M193" s="137"/>
      <c r="N193" s="137"/>
      <c r="O193" s="137"/>
      <c r="P193" s="137"/>
      <c r="Q193" s="165"/>
      <c r="R193" s="166"/>
      <c r="S193" s="166"/>
      <c r="T193" s="166"/>
      <c r="U193" s="167"/>
      <c r="V193" s="167"/>
      <c r="W193" s="167"/>
      <c r="X193" s="167"/>
      <c r="Y193" s="168"/>
      <c r="Z193" s="137"/>
      <c r="AA193" s="166"/>
      <c r="AB193" s="137"/>
      <c r="AC193" s="137"/>
      <c r="AD193" s="137"/>
      <c r="AE193" s="137"/>
      <c r="AF193" s="137"/>
      <c r="AG193" s="137"/>
      <c r="AH193" s="137"/>
      <c r="AI193" s="137"/>
      <c r="AJ193" s="169"/>
      <c r="AK193" s="137"/>
      <c r="AL193" s="137"/>
      <c r="AM193" s="137"/>
      <c r="AN193" s="137"/>
      <c r="AO193" s="137"/>
      <c r="AP193" s="137"/>
      <c r="AQ193" s="137"/>
      <c r="AR193" s="137"/>
      <c r="AS193" s="138"/>
      <c r="AT193" s="499"/>
      <c r="AU193" s="168"/>
      <c r="AV193" s="138"/>
      <c r="AW193" s="139"/>
      <c r="AX193" s="139"/>
      <c r="AY193" s="139"/>
      <c r="AZ193" s="139"/>
      <c r="BA193" s="139"/>
      <c r="BB193" s="139"/>
    </row>
    <row r="194" spans="1:54" ht="12.75" customHeight="1" x14ac:dyDescent="0.25">
      <c r="A194" s="200"/>
      <c r="B194" s="242" t="s">
        <v>162</v>
      </c>
      <c r="C194" s="202"/>
      <c r="D194" s="203"/>
      <c r="E194" s="203"/>
      <c r="F194" s="203"/>
      <c r="G194" s="203"/>
      <c r="H194" s="203"/>
      <c r="I194" s="203"/>
      <c r="J194" s="137"/>
      <c r="K194" s="146"/>
      <c r="L194" s="137"/>
      <c r="M194" s="137"/>
      <c r="N194" s="137"/>
      <c r="O194" s="137"/>
      <c r="P194" s="137"/>
      <c r="Q194" s="165"/>
      <c r="R194" s="166"/>
      <c r="S194" s="166"/>
      <c r="T194" s="166"/>
      <c r="U194" s="167"/>
      <c r="V194" s="167"/>
      <c r="W194" s="167"/>
      <c r="X194" s="167"/>
      <c r="Y194" s="168"/>
      <c r="Z194" s="137"/>
      <c r="AA194" s="166"/>
      <c r="AB194" s="137"/>
      <c r="AC194" s="137"/>
      <c r="AD194" s="137"/>
      <c r="AE194" s="137"/>
      <c r="AF194" s="137"/>
      <c r="AG194" s="137"/>
      <c r="AH194" s="137"/>
      <c r="AI194" s="137"/>
      <c r="AJ194" s="169"/>
      <c r="AK194" s="137"/>
      <c r="AL194" s="137"/>
      <c r="AM194" s="137"/>
      <c r="AN194" s="137"/>
      <c r="AO194" s="137"/>
      <c r="AP194" s="137"/>
      <c r="AQ194" s="137"/>
      <c r="AR194" s="137"/>
      <c r="AS194" s="138"/>
      <c r="AT194" s="499"/>
      <c r="AU194" s="168"/>
      <c r="AV194" s="138"/>
      <c r="AW194" s="139"/>
      <c r="AX194" s="139"/>
      <c r="AY194" s="139"/>
      <c r="AZ194" s="139"/>
      <c r="BA194" s="139"/>
      <c r="BB194" s="139"/>
    </row>
    <row r="195" spans="1:54" ht="12.75" customHeight="1" x14ac:dyDescent="0.25">
      <c r="A195" s="200"/>
      <c r="B195" s="161" t="s">
        <v>158</v>
      </c>
      <c r="C195" s="202">
        <v>12.8</v>
      </c>
      <c r="D195" s="203">
        <f>C195*$K$171</f>
        <v>14.080000000000002</v>
      </c>
      <c r="E195" s="203" t="s">
        <v>6</v>
      </c>
      <c r="F195" s="203">
        <f>'Material and Labor Cost'!$D$70</f>
        <v>300</v>
      </c>
      <c r="G195" s="203">
        <f>'Material and Labor Cost'!$F$70</f>
        <v>350</v>
      </c>
      <c r="H195" s="203">
        <f>SUM(F195,G195)</f>
        <v>650</v>
      </c>
      <c r="I195" s="203">
        <f>D195*H195</f>
        <v>9152.0000000000018</v>
      </c>
      <c r="J195" s="137"/>
      <c r="K195" s="146"/>
      <c r="L195" s="137"/>
      <c r="M195" s="137"/>
      <c r="N195" s="137"/>
      <c r="O195" s="137"/>
      <c r="P195" s="137"/>
      <c r="Q195" s="223">
        <f>SUM(AA195:AH195)</f>
        <v>0</v>
      </c>
      <c r="R195" s="224">
        <f>Y195*D195</f>
        <v>0</v>
      </c>
      <c r="S195" s="224">
        <f>SUM(Q195:R195)</f>
        <v>0</v>
      </c>
      <c r="T195" s="224">
        <f>D195-S195</f>
        <v>14.080000000000002</v>
      </c>
      <c r="U195" s="225">
        <f>SUM(AJ194:AQ194)</f>
        <v>0</v>
      </c>
      <c r="V195" s="225">
        <f>Y195*I195</f>
        <v>0</v>
      </c>
      <c r="W195" s="225">
        <f>SUM(U195:V195)</f>
        <v>0</v>
      </c>
      <c r="X195" s="225">
        <f>I195-W195</f>
        <v>9152.0000000000018</v>
      </c>
      <c r="Y195" s="168">
        <f>SUM(AS195)</f>
        <v>0</v>
      </c>
      <c r="Z195" s="137"/>
      <c r="AA195" s="224">
        <v>0</v>
      </c>
      <c r="AB195" s="137"/>
      <c r="AC195" s="137"/>
      <c r="AD195" s="137"/>
      <c r="AE195" s="137"/>
      <c r="AF195" s="137"/>
      <c r="AG195" s="137"/>
      <c r="AH195" s="137"/>
      <c r="AI195" s="137"/>
      <c r="AJ195" s="169">
        <v>0</v>
      </c>
      <c r="AK195" s="137"/>
      <c r="AL195" s="137"/>
      <c r="AM195" s="137"/>
      <c r="AN195" s="137"/>
      <c r="AO195" s="137"/>
      <c r="AP195" s="137"/>
      <c r="AQ195" s="137"/>
      <c r="AR195" s="137"/>
      <c r="AS195" s="138"/>
      <c r="AT195" s="499"/>
      <c r="AU195" s="168"/>
      <c r="AV195" s="138"/>
      <c r="AW195" s="139"/>
      <c r="AX195" s="139"/>
      <c r="AY195" s="139"/>
      <c r="AZ195" s="139"/>
      <c r="BA195" s="139"/>
      <c r="BB195" s="139"/>
    </row>
    <row r="196" spans="1:54" ht="12.75" customHeight="1" x14ac:dyDescent="0.25">
      <c r="A196" s="200"/>
      <c r="B196" s="161"/>
      <c r="C196" s="202"/>
      <c r="D196" s="203"/>
      <c r="E196" s="203"/>
      <c r="F196" s="203"/>
      <c r="G196" s="203"/>
      <c r="H196" s="203"/>
      <c r="I196" s="203"/>
      <c r="J196" s="137"/>
      <c r="K196" s="146"/>
      <c r="L196" s="137"/>
      <c r="M196" s="137"/>
      <c r="N196" s="137"/>
      <c r="O196" s="137"/>
      <c r="P196" s="137"/>
      <c r="Q196" s="165"/>
      <c r="R196" s="166"/>
      <c r="S196" s="166"/>
      <c r="T196" s="166"/>
      <c r="U196" s="167"/>
      <c r="V196" s="167"/>
      <c r="W196" s="167"/>
      <c r="X196" s="167"/>
      <c r="Y196" s="168"/>
      <c r="Z196" s="137"/>
      <c r="AA196" s="166"/>
      <c r="AB196" s="137"/>
      <c r="AC196" s="137"/>
      <c r="AD196" s="137"/>
      <c r="AE196" s="137"/>
      <c r="AF196" s="137"/>
      <c r="AG196" s="137"/>
      <c r="AH196" s="137"/>
      <c r="AI196" s="137"/>
      <c r="AJ196" s="169"/>
      <c r="AK196" s="137"/>
      <c r="AL196" s="137"/>
      <c r="AM196" s="137"/>
      <c r="AN196" s="137"/>
      <c r="AO196" s="137"/>
      <c r="AP196" s="137"/>
      <c r="AQ196" s="137"/>
      <c r="AR196" s="137"/>
      <c r="AS196" s="138"/>
      <c r="AT196" s="499"/>
      <c r="AU196" s="168"/>
      <c r="AV196" s="138"/>
      <c r="AW196" s="139"/>
      <c r="AX196" s="139"/>
      <c r="AY196" s="139"/>
      <c r="AZ196" s="139"/>
      <c r="BA196" s="139"/>
      <c r="BB196" s="139"/>
    </row>
    <row r="197" spans="1:54" ht="12.75" customHeight="1" x14ac:dyDescent="0.25">
      <c r="A197" s="200"/>
      <c r="B197" s="242" t="s">
        <v>163</v>
      </c>
      <c r="C197" s="202"/>
      <c r="D197" s="203"/>
      <c r="E197" s="203"/>
      <c r="F197" s="203"/>
      <c r="G197" s="203"/>
      <c r="H197" s="203"/>
      <c r="I197" s="203"/>
      <c r="J197" s="137"/>
      <c r="K197" s="146"/>
      <c r="L197" s="137"/>
      <c r="M197" s="137"/>
      <c r="N197" s="137"/>
      <c r="O197" s="137"/>
      <c r="P197" s="137"/>
      <c r="Q197" s="165"/>
      <c r="R197" s="166"/>
      <c r="S197" s="166"/>
      <c r="T197" s="166"/>
      <c r="U197" s="167"/>
      <c r="V197" s="167"/>
      <c r="W197" s="167"/>
      <c r="X197" s="167"/>
      <c r="Y197" s="168"/>
      <c r="Z197" s="137"/>
      <c r="AA197" s="166"/>
      <c r="AB197" s="137"/>
      <c r="AC197" s="137"/>
      <c r="AD197" s="137"/>
      <c r="AE197" s="137"/>
      <c r="AF197" s="137"/>
      <c r="AG197" s="137"/>
      <c r="AH197" s="137"/>
      <c r="AI197" s="137"/>
      <c r="AJ197" s="169"/>
      <c r="AK197" s="137"/>
      <c r="AL197" s="137"/>
      <c r="AM197" s="137"/>
      <c r="AN197" s="137"/>
      <c r="AO197" s="137"/>
      <c r="AP197" s="137"/>
      <c r="AQ197" s="137"/>
      <c r="AR197" s="137"/>
      <c r="AS197" s="138"/>
      <c r="AT197" s="499"/>
      <c r="AU197" s="168"/>
      <c r="AV197" s="138"/>
      <c r="AW197" s="139"/>
      <c r="AX197" s="139"/>
      <c r="AY197" s="139"/>
      <c r="AZ197" s="139"/>
      <c r="BA197" s="139"/>
      <c r="BB197" s="139"/>
    </row>
    <row r="198" spans="1:54" ht="12.75" customHeight="1" x14ac:dyDescent="0.25">
      <c r="A198" s="200"/>
      <c r="B198" s="161" t="s">
        <v>164</v>
      </c>
      <c r="C198" s="202">
        <v>3</v>
      </c>
      <c r="D198" s="203">
        <f>C198*$K$171</f>
        <v>3.3000000000000003</v>
      </c>
      <c r="E198" s="203" t="s">
        <v>6</v>
      </c>
      <c r="F198" s="203">
        <f>'Material and Labor Cost'!$D$73</f>
        <v>880.00000000000011</v>
      </c>
      <c r="G198" s="203">
        <f>'Material and Labor Cost'!$F$73</f>
        <v>350</v>
      </c>
      <c r="H198" s="203">
        <f>SUM(F198,G198)</f>
        <v>1230</v>
      </c>
      <c r="I198" s="203">
        <f>D198*H198</f>
        <v>4059.0000000000005</v>
      </c>
      <c r="J198" s="137"/>
      <c r="K198" s="146"/>
      <c r="L198" s="137"/>
      <c r="M198" s="137"/>
      <c r="N198" s="137"/>
      <c r="O198" s="137"/>
      <c r="P198" s="137"/>
      <c r="Q198" s="223">
        <f>SUM(AA198:AH198)</f>
        <v>0</v>
      </c>
      <c r="R198" s="224">
        <f>Y198*D198</f>
        <v>1.3200000000000003</v>
      </c>
      <c r="S198" s="224">
        <f>SUM(Q198:R198)</f>
        <v>1.3200000000000003</v>
      </c>
      <c r="T198" s="224">
        <f>D198-S198</f>
        <v>1.98</v>
      </c>
      <c r="U198" s="225">
        <f>SUM(AJ197:AQ197)</f>
        <v>0</v>
      </c>
      <c r="V198" s="225">
        <f>Y198*I198</f>
        <v>1623.6000000000004</v>
      </c>
      <c r="W198" s="225">
        <f>SUM(U198:V198)</f>
        <v>1623.6000000000004</v>
      </c>
      <c r="X198" s="225">
        <f>I198-W198</f>
        <v>2435.4</v>
      </c>
      <c r="Y198" s="168">
        <f>SUM(AS198)</f>
        <v>0.4</v>
      </c>
      <c r="Z198" s="137"/>
      <c r="AA198" s="224">
        <v>0</v>
      </c>
      <c r="AB198" s="137"/>
      <c r="AC198" s="137"/>
      <c r="AD198" s="137"/>
      <c r="AE198" s="137"/>
      <c r="AF198" s="137"/>
      <c r="AG198" s="137"/>
      <c r="AH198" s="137"/>
      <c r="AI198" s="137"/>
      <c r="AJ198" s="169">
        <v>0</v>
      </c>
      <c r="AK198" s="137"/>
      <c r="AL198" s="137"/>
      <c r="AM198" s="137"/>
      <c r="AN198" s="137"/>
      <c r="AO198" s="137"/>
      <c r="AP198" s="137"/>
      <c r="AQ198" s="137"/>
      <c r="AR198" s="137"/>
      <c r="AS198" s="138">
        <v>0.4</v>
      </c>
      <c r="AT198" s="499"/>
      <c r="AU198" s="168"/>
      <c r="AV198" s="138">
        <v>0.4</v>
      </c>
      <c r="AW198" s="139"/>
      <c r="AX198" s="139"/>
      <c r="AY198" s="139"/>
      <c r="AZ198" s="139"/>
      <c r="BA198" s="139"/>
      <c r="BB198" s="139"/>
    </row>
    <row r="199" spans="1:54" ht="12.75" customHeight="1" x14ac:dyDescent="0.25">
      <c r="A199" s="200"/>
      <c r="B199" s="161"/>
      <c r="C199" s="202"/>
      <c r="D199" s="203"/>
      <c r="E199" s="203"/>
      <c r="F199" s="203"/>
      <c r="G199" s="203"/>
      <c r="H199" s="203"/>
      <c r="I199" s="203"/>
      <c r="J199" s="137"/>
      <c r="K199" s="146"/>
      <c r="L199" s="137"/>
      <c r="M199" s="137"/>
      <c r="N199" s="137"/>
      <c r="O199" s="137"/>
      <c r="P199" s="137"/>
      <c r="Q199" s="165"/>
      <c r="R199" s="166"/>
      <c r="S199" s="166"/>
      <c r="T199" s="166"/>
      <c r="U199" s="167"/>
      <c r="V199" s="167"/>
      <c r="W199" s="167"/>
      <c r="X199" s="167"/>
      <c r="Y199" s="168"/>
      <c r="Z199" s="137"/>
      <c r="AA199" s="166"/>
      <c r="AB199" s="137"/>
      <c r="AC199" s="137"/>
      <c r="AD199" s="137"/>
      <c r="AE199" s="137"/>
      <c r="AF199" s="137"/>
      <c r="AG199" s="137"/>
      <c r="AH199" s="137"/>
      <c r="AI199" s="137"/>
      <c r="AJ199" s="169"/>
      <c r="AK199" s="137"/>
      <c r="AL199" s="137"/>
      <c r="AM199" s="137"/>
      <c r="AN199" s="137"/>
      <c r="AO199" s="137"/>
      <c r="AP199" s="137"/>
      <c r="AQ199" s="137"/>
      <c r="AR199" s="137"/>
      <c r="AS199" s="138"/>
      <c r="AT199" s="499"/>
      <c r="AU199" s="168"/>
      <c r="AV199" s="138"/>
      <c r="AW199" s="139"/>
      <c r="AX199" s="139"/>
      <c r="AY199" s="139"/>
      <c r="AZ199" s="139"/>
      <c r="BA199" s="139"/>
      <c r="BB199" s="139"/>
    </row>
    <row r="200" spans="1:54" ht="12.75" customHeight="1" x14ac:dyDescent="0.25">
      <c r="A200" s="200"/>
      <c r="B200" s="242" t="s">
        <v>165</v>
      </c>
      <c r="C200" s="202"/>
      <c r="D200" s="203"/>
      <c r="E200" s="203"/>
      <c r="F200" s="203"/>
      <c r="G200" s="203"/>
      <c r="H200" s="203"/>
      <c r="I200" s="203"/>
      <c r="J200" s="137"/>
      <c r="K200" s="146"/>
      <c r="L200" s="137"/>
      <c r="M200" s="137"/>
      <c r="N200" s="137"/>
      <c r="O200" s="137"/>
      <c r="P200" s="137"/>
      <c r="Q200" s="165"/>
      <c r="R200" s="166"/>
      <c r="S200" s="166"/>
      <c r="T200" s="166"/>
      <c r="U200" s="167"/>
      <c r="V200" s="167"/>
      <c r="W200" s="167"/>
      <c r="X200" s="167"/>
      <c r="Y200" s="168"/>
      <c r="Z200" s="137"/>
      <c r="AA200" s="166"/>
      <c r="AB200" s="137"/>
      <c r="AC200" s="137"/>
      <c r="AD200" s="137"/>
      <c r="AE200" s="137"/>
      <c r="AF200" s="137"/>
      <c r="AG200" s="137"/>
      <c r="AH200" s="137"/>
      <c r="AI200" s="137"/>
      <c r="AJ200" s="169"/>
      <c r="AK200" s="137"/>
      <c r="AL200" s="137"/>
      <c r="AM200" s="137"/>
      <c r="AN200" s="137"/>
      <c r="AO200" s="137"/>
      <c r="AP200" s="137"/>
      <c r="AQ200" s="137"/>
      <c r="AR200" s="137"/>
      <c r="AS200" s="138"/>
      <c r="AT200" s="499"/>
      <c r="AU200" s="168"/>
      <c r="AV200" s="138"/>
      <c r="AW200" s="139"/>
      <c r="AX200" s="139"/>
      <c r="AY200" s="139"/>
      <c r="AZ200" s="139"/>
      <c r="BA200" s="139"/>
      <c r="BB200" s="139"/>
    </row>
    <row r="201" spans="1:54" ht="12.75" customHeight="1" x14ac:dyDescent="0.25">
      <c r="A201" s="200"/>
      <c r="B201" s="204" t="s">
        <v>166</v>
      </c>
      <c r="C201" s="202">
        <v>6</v>
      </c>
      <c r="D201" s="203">
        <f>C201*$K$171</f>
        <v>6.6000000000000005</v>
      </c>
      <c r="E201" s="203" t="s">
        <v>6</v>
      </c>
      <c r="F201" s="203">
        <f>'Material and Labor Cost'!$D$76</f>
        <v>940.00000000000011</v>
      </c>
      <c r="G201" s="203">
        <f>'Material and Labor Cost'!$F$76</f>
        <v>350</v>
      </c>
      <c r="H201" s="203">
        <f>SUM(F201,G201)</f>
        <v>1290</v>
      </c>
      <c r="I201" s="203">
        <f>D201*H201</f>
        <v>8514</v>
      </c>
      <c r="J201" s="137"/>
      <c r="K201" s="146"/>
      <c r="L201" s="137"/>
      <c r="M201" s="137"/>
      <c r="N201" s="137"/>
      <c r="O201" s="137"/>
      <c r="P201" s="137"/>
      <c r="Q201" s="223">
        <f>SUM(AA201:AH201)</f>
        <v>0</v>
      </c>
      <c r="R201" s="224">
        <f>Y201*D201</f>
        <v>2.6400000000000006</v>
      </c>
      <c r="S201" s="224">
        <f>SUM(Q201:R201)</f>
        <v>2.6400000000000006</v>
      </c>
      <c r="T201" s="224">
        <f>D201-S201</f>
        <v>3.96</v>
      </c>
      <c r="U201" s="225">
        <f>SUM(AJ200:AQ200)</f>
        <v>0</v>
      </c>
      <c r="V201" s="225">
        <f>Y201*I201</f>
        <v>3405.6000000000004</v>
      </c>
      <c r="W201" s="225">
        <f>SUM(U201:V201)</f>
        <v>3405.6000000000004</v>
      </c>
      <c r="X201" s="225">
        <f>I201-W201</f>
        <v>5108.3999999999996</v>
      </c>
      <c r="Y201" s="168">
        <f>SUM(AS201)</f>
        <v>0.4</v>
      </c>
      <c r="Z201" s="137"/>
      <c r="AA201" s="224">
        <v>0</v>
      </c>
      <c r="AB201" s="137"/>
      <c r="AC201" s="137"/>
      <c r="AD201" s="137"/>
      <c r="AE201" s="137"/>
      <c r="AF201" s="137"/>
      <c r="AG201" s="137"/>
      <c r="AH201" s="137"/>
      <c r="AI201" s="137"/>
      <c r="AJ201" s="169">
        <v>0</v>
      </c>
      <c r="AK201" s="137"/>
      <c r="AL201" s="137"/>
      <c r="AM201" s="137"/>
      <c r="AN201" s="137"/>
      <c r="AO201" s="137"/>
      <c r="AP201" s="137"/>
      <c r="AQ201" s="137"/>
      <c r="AR201" s="137"/>
      <c r="AS201" s="138">
        <v>0.4</v>
      </c>
      <c r="AT201" s="499"/>
      <c r="AU201" s="168"/>
      <c r="AV201" s="138">
        <v>0.4</v>
      </c>
      <c r="AW201" s="139"/>
      <c r="AX201" s="139"/>
      <c r="AY201" s="139"/>
      <c r="AZ201" s="139"/>
      <c r="BA201" s="139"/>
      <c r="BB201" s="139"/>
    </row>
    <row r="202" spans="1:54" ht="12.75" customHeight="1" x14ac:dyDescent="0.25">
      <c r="A202" s="200"/>
      <c r="B202" s="204"/>
      <c r="C202" s="202"/>
      <c r="D202" s="203"/>
      <c r="E202" s="203"/>
      <c r="F202" s="203"/>
      <c r="G202" s="203"/>
      <c r="H202" s="203"/>
      <c r="I202" s="203"/>
      <c r="J202" s="137"/>
      <c r="K202" s="146"/>
      <c r="L202" s="137"/>
      <c r="M202" s="137"/>
      <c r="N202" s="137"/>
      <c r="O202" s="137"/>
      <c r="P202" s="137"/>
      <c r="Q202" s="165"/>
      <c r="R202" s="166"/>
      <c r="S202" s="166"/>
      <c r="T202" s="166"/>
      <c r="U202" s="167"/>
      <c r="V202" s="167"/>
      <c r="W202" s="167"/>
      <c r="X202" s="167"/>
      <c r="Y202" s="168"/>
      <c r="Z202" s="137"/>
      <c r="AA202" s="166"/>
      <c r="AB202" s="137"/>
      <c r="AC202" s="137"/>
      <c r="AD202" s="137"/>
      <c r="AE202" s="137"/>
      <c r="AF202" s="137"/>
      <c r="AG202" s="137"/>
      <c r="AH202" s="137"/>
      <c r="AI202" s="137"/>
      <c r="AJ202" s="169"/>
      <c r="AK202" s="137"/>
      <c r="AL202" s="137"/>
      <c r="AM202" s="137"/>
      <c r="AN202" s="137"/>
      <c r="AO202" s="137"/>
      <c r="AP202" s="137"/>
      <c r="AQ202" s="137"/>
      <c r="AR202" s="137"/>
      <c r="AS202" s="138"/>
      <c r="AT202" s="499"/>
      <c r="AU202" s="168"/>
      <c r="AV202" s="138"/>
      <c r="AW202" s="139"/>
      <c r="AX202" s="139"/>
      <c r="AY202" s="139"/>
      <c r="AZ202" s="139"/>
      <c r="BA202" s="139"/>
      <c r="BB202" s="139"/>
    </row>
    <row r="203" spans="1:54" ht="12.75" customHeight="1" x14ac:dyDescent="0.25">
      <c r="A203" s="200"/>
      <c r="B203" s="201" t="s">
        <v>167</v>
      </c>
      <c r="C203" s="202"/>
      <c r="D203" s="203"/>
      <c r="E203" s="203"/>
      <c r="F203" s="203"/>
      <c r="G203" s="203"/>
      <c r="H203" s="203"/>
      <c r="I203" s="203"/>
      <c r="J203" s="137"/>
      <c r="K203" s="146"/>
      <c r="L203" s="137"/>
      <c r="M203" s="137"/>
      <c r="N203" s="137"/>
      <c r="O203" s="137"/>
      <c r="P203" s="137"/>
      <c r="Q203" s="165"/>
      <c r="R203" s="166"/>
      <c r="S203" s="166"/>
      <c r="T203" s="166"/>
      <c r="U203" s="167"/>
      <c r="V203" s="167"/>
      <c r="W203" s="167"/>
      <c r="X203" s="167"/>
      <c r="Y203" s="168"/>
      <c r="Z203" s="137"/>
      <c r="AA203" s="166"/>
      <c r="AB203" s="137"/>
      <c r="AC203" s="137"/>
      <c r="AD203" s="137"/>
      <c r="AE203" s="137"/>
      <c r="AF203" s="137"/>
      <c r="AG203" s="137"/>
      <c r="AH203" s="137"/>
      <c r="AI203" s="137"/>
      <c r="AJ203" s="169"/>
      <c r="AK203" s="137"/>
      <c r="AL203" s="137"/>
      <c r="AM203" s="137"/>
      <c r="AN203" s="137"/>
      <c r="AO203" s="137"/>
      <c r="AP203" s="137"/>
      <c r="AQ203" s="137"/>
      <c r="AR203" s="137"/>
      <c r="AS203" s="138"/>
      <c r="AT203" s="499"/>
      <c r="AU203" s="168"/>
      <c r="AV203" s="138"/>
      <c r="AW203" s="139"/>
      <c r="AX203" s="139"/>
      <c r="AY203" s="139"/>
      <c r="AZ203" s="139"/>
      <c r="BA203" s="139"/>
      <c r="BB203" s="139"/>
    </row>
    <row r="204" spans="1:54" ht="12.6" customHeight="1" x14ac:dyDescent="0.25">
      <c r="A204" s="200"/>
      <c r="B204" s="204" t="s">
        <v>168</v>
      </c>
      <c r="C204" s="202">
        <v>19.100000000000001</v>
      </c>
      <c r="D204" s="203">
        <f>C204*$K$171</f>
        <v>21.01</v>
      </c>
      <c r="E204" s="203" t="s">
        <v>6</v>
      </c>
      <c r="F204" s="203">
        <f>'Material and Labor Cost'!$D$79</f>
        <v>830.00000000000011</v>
      </c>
      <c r="G204" s="203">
        <f>'Material and Labor Cost'!$F$79</f>
        <v>350</v>
      </c>
      <c r="H204" s="203">
        <f>SUM(F204,G204)</f>
        <v>1180</v>
      </c>
      <c r="I204" s="203">
        <f>D204*H204</f>
        <v>24791.800000000003</v>
      </c>
      <c r="J204" s="137"/>
      <c r="K204" s="146"/>
      <c r="L204" s="137"/>
      <c r="M204" s="137"/>
      <c r="N204" s="137"/>
      <c r="O204" s="137"/>
      <c r="P204" s="137"/>
      <c r="Q204" s="223">
        <f>SUM(AA204:AH204)</f>
        <v>0</v>
      </c>
      <c r="R204" s="224">
        <f>Y204*D204</f>
        <v>10.505000000000001</v>
      </c>
      <c r="S204" s="224">
        <f>SUM(Q204:R204)</f>
        <v>10.505000000000001</v>
      </c>
      <c r="T204" s="224">
        <f>D204-S204</f>
        <v>10.505000000000001</v>
      </c>
      <c r="U204" s="225">
        <f>SUM(AJ203:AQ203)</f>
        <v>0</v>
      </c>
      <c r="V204" s="225">
        <f>Y204*I204</f>
        <v>12395.900000000001</v>
      </c>
      <c r="W204" s="225">
        <f>SUM(U204:V204)</f>
        <v>12395.900000000001</v>
      </c>
      <c r="X204" s="225">
        <f>I204-W204</f>
        <v>12395.900000000001</v>
      </c>
      <c r="Y204" s="168">
        <f>SUM(AS204)</f>
        <v>0.5</v>
      </c>
      <c r="Z204" s="137"/>
      <c r="AA204" s="224">
        <v>0</v>
      </c>
      <c r="AB204" s="137"/>
      <c r="AC204" s="137"/>
      <c r="AD204" s="137"/>
      <c r="AE204" s="137"/>
      <c r="AF204" s="137"/>
      <c r="AG204" s="137"/>
      <c r="AH204" s="137"/>
      <c r="AI204" s="137"/>
      <c r="AJ204" s="169">
        <v>0</v>
      </c>
      <c r="AK204" s="137"/>
      <c r="AL204" s="137"/>
      <c r="AM204" s="137"/>
      <c r="AN204" s="137"/>
      <c r="AO204" s="137"/>
      <c r="AP204" s="137"/>
      <c r="AQ204" s="137"/>
      <c r="AR204" s="137"/>
      <c r="AS204" s="138">
        <v>0.5</v>
      </c>
      <c r="AT204" s="499"/>
      <c r="AU204" s="168"/>
      <c r="AV204" s="138">
        <v>0.5</v>
      </c>
      <c r="AW204" s="139"/>
      <c r="AX204" s="139"/>
      <c r="AY204" s="139"/>
      <c r="AZ204" s="139"/>
      <c r="BA204" s="139"/>
      <c r="BB204" s="139"/>
    </row>
    <row r="205" spans="1:54" ht="12.75" customHeight="1" x14ac:dyDescent="0.25">
      <c r="A205" s="200"/>
      <c r="B205" s="204"/>
      <c r="C205" s="202"/>
      <c r="D205" s="203"/>
      <c r="E205" s="203"/>
      <c r="F205" s="203"/>
      <c r="G205" s="203"/>
      <c r="H205" s="203"/>
      <c r="I205" s="203"/>
      <c r="J205" s="137"/>
      <c r="K205" s="146"/>
      <c r="L205" s="137"/>
      <c r="M205" s="137"/>
      <c r="N205" s="137"/>
      <c r="O205" s="137"/>
      <c r="P205" s="137"/>
      <c r="Q205" s="165"/>
      <c r="R205" s="166"/>
      <c r="S205" s="166"/>
      <c r="T205" s="166"/>
      <c r="U205" s="167"/>
      <c r="V205" s="167"/>
      <c r="W205" s="167"/>
      <c r="X205" s="167"/>
      <c r="Y205" s="168"/>
      <c r="Z205" s="137"/>
      <c r="AA205" s="166"/>
      <c r="AB205" s="137"/>
      <c r="AC205" s="137"/>
      <c r="AD205" s="137"/>
      <c r="AE205" s="137"/>
      <c r="AF205" s="137"/>
      <c r="AG205" s="137"/>
      <c r="AH205" s="137"/>
      <c r="AI205" s="137"/>
      <c r="AJ205" s="169"/>
      <c r="AK205" s="137"/>
      <c r="AL205" s="137"/>
      <c r="AM205" s="137"/>
      <c r="AN205" s="137"/>
      <c r="AO205" s="137"/>
      <c r="AP205" s="137"/>
      <c r="AQ205" s="137"/>
      <c r="AR205" s="137"/>
      <c r="AS205" s="138"/>
      <c r="AT205" s="499"/>
      <c r="AU205" s="168"/>
      <c r="AV205" s="138"/>
      <c r="AW205" s="139"/>
      <c r="AX205" s="139"/>
      <c r="AY205" s="139"/>
      <c r="AZ205" s="139"/>
      <c r="BA205" s="139"/>
      <c r="BB205" s="139"/>
    </row>
    <row r="206" spans="1:54" ht="12.75" customHeight="1" x14ac:dyDescent="0.25">
      <c r="A206" s="200"/>
      <c r="B206" s="204" t="s">
        <v>129</v>
      </c>
      <c r="C206" s="202"/>
      <c r="D206" s="203">
        <v>1</v>
      </c>
      <c r="E206" s="203" t="s">
        <v>94</v>
      </c>
      <c r="F206" s="203"/>
      <c r="G206" s="203"/>
      <c r="H206" s="203"/>
      <c r="I206" s="203">
        <f>SUM(I183:I204)*$K$176</f>
        <v>16767.960000000003</v>
      </c>
      <c r="J206" s="137"/>
      <c r="K206" s="146"/>
      <c r="L206" s="137"/>
      <c r="M206" s="137"/>
      <c r="N206" s="137"/>
      <c r="O206" s="137"/>
      <c r="P206" s="137"/>
      <c r="Q206" s="223">
        <f>SUM(AA206:AH206)</f>
        <v>0.43</v>
      </c>
      <c r="R206" s="224">
        <f>Y206*D206</f>
        <v>0</v>
      </c>
      <c r="S206" s="224">
        <f>SUM(Q206:R206)</f>
        <v>0.43</v>
      </c>
      <c r="T206" s="224">
        <f>D206-S206</f>
        <v>0.57000000000000006</v>
      </c>
      <c r="U206" s="225">
        <f>SUM(AJ205:AQ205)</f>
        <v>0</v>
      </c>
      <c r="V206" s="225">
        <f>Y206*I206</f>
        <v>0</v>
      </c>
      <c r="W206" s="225">
        <f>SUM(U206:V206)</f>
        <v>0</v>
      </c>
      <c r="X206" s="225">
        <f>I206-W206</f>
        <v>16767.960000000003</v>
      </c>
      <c r="Y206" s="168">
        <f>SUM(AS206)</f>
        <v>0</v>
      </c>
      <c r="Z206" s="137"/>
      <c r="AA206" s="224">
        <v>0.43</v>
      </c>
      <c r="AB206" s="137"/>
      <c r="AC206" s="137"/>
      <c r="AD206" s="137"/>
      <c r="AE206" s="137"/>
      <c r="AF206" s="137"/>
      <c r="AG206" s="137"/>
      <c r="AH206" s="137"/>
      <c r="AI206" s="137"/>
      <c r="AJ206" s="169">
        <v>7210.2228000000014</v>
      </c>
      <c r="AK206" s="137"/>
      <c r="AL206" s="137"/>
      <c r="AM206" s="137"/>
      <c r="AN206" s="137"/>
      <c r="AO206" s="137"/>
      <c r="AP206" s="137"/>
      <c r="AQ206" s="137"/>
      <c r="AR206" s="137"/>
      <c r="AS206" s="138">
        <v>0</v>
      </c>
      <c r="AT206" s="499"/>
      <c r="AU206" s="168">
        <v>0.43</v>
      </c>
      <c r="AV206" s="138">
        <v>0.43</v>
      </c>
      <c r="AW206" s="139"/>
      <c r="AX206" s="139"/>
      <c r="AY206" s="139"/>
      <c r="AZ206" s="139"/>
      <c r="BA206" s="139"/>
      <c r="BB206" s="139"/>
    </row>
    <row r="207" spans="1:54" ht="12.75" customHeight="1" x14ac:dyDescent="0.25">
      <c r="A207" s="207"/>
      <c r="B207" s="500" t="s">
        <v>169</v>
      </c>
      <c r="C207" s="501"/>
      <c r="D207" s="501"/>
      <c r="E207" s="501"/>
      <c r="F207" s="501"/>
      <c r="G207" s="501"/>
      <c r="H207" s="502"/>
      <c r="I207" s="172">
        <f>SUM(I182:I204,I206)</f>
        <v>100607.76000000001</v>
      </c>
      <c r="J207" s="210"/>
      <c r="K207" s="212"/>
      <c r="L207" s="210"/>
      <c r="M207" s="210"/>
      <c r="N207" s="210"/>
      <c r="O207" s="210"/>
      <c r="P207" s="213"/>
      <c r="Q207" s="176">
        <f t="shared" ref="Q207:X207" si="205">SUM(Q183:Q206)</f>
        <v>0.43</v>
      </c>
      <c r="R207" s="177">
        <f t="shared" si="205"/>
        <v>14.465000000000002</v>
      </c>
      <c r="S207" s="177">
        <f t="shared" si="205"/>
        <v>14.895000000000001</v>
      </c>
      <c r="T207" s="177">
        <f t="shared" si="205"/>
        <v>88.514999999999986</v>
      </c>
      <c r="U207" s="178">
        <f t="shared" si="205"/>
        <v>0</v>
      </c>
      <c r="V207" s="178">
        <f t="shared" si="205"/>
        <v>17425.100000000002</v>
      </c>
      <c r="W207" s="178">
        <f t="shared" si="205"/>
        <v>17425.100000000002</v>
      </c>
      <c r="X207" s="178">
        <f t="shared" si="205"/>
        <v>83182.660000000018</v>
      </c>
      <c r="Y207" s="227">
        <f>SUM(Y183:Y206)/COUNT(Y183:Y206)</f>
        <v>0.14444444444444446</v>
      </c>
      <c r="Z207" s="218"/>
      <c r="AA207" s="177">
        <v>0.43</v>
      </c>
      <c r="AB207" s="210"/>
      <c r="AC207" s="210"/>
      <c r="AD207" s="211"/>
      <c r="AE207" s="211"/>
      <c r="AF207" s="211"/>
      <c r="AG207" s="211"/>
      <c r="AH207" s="211"/>
      <c r="AI207" s="211"/>
      <c r="AJ207" s="219">
        <v>7210.2228000000014</v>
      </c>
      <c r="AK207" s="211"/>
      <c r="AL207" s="211"/>
      <c r="AM207" s="211"/>
      <c r="AN207" s="211"/>
      <c r="AO207" s="211"/>
      <c r="AP207" s="211"/>
      <c r="AQ207" s="211"/>
      <c r="AR207" s="137"/>
      <c r="AS207" s="138"/>
      <c r="AT207" s="499"/>
      <c r="AU207" s="227">
        <f t="shared" ref="AU207:AW207" si="206">SUM(AU183:AU206)/9</f>
        <v>4.777777777777778E-2</v>
      </c>
      <c r="AV207" s="227">
        <f t="shared" si="206"/>
        <v>0.19222222222222221</v>
      </c>
      <c r="AW207" s="227">
        <f t="shared" si="206"/>
        <v>0</v>
      </c>
      <c r="AX207" s="139"/>
      <c r="AY207" s="139"/>
      <c r="AZ207" s="139"/>
      <c r="BA207" s="139"/>
      <c r="BB207" s="139"/>
    </row>
    <row r="208" spans="1:54" ht="12.75" customHeight="1" x14ac:dyDescent="0.25">
      <c r="A208" s="186"/>
      <c r="B208" s="199" t="s">
        <v>170</v>
      </c>
      <c r="C208" s="188"/>
      <c r="D208" s="188"/>
      <c r="E208" s="188"/>
      <c r="F208" s="188"/>
      <c r="G208" s="188"/>
      <c r="H208" s="188"/>
      <c r="I208" s="188"/>
      <c r="J208" s="137"/>
      <c r="K208" s="146"/>
      <c r="L208" s="137"/>
      <c r="M208" s="137"/>
      <c r="N208" s="137"/>
      <c r="O208" s="137"/>
      <c r="P208" s="137"/>
      <c r="Q208" s="165"/>
      <c r="R208" s="166"/>
      <c r="S208" s="166"/>
      <c r="T208" s="166"/>
      <c r="U208" s="167"/>
      <c r="V208" s="167"/>
      <c r="W208" s="167"/>
      <c r="X208" s="167"/>
      <c r="Y208" s="168"/>
      <c r="Z208" s="137"/>
      <c r="AA208" s="166"/>
      <c r="AB208" s="137"/>
      <c r="AC208" s="137"/>
      <c r="AD208" s="137"/>
      <c r="AE208" s="137"/>
      <c r="AF208" s="137"/>
      <c r="AG208" s="137"/>
      <c r="AH208" s="137"/>
      <c r="AI208" s="137"/>
      <c r="AJ208" s="169"/>
      <c r="AK208" s="137"/>
      <c r="AL208" s="137"/>
      <c r="AM208" s="137"/>
      <c r="AN208" s="137"/>
      <c r="AO208" s="137"/>
      <c r="AP208" s="137"/>
      <c r="AQ208" s="137"/>
      <c r="AR208" s="137"/>
      <c r="AS208" s="138"/>
      <c r="AT208" s="499"/>
      <c r="AU208" s="139"/>
      <c r="AV208" s="138"/>
      <c r="AW208" s="139"/>
      <c r="AX208" s="139"/>
      <c r="AY208" s="139"/>
      <c r="AZ208" s="139"/>
      <c r="BA208" s="139"/>
      <c r="BB208" s="139"/>
    </row>
    <row r="209" spans="1:54" ht="12.75" customHeight="1" x14ac:dyDescent="0.25">
      <c r="A209" s="200"/>
      <c r="B209" s="242" t="s">
        <v>157</v>
      </c>
      <c r="C209" s="202"/>
      <c r="D209" s="203"/>
      <c r="E209" s="203"/>
      <c r="F209" s="203"/>
      <c r="G209" s="203"/>
      <c r="H209" s="203"/>
      <c r="I209" s="203"/>
      <c r="J209" s="137"/>
      <c r="K209" s="146"/>
      <c r="L209" s="137"/>
      <c r="M209" s="137"/>
      <c r="N209" s="137"/>
      <c r="O209" s="137"/>
      <c r="P209" s="137"/>
      <c r="Q209" s="165"/>
      <c r="R209" s="166"/>
      <c r="S209" s="166"/>
      <c r="T209" s="166"/>
      <c r="U209" s="167"/>
      <c r="V209" s="167"/>
      <c r="W209" s="167"/>
      <c r="X209" s="167"/>
      <c r="Y209" s="168"/>
      <c r="Z209" s="137"/>
      <c r="AA209" s="166"/>
      <c r="AB209" s="137"/>
      <c r="AC209" s="137"/>
      <c r="AD209" s="137"/>
      <c r="AE209" s="137"/>
      <c r="AF209" s="137"/>
      <c r="AG209" s="137"/>
      <c r="AH209" s="137"/>
      <c r="AI209" s="137"/>
      <c r="AJ209" s="169"/>
      <c r="AK209" s="137"/>
      <c r="AL209" s="137"/>
      <c r="AM209" s="137"/>
      <c r="AN209" s="137"/>
      <c r="AO209" s="137"/>
      <c r="AP209" s="137"/>
      <c r="AQ209" s="137"/>
      <c r="AR209" s="137"/>
      <c r="AS209" s="138"/>
      <c r="AT209" s="499"/>
      <c r="AU209" s="139"/>
      <c r="AV209" s="138"/>
      <c r="AW209" s="139"/>
      <c r="AX209" s="139"/>
      <c r="AY209" s="139"/>
      <c r="AZ209" s="139"/>
      <c r="BA209" s="139"/>
      <c r="BB209" s="139"/>
    </row>
    <row r="210" spans="1:54" ht="12.75" customHeight="1" x14ac:dyDescent="0.25">
      <c r="A210" s="200"/>
      <c r="B210" s="161" t="s">
        <v>158</v>
      </c>
      <c r="C210" s="202">
        <v>7.5</v>
      </c>
      <c r="D210" s="203">
        <f>C210*$K$171</f>
        <v>8.25</v>
      </c>
      <c r="E210" s="203" t="s">
        <v>6</v>
      </c>
      <c r="F210" s="203">
        <f>'Material and Labor Cost'!$D$84</f>
        <v>300</v>
      </c>
      <c r="G210" s="203">
        <f>'Material and Labor Cost'!$F$84</f>
        <v>350</v>
      </c>
      <c r="H210" s="203">
        <f>SUM(F210,G210)</f>
        <v>650</v>
      </c>
      <c r="I210" s="203">
        <f>D210*H210</f>
        <v>5362.5</v>
      </c>
      <c r="J210" s="137"/>
      <c r="K210" s="146"/>
      <c r="L210" s="137"/>
      <c r="M210" s="137"/>
      <c r="N210" s="137"/>
      <c r="O210" s="137"/>
      <c r="P210" s="137"/>
      <c r="Q210" s="223">
        <f>SUM(AA210:AH210)</f>
        <v>0</v>
      </c>
      <c r="R210" s="224">
        <f>Y210*D210</f>
        <v>0</v>
      </c>
      <c r="S210" s="224">
        <f>SUM(Q210:R210)</f>
        <v>0</v>
      </c>
      <c r="T210" s="224">
        <f>D210-S210</f>
        <v>8.25</v>
      </c>
      <c r="U210" s="225">
        <f>SUM(AJ209:AQ209)</f>
        <v>0</v>
      </c>
      <c r="V210" s="225">
        <f>Y210*I210</f>
        <v>0</v>
      </c>
      <c r="W210" s="225">
        <f>SUM(U210:V210)</f>
        <v>0</v>
      </c>
      <c r="X210" s="225">
        <f>I210-W210</f>
        <v>5362.5</v>
      </c>
      <c r="Y210" s="168">
        <f>SUM(AS210)</f>
        <v>0</v>
      </c>
      <c r="Z210" s="137"/>
      <c r="AA210" s="224">
        <v>0</v>
      </c>
      <c r="AB210" s="137"/>
      <c r="AC210" s="137"/>
      <c r="AD210" s="137"/>
      <c r="AE210" s="137"/>
      <c r="AF210" s="137"/>
      <c r="AG210" s="137"/>
      <c r="AH210" s="137"/>
      <c r="AI210" s="137"/>
      <c r="AJ210" s="169">
        <v>0</v>
      </c>
      <c r="AK210" s="137"/>
      <c r="AL210" s="137"/>
      <c r="AM210" s="137"/>
      <c r="AN210" s="137"/>
      <c r="AO210" s="137"/>
      <c r="AP210" s="137"/>
      <c r="AQ210" s="137"/>
      <c r="AR210" s="137"/>
      <c r="AS210" s="138"/>
      <c r="AT210" s="499"/>
      <c r="AU210" s="139"/>
      <c r="AV210" s="138"/>
      <c r="AW210" s="139"/>
      <c r="AX210" s="139"/>
      <c r="AY210" s="139"/>
      <c r="AZ210" s="139"/>
      <c r="BA210" s="139"/>
      <c r="BB210" s="139"/>
    </row>
    <row r="211" spans="1:54" ht="12.75" customHeight="1" x14ac:dyDescent="0.25">
      <c r="A211" s="200"/>
      <c r="B211" s="204"/>
      <c r="C211" s="202"/>
      <c r="D211" s="203"/>
      <c r="E211" s="203"/>
      <c r="F211" s="203"/>
      <c r="G211" s="203"/>
      <c r="H211" s="203"/>
      <c r="I211" s="203"/>
      <c r="J211" s="137"/>
      <c r="K211" s="146"/>
      <c r="L211" s="137"/>
      <c r="M211" s="137"/>
      <c r="N211" s="137"/>
      <c r="O211" s="137"/>
      <c r="P211" s="137"/>
      <c r="Q211" s="165"/>
      <c r="R211" s="166"/>
      <c r="S211" s="166"/>
      <c r="T211" s="166"/>
      <c r="U211" s="167"/>
      <c r="V211" s="167"/>
      <c r="W211" s="167"/>
      <c r="X211" s="167"/>
      <c r="Y211" s="168"/>
      <c r="Z211" s="137"/>
      <c r="AA211" s="166"/>
      <c r="AB211" s="137"/>
      <c r="AC211" s="137"/>
      <c r="AD211" s="137"/>
      <c r="AE211" s="137"/>
      <c r="AF211" s="137"/>
      <c r="AG211" s="137"/>
      <c r="AH211" s="137"/>
      <c r="AI211" s="137"/>
      <c r="AJ211" s="169"/>
      <c r="AK211" s="137"/>
      <c r="AL211" s="137"/>
      <c r="AM211" s="137"/>
      <c r="AN211" s="137"/>
      <c r="AO211" s="137"/>
      <c r="AP211" s="137"/>
      <c r="AQ211" s="137"/>
      <c r="AR211" s="137"/>
      <c r="AS211" s="138"/>
      <c r="AT211" s="499"/>
      <c r="AU211" s="139"/>
      <c r="AV211" s="138"/>
      <c r="AW211" s="139"/>
      <c r="AX211" s="139"/>
      <c r="AY211" s="139"/>
      <c r="AZ211" s="139"/>
      <c r="BA211" s="139"/>
      <c r="BB211" s="139"/>
    </row>
    <row r="212" spans="1:54" ht="12.75" customHeight="1" x14ac:dyDescent="0.25">
      <c r="A212" s="200"/>
      <c r="B212" s="201" t="s">
        <v>171</v>
      </c>
      <c r="C212" s="202"/>
      <c r="D212" s="203"/>
      <c r="E212" s="203"/>
      <c r="F212" s="203"/>
      <c r="G212" s="203"/>
      <c r="H212" s="203"/>
      <c r="I212" s="203"/>
      <c r="J212" s="137"/>
      <c r="K212" s="146"/>
      <c r="L212" s="137"/>
      <c r="M212" s="137"/>
      <c r="N212" s="137"/>
      <c r="O212" s="137"/>
      <c r="P212" s="137"/>
      <c r="Q212" s="165"/>
      <c r="R212" s="166"/>
      <c r="S212" s="166"/>
      <c r="T212" s="166"/>
      <c r="U212" s="167"/>
      <c r="V212" s="167"/>
      <c r="W212" s="167"/>
      <c r="X212" s="167"/>
      <c r="Y212" s="168"/>
      <c r="Z212" s="137"/>
      <c r="AA212" s="166"/>
      <c r="AB212" s="137"/>
      <c r="AC212" s="137"/>
      <c r="AD212" s="137"/>
      <c r="AE212" s="137"/>
      <c r="AF212" s="137"/>
      <c r="AG212" s="137"/>
      <c r="AH212" s="137"/>
      <c r="AI212" s="137"/>
      <c r="AJ212" s="169"/>
      <c r="AK212" s="137"/>
      <c r="AL212" s="137"/>
      <c r="AM212" s="137"/>
      <c r="AN212" s="137"/>
      <c r="AO212" s="137"/>
      <c r="AP212" s="137"/>
      <c r="AQ212" s="137"/>
      <c r="AR212" s="137"/>
      <c r="AS212" s="138"/>
      <c r="AT212" s="499"/>
      <c r="AU212" s="139"/>
      <c r="AV212" s="138"/>
      <c r="AW212" s="139"/>
      <c r="AX212" s="139"/>
      <c r="AY212" s="139"/>
      <c r="AZ212" s="139"/>
      <c r="BA212" s="139"/>
      <c r="BB212" s="139"/>
    </row>
    <row r="213" spans="1:54" ht="12.75" customHeight="1" x14ac:dyDescent="0.25">
      <c r="A213" s="200"/>
      <c r="B213" s="204" t="s">
        <v>158</v>
      </c>
      <c r="C213" s="202">
        <v>12.4</v>
      </c>
      <c r="D213" s="203">
        <f>C213*$K$171</f>
        <v>13.640000000000002</v>
      </c>
      <c r="E213" s="203" t="s">
        <v>6</v>
      </c>
      <c r="F213" s="203">
        <f>'Material and Labor Cost'!$D$87</f>
        <v>300</v>
      </c>
      <c r="G213" s="203">
        <f>'Material and Labor Cost'!$F$87</f>
        <v>350</v>
      </c>
      <c r="H213" s="203">
        <f>SUM(F213,G213)</f>
        <v>650</v>
      </c>
      <c r="I213" s="203">
        <f>D213*H213</f>
        <v>8866.0000000000018</v>
      </c>
      <c r="J213" s="137"/>
      <c r="K213" s="146"/>
      <c r="L213" s="137"/>
      <c r="M213" s="137"/>
      <c r="N213" s="137"/>
      <c r="O213" s="137"/>
      <c r="P213" s="137"/>
      <c r="Q213" s="223">
        <f>SUM(AA213:AH213)</f>
        <v>0</v>
      </c>
      <c r="R213" s="224">
        <f>Y213*D213</f>
        <v>0</v>
      </c>
      <c r="S213" s="224">
        <f>SUM(Q213:R213)</f>
        <v>0</v>
      </c>
      <c r="T213" s="224">
        <f>D213-S213</f>
        <v>13.640000000000002</v>
      </c>
      <c r="U213" s="225">
        <f>SUM(AJ212:AQ212)</f>
        <v>0</v>
      </c>
      <c r="V213" s="225">
        <f>Y213*I213</f>
        <v>0</v>
      </c>
      <c r="W213" s="225">
        <f>SUM(U213:V213)</f>
        <v>0</v>
      </c>
      <c r="X213" s="225">
        <f>I213-W213</f>
        <v>8866.0000000000018</v>
      </c>
      <c r="Y213" s="168">
        <f>SUM(AS213)</f>
        <v>0</v>
      </c>
      <c r="Z213" s="137"/>
      <c r="AA213" s="224">
        <v>0</v>
      </c>
      <c r="AB213" s="137"/>
      <c r="AC213" s="137"/>
      <c r="AD213" s="137"/>
      <c r="AE213" s="137"/>
      <c r="AF213" s="137"/>
      <c r="AG213" s="137"/>
      <c r="AH213" s="137"/>
      <c r="AI213" s="137"/>
      <c r="AJ213" s="169">
        <v>0</v>
      </c>
      <c r="AK213" s="137"/>
      <c r="AL213" s="137"/>
      <c r="AM213" s="137"/>
      <c r="AN213" s="137"/>
      <c r="AO213" s="137"/>
      <c r="AP213" s="137"/>
      <c r="AQ213" s="137"/>
      <c r="AR213" s="137"/>
      <c r="AS213" s="138"/>
      <c r="AT213" s="499"/>
      <c r="AU213" s="139"/>
      <c r="AV213" s="138"/>
      <c r="AW213" s="139"/>
      <c r="AX213" s="139"/>
      <c r="AY213" s="139"/>
      <c r="AZ213" s="139"/>
      <c r="BA213" s="139"/>
      <c r="BB213" s="139"/>
    </row>
    <row r="214" spans="1:54" ht="12.75" customHeight="1" x14ac:dyDescent="0.25">
      <c r="A214" s="200"/>
      <c r="B214" s="204"/>
      <c r="C214" s="202"/>
      <c r="D214" s="203"/>
      <c r="E214" s="203"/>
      <c r="F214" s="203"/>
      <c r="G214" s="203"/>
      <c r="H214" s="203"/>
      <c r="I214" s="203"/>
      <c r="J214" s="137"/>
      <c r="K214" s="146"/>
      <c r="L214" s="137"/>
      <c r="M214" s="137"/>
      <c r="N214" s="137"/>
      <c r="O214" s="137"/>
      <c r="P214" s="137"/>
      <c r="Q214" s="165"/>
      <c r="R214" s="166"/>
      <c r="S214" s="166"/>
      <c r="T214" s="166"/>
      <c r="U214" s="167"/>
      <c r="V214" s="167"/>
      <c r="W214" s="167"/>
      <c r="X214" s="167"/>
      <c r="Y214" s="168"/>
      <c r="Z214" s="137"/>
      <c r="AA214" s="166"/>
      <c r="AB214" s="137"/>
      <c r="AC214" s="137"/>
      <c r="AD214" s="137"/>
      <c r="AE214" s="137"/>
      <c r="AF214" s="137"/>
      <c r="AG214" s="137"/>
      <c r="AH214" s="137"/>
      <c r="AI214" s="137"/>
      <c r="AJ214" s="169"/>
      <c r="AK214" s="137"/>
      <c r="AL214" s="137"/>
      <c r="AM214" s="137"/>
      <c r="AN214" s="137"/>
      <c r="AO214" s="137"/>
      <c r="AP214" s="137"/>
      <c r="AQ214" s="137"/>
      <c r="AR214" s="137"/>
      <c r="AS214" s="138"/>
      <c r="AT214" s="499"/>
      <c r="AU214" s="139"/>
      <c r="AV214" s="138"/>
      <c r="AW214" s="139"/>
      <c r="AX214" s="139"/>
      <c r="AY214" s="139"/>
      <c r="AZ214" s="139"/>
      <c r="BA214" s="139"/>
      <c r="BB214" s="139"/>
    </row>
    <row r="215" spans="1:54" ht="12.75" customHeight="1" x14ac:dyDescent="0.25">
      <c r="A215" s="200"/>
      <c r="B215" s="201" t="s">
        <v>172</v>
      </c>
      <c r="C215" s="202"/>
      <c r="D215" s="203"/>
      <c r="E215" s="203"/>
      <c r="F215" s="203"/>
      <c r="G215" s="203"/>
      <c r="H215" s="203"/>
      <c r="I215" s="203"/>
      <c r="J215" s="137"/>
      <c r="K215" s="146"/>
      <c r="L215" s="137"/>
      <c r="M215" s="137"/>
      <c r="N215" s="137"/>
      <c r="O215" s="137"/>
      <c r="P215" s="137"/>
      <c r="Q215" s="165"/>
      <c r="R215" s="166"/>
      <c r="S215" s="166"/>
      <c r="T215" s="166"/>
      <c r="U215" s="167"/>
      <c r="V215" s="167"/>
      <c r="W215" s="167"/>
      <c r="X215" s="167"/>
      <c r="Y215" s="168"/>
      <c r="Z215" s="137"/>
      <c r="AA215" s="166"/>
      <c r="AB215" s="137"/>
      <c r="AC215" s="137"/>
      <c r="AD215" s="137"/>
      <c r="AE215" s="137"/>
      <c r="AF215" s="137"/>
      <c r="AG215" s="137"/>
      <c r="AH215" s="137"/>
      <c r="AI215" s="137"/>
      <c r="AJ215" s="169"/>
      <c r="AK215" s="137"/>
      <c r="AL215" s="137"/>
      <c r="AM215" s="137"/>
      <c r="AN215" s="137"/>
      <c r="AO215" s="137"/>
      <c r="AP215" s="137"/>
      <c r="AQ215" s="137"/>
      <c r="AR215" s="137"/>
      <c r="AS215" s="138"/>
      <c r="AT215" s="499"/>
      <c r="AU215" s="139"/>
      <c r="AV215" s="138"/>
      <c r="AW215" s="139"/>
      <c r="AX215" s="139"/>
      <c r="AY215" s="139"/>
      <c r="AZ215" s="139"/>
      <c r="BA215" s="139"/>
      <c r="BB215" s="139"/>
    </row>
    <row r="216" spans="1:54" ht="12.75" customHeight="1" x14ac:dyDescent="0.25">
      <c r="A216" s="200"/>
      <c r="B216" s="204" t="s">
        <v>158</v>
      </c>
      <c r="C216" s="202">
        <v>17.5</v>
      </c>
      <c r="D216" s="203">
        <f>C216*$K$171</f>
        <v>19.25</v>
      </c>
      <c r="E216" s="203" t="s">
        <v>6</v>
      </c>
      <c r="F216" s="203">
        <f>'Material and Labor Cost'!$D$90</f>
        <v>300</v>
      </c>
      <c r="G216" s="203">
        <f>'Material and Labor Cost'!$F$90</f>
        <v>350</v>
      </c>
      <c r="H216" s="203">
        <f>SUM(F216,G216)</f>
        <v>650</v>
      </c>
      <c r="I216" s="203">
        <f>D216*H216</f>
        <v>12512.5</v>
      </c>
      <c r="J216" s="137"/>
      <c r="K216" s="146"/>
      <c r="L216" s="137"/>
      <c r="M216" s="137"/>
      <c r="N216" s="137"/>
      <c r="O216" s="137"/>
      <c r="P216" s="137"/>
      <c r="Q216" s="223">
        <f>SUM(AA216:AH216)</f>
        <v>0</v>
      </c>
      <c r="R216" s="224">
        <f>Y216*D216</f>
        <v>0</v>
      </c>
      <c r="S216" s="224">
        <f>SUM(Q216:R216)</f>
        <v>0</v>
      </c>
      <c r="T216" s="224">
        <f>D216-S216</f>
        <v>19.25</v>
      </c>
      <c r="U216" s="225">
        <f>SUM(AJ215:AQ215)</f>
        <v>0</v>
      </c>
      <c r="V216" s="225">
        <f>Y216*I216</f>
        <v>0</v>
      </c>
      <c r="W216" s="225">
        <f>SUM(U216:V216)</f>
        <v>0</v>
      </c>
      <c r="X216" s="225">
        <f>I216-W216</f>
        <v>12512.5</v>
      </c>
      <c r="Y216" s="168">
        <f>SUM(AS216)</f>
        <v>0</v>
      </c>
      <c r="Z216" s="137"/>
      <c r="AA216" s="224">
        <v>0</v>
      </c>
      <c r="AB216" s="137"/>
      <c r="AC216" s="137"/>
      <c r="AD216" s="137"/>
      <c r="AE216" s="137"/>
      <c r="AF216" s="137"/>
      <c r="AG216" s="137"/>
      <c r="AH216" s="137"/>
      <c r="AI216" s="137"/>
      <c r="AJ216" s="169">
        <v>0</v>
      </c>
      <c r="AK216" s="137"/>
      <c r="AL216" s="137"/>
      <c r="AM216" s="137"/>
      <c r="AN216" s="137"/>
      <c r="AO216" s="137"/>
      <c r="AP216" s="137"/>
      <c r="AQ216" s="137"/>
      <c r="AR216" s="137"/>
      <c r="AS216" s="138"/>
      <c r="AT216" s="499"/>
      <c r="AU216" s="139"/>
      <c r="AV216" s="138"/>
      <c r="AW216" s="139"/>
      <c r="AX216" s="139"/>
      <c r="AY216" s="139"/>
      <c r="AZ216" s="139"/>
      <c r="BA216" s="139"/>
      <c r="BB216" s="139"/>
    </row>
    <row r="217" spans="1:54" ht="12.75" customHeight="1" x14ac:dyDescent="0.25">
      <c r="A217" s="200"/>
      <c r="B217" s="204"/>
      <c r="C217" s="202"/>
      <c r="D217" s="203"/>
      <c r="E217" s="203"/>
      <c r="F217" s="203"/>
      <c r="G217" s="203"/>
      <c r="H217" s="203"/>
      <c r="I217" s="203"/>
      <c r="J217" s="137"/>
      <c r="K217" s="146"/>
      <c r="L217" s="137"/>
      <c r="M217" s="137"/>
      <c r="N217" s="137"/>
      <c r="O217" s="137"/>
      <c r="P217" s="137"/>
      <c r="Q217" s="165"/>
      <c r="R217" s="166"/>
      <c r="S217" s="166"/>
      <c r="T217" s="166"/>
      <c r="U217" s="167"/>
      <c r="V217" s="167"/>
      <c r="W217" s="167"/>
      <c r="X217" s="167"/>
      <c r="Y217" s="168"/>
      <c r="Z217" s="137"/>
      <c r="AA217" s="166"/>
      <c r="AB217" s="137"/>
      <c r="AC217" s="137"/>
      <c r="AD217" s="137"/>
      <c r="AE217" s="137"/>
      <c r="AF217" s="137"/>
      <c r="AG217" s="137"/>
      <c r="AH217" s="137"/>
      <c r="AI217" s="137"/>
      <c r="AJ217" s="169"/>
      <c r="AK217" s="137"/>
      <c r="AL217" s="137"/>
      <c r="AM217" s="137"/>
      <c r="AN217" s="137"/>
      <c r="AO217" s="137"/>
      <c r="AP217" s="137"/>
      <c r="AQ217" s="137"/>
      <c r="AR217" s="137"/>
      <c r="AS217" s="138"/>
      <c r="AT217" s="499"/>
      <c r="AU217" s="139"/>
      <c r="AV217" s="138"/>
      <c r="AW217" s="139"/>
      <c r="AX217" s="139"/>
      <c r="AY217" s="139"/>
      <c r="AZ217" s="139"/>
      <c r="BA217" s="139"/>
      <c r="BB217" s="139"/>
    </row>
    <row r="218" spans="1:54" ht="12.75" customHeight="1" x14ac:dyDescent="0.25">
      <c r="A218" s="200"/>
      <c r="B218" s="201" t="s">
        <v>173</v>
      </c>
      <c r="C218" s="202"/>
      <c r="D218" s="203"/>
      <c r="E218" s="203"/>
      <c r="F218" s="203"/>
      <c r="G218" s="203"/>
      <c r="H218" s="203"/>
      <c r="I218" s="203"/>
      <c r="J218" s="137"/>
      <c r="K218" s="146"/>
      <c r="L218" s="137"/>
      <c r="M218" s="137"/>
      <c r="N218" s="137"/>
      <c r="O218" s="137"/>
      <c r="P218" s="137"/>
      <c r="Q218" s="165"/>
      <c r="R218" s="166"/>
      <c r="S218" s="166"/>
      <c r="T218" s="166"/>
      <c r="U218" s="167"/>
      <c r="V218" s="167"/>
      <c r="W218" s="167"/>
      <c r="X218" s="167"/>
      <c r="Y218" s="168"/>
      <c r="Z218" s="137"/>
      <c r="AA218" s="166"/>
      <c r="AB218" s="137"/>
      <c r="AC218" s="137"/>
      <c r="AD218" s="137"/>
      <c r="AE218" s="137"/>
      <c r="AF218" s="137"/>
      <c r="AG218" s="137"/>
      <c r="AH218" s="137"/>
      <c r="AI218" s="137"/>
      <c r="AJ218" s="169"/>
      <c r="AK218" s="137"/>
      <c r="AL218" s="137"/>
      <c r="AM218" s="137"/>
      <c r="AN218" s="137"/>
      <c r="AO218" s="137"/>
      <c r="AP218" s="137"/>
      <c r="AQ218" s="137"/>
      <c r="AR218" s="137"/>
      <c r="AS218" s="138"/>
      <c r="AT218" s="499"/>
      <c r="AU218" s="139"/>
      <c r="AV218" s="138"/>
      <c r="AW218" s="139"/>
      <c r="AX218" s="139"/>
      <c r="AY218" s="139"/>
      <c r="AZ218" s="139"/>
      <c r="BA218" s="139"/>
      <c r="BB218" s="139"/>
    </row>
    <row r="219" spans="1:54" ht="12.75" customHeight="1" x14ac:dyDescent="0.25">
      <c r="A219" s="200"/>
      <c r="B219" s="204" t="s">
        <v>174</v>
      </c>
      <c r="C219" s="202">
        <v>9.4</v>
      </c>
      <c r="D219" s="203">
        <f>C219*$K$171</f>
        <v>10.340000000000002</v>
      </c>
      <c r="E219" s="203" t="s">
        <v>6</v>
      </c>
      <c r="F219" s="203">
        <f>'Material and Labor Cost'!$D$93</f>
        <v>950.00000000000011</v>
      </c>
      <c r="G219" s="203">
        <f>'Material and Labor Cost'!$F$93</f>
        <v>350</v>
      </c>
      <c r="H219" s="203">
        <f>SUM(F219,G219)</f>
        <v>1300</v>
      </c>
      <c r="I219" s="203">
        <f>D219*H219</f>
        <v>13442.000000000002</v>
      </c>
      <c r="J219" s="137"/>
      <c r="K219" s="146"/>
      <c r="L219" s="137"/>
      <c r="M219" s="137"/>
      <c r="N219" s="137"/>
      <c r="O219" s="137"/>
      <c r="P219" s="137"/>
      <c r="Q219" s="223">
        <f>SUM(AA219:AH219)</f>
        <v>0</v>
      </c>
      <c r="R219" s="224">
        <f>Y219*D219</f>
        <v>0</v>
      </c>
      <c r="S219" s="224">
        <f>SUM(Q219:R219)</f>
        <v>0</v>
      </c>
      <c r="T219" s="224">
        <f>D219-S219</f>
        <v>10.340000000000002</v>
      </c>
      <c r="U219" s="225">
        <f>SUM(AJ218:AQ218)</f>
        <v>0</v>
      </c>
      <c r="V219" s="225">
        <f>Y219*I219</f>
        <v>0</v>
      </c>
      <c r="W219" s="225">
        <f>SUM(U219:V219)</f>
        <v>0</v>
      </c>
      <c r="X219" s="225">
        <f>I219-W219</f>
        <v>13442.000000000002</v>
      </c>
      <c r="Y219" s="168">
        <f>SUM(AS219)</f>
        <v>0</v>
      </c>
      <c r="Z219" s="137"/>
      <c r="AA219" s="224">
        <v>0</v>
      </c>
      <c r="AB219" s="137"/>
      <c r="AC219" s="137"/>
      <c r="AD219" s="137"/>
      <c r="AE219" s="137"/>
      <c r="AF219" s="137"/>
      <c r="AG219" s="137"/>
      <c r="AH219" s="137"/>
      <c r="AI219" s="137"/>
      <c r="AJ219" s="169">
        <v>0</v>
      </c>
      <c r="AK219" s="137"/>
      <c r="AL219" s="137"/>
      <c r="AM219" s="137"/>
      <c r="AN219" s="137"/>
      <c r="AO219" s="137"/>
      <c r="AP219" s="137"/>
      <c r="AQ219" s="137"/>
      <c r="AR219" s="137"/>
      <c r="AS219" s="138"/>
      <c r="AT219" s="499"/>
      <c r="AU219" s="139"/>
      <c r="AV219" s="138"/>
      <c r="AW219" s="139"/>
      <c r="AX219" s="139"/>
      <c r="AY219" s="139"/>
      <c r="AZ219" s="139"/>
      <c r="BA219" s="139"/>
      <c r="BB219" s="139"/>
    </row>
    <row r="220" spans="1:54" ht="12.75" customHeight="1" x14ac:dyDescent="0.25">
      <c r="A220" s="200"/>
      <c r="B220" s="204"/>
      <c r="C220" s="202"/>
      <c r="D220" s="203"/>
      <c r="E220" s="203"/>
      <c r="F220" s="203"/>
      <c r="G220" s="203"/>
      <c r="H220" s="203"/>
      <c r="I220" s="203"/>
      <c r="J220" s="137"/>
      <c r="K220" s="146"/>
      <c r="L220" s="137"/>
      <c r="M220" s="137"/>
      <c r="N220" s="137"/>
      <c r="O220" s="137"/>
      <c r="P220" s="137"/>
      <c r="Q220" s="165"/>
      <c r="R220" s="166"/>
      <c r="S220" s="166"/>
      <c r="T220" s="166"/>
      <c r="U220" s="167"/>
      <c r="V220" s="167"/>
      <c r="W220" s="167"/>
      <c r="X220" s="167"/>
      <c r="Y220" s="168"/>
      <c r="Z220" s="137"/>
      <c r="AA220" s="166"/>
      <c r="AB220" s="137"/>
      <c r="AC220" s="137"/>
      <c r="AD220" s="137"/>
      <c r="AE220" s="137"/>
      <c r="AF220" s="137"/>
      <c r="AG220" s="137"/>
      <c r="AH220" s="137"/>
      <c r="AI220" s="137"/>
      <c r="AJ220" s="169"/>
      <c r="AK220" s="137"/>
      <c r="AL220" s="137"/>
      <c r="AM220" s="137"/>
      <c r="AN220" s="137"/>
      <c r="AO220" s="137"/>
      <c r="AP220" s="137"/>
      <c r="AQ220" s="137"/>
      <c r="AR220" s="137"/>
      <c r="AS220" s="138"/>
      <c r="AT220" s="499"/>
      <c r="AU220" s="139"/>
      <c r="AV220" s="138"/>
      <c r="AW220" s="139"/>
      <c r="AX220" s="139"/>
      <c r="AY220" s="139"/>
      <c r="AZ220" s="139"/>
      <c r="BA220" s="139"/>
      <c r="BB220" s="139"/>
    </row>
    <row r="221" spans="1:54" ht="12.75" customHeight="1" x14ac:dyDescent="0.25">
      <c r="A221" s="200"/>
      <c r="B221" s="201" t="s">
        <v>175</v>
      </c>
      <c r="C221" s="202"/>
      <c r="D221" s="203"/>
      <c r="E221" s="203"/>
      <c r="F221" s="203"/>
      <c r="G221" s="203"/>
      <c r="H221" s="203"/>
      <c r="I221" s="203"/>
      <c r="J221" s="137"/>
      <c r="K221" s="146"/>
      <c r="L221" s="137"/>
      <c r="M221" s="137"/>
      <c r="N221" s="137"/>
      <c r="O221" s="137"/>
      <c r="P221" s="137"/>
      <c r="Q221" s="165"/>
      <c r="R221" s="166"/>
      <c r="S221" s="166"/>
      <c r="T221" s="166"/>
      <c r="U221" s="167"/>
      <c r="V221" s="167"/>
      <c r="W221" s="167"/>
      <c r="X221" s="167"/>
      <c r="Y221" s="168"/>
      <c r="Z221" s="137"/>
      <c r="AA221" s="166"/>
      <c r="AB221" s="137"/>
      <c r="AC221" s="137"/>
      <c r="AD221" s="137"/>
      <c r="AE221" s="137"/>
      <c r="AF221" s="137"/>
      <c r="AG221" s="137"/>
      <c r="AH221" s="137"/>
      <c r="AI221" s="137"/>
      <c r="AJ221" s="169"/>
      <c r="AK221" s="137"/>
      <c r="AL221" s="137"/>
      <c r="AM221" s="137"/>
      <c r="AN221" s="137"/>
      <c r="AO221" s="137"/>
      <c r="AP221" s="137"/>
      <c r="AQ221" s="137"/>
      <c r="AR221" s="137"/>
      <c r="AS221" s="138"/>
      <c r="AT221" s="499"/>
      <c r="AU221" s="139"/>
      <c r="AV221" s="138"/>
      <c r="AW221" s="139"/>
      <c r="AX221" s="139"/>
      <c r="AY221" s="139"/>
      <c r="AZ221" s="139"/>
      <c r="BA221" s="139"/>
      <c r="BB221" s="139"/>
    </row>
    <row r="222" spans="1:54" ht="12.75" customHeight="1" x14ac:dyDescent="0.25">
      <c r="A222" s="200"/>
      <c r="B222" s="204" t="s">
        <v>176</v>
      </c>
      <c r="C222" s="202">
        <v>5.5</v>
      </c>
      <c r="D222" s="203">
        <f>C222*$K$171</f>
        <v>6.0500000000000007</v>
      </c>
      <c r="E222" s="203" t="s">
        <v>6</v>
      </c>
      <c r="F222" s="203">
        <f>'Material and Labor Cost'!$D$96</f>
        <v>880.00000000000011</v>
      </c>
      <c r="G222" s="203">
        <f>'Material and Labor Cost'!$F$96</f>
        <v>350</v>
      </c>
      <c r="H222" s="203">
        <f>SUM(F222,G222)</f>
        <v>1230</v>
      </c>
      <c r="I222" s="203">
        <f>D222*H222</f>
        <v>7441.5000000000009</v>
      </c>
      <c r="J222" s="137"/>
      <c r="K222" s="146"/>
      <c r="L222" s="137"/>
      <c r="M222" s="137"/>
      <c r="N222" s="137"/>
      <c r="O222" s="137"/>
      <c r="P222" s="137"/>
      <c r="Q222" s="223">
        <f>SUM(AA222:AH222)</f>
        <v>0</v>
      </c>
      <c r="R222" s="224">
        <f>Y222*D222</f>
        <v>0</v>
      </c>
      <c r="S222" s="224">
        <f>SUM(Q222:R222)</f>
        <v>0</v>
      </c>
      <c r="T222" s="224">
        <f>D222-S222</f>
        <v>6.0500000000000007</v>
      </c>
      <c r="U222" s="225">
        <f>SUM(AJ221:AQ221)</f>
        <v>0</v>
      </c>
      <c r="V222" s="225">
        <f>Y222*I222</f>
        <v>0</v>
      </c>
      <c r="W222" s="225">
        <f>SUM(U222:V222)</f>
        <v>0</v>
      </c>
      <c r="X222" s="225">
        <f>I222-W222</f>
        <v>7441.5000000000009</v>
      </c>
      <c r="Y222" s="168">
        <f>SUM(AS222)</f>
        <v>0</v>
      </c>
      <c r="Z222" s="137"/>
      <c r="AA222" s="224">
        <v>0</v>
      </c>
      <c r="AB222" s="137"/>
      <c r="AC222" s="137"/>
      <c r="AD222" s="137"/>
      <c r="AE222" s="137"/>
      <c r="AF222" s="137"/>
      <c r="AG222" s="137"/>
      <c r="AH222" s="137"/>
      <c r="AI222" s="137"/>
      <c r="AJ222" s="169">
        <v>0</v>
      </c>
      <c r="AK222" s="137"/>
      <c r="AL222" s="137"/>
      <c r="AM222" s="137"/>
      <c r="AN222" s="137"/>
      <c r="AO222" s="137"/>
      <c r="AP222" s="137"/>
      <c r="AQ222" s="137"/>
      <c r="AR222" s="137"/>
      <c r="AS222" s="138"/>
      <c r="AT222" s="499"/>
      <c r="AU222" s="139"/>
      <c r="AV222" s="138"/>
      <c r="AW222" s="139"/>
      <c r="AX222" s="139"/>
      <c r="AY222" s="139"/>
      <c r="AZ222" s="139"/>
      <c r="BA222" s="139"/>
      <c r="BB222" s="139"/>
    </row>
    <row r="223" spans="1:54" ht="12.75" customHeight="1" x14ac:dyDescent="0.25">
      <c r="A223" s="200"/>
      <c r="B223" s="204"/>
      <c r="C223" s="202"/>
      <c r="D223" s="203"/>
      <c r="E223" s="203"/>
      <c r="F223" s="203"/>
      <c r="G223" s="203"/>
      <c r="H223" s="203"/>
      <c r="I223" s="203"/>
      <c r="J223" s="137"/>
      <c r="K223" s="146"/>
      <c r="L223" s="137"/>
      <c r="M223" s="137"/>
      <c r="N223" s="137"/>
      <c r="O223" s="137"/>
      <c r="P223" s="137"/>
      <c r="Q223" s="165"/>
      <c r="R223" s="166"/>
      <c r="S223" s="166"/>
      <c r="T223" s="166"/>
      <c r="U223" s="167"/>
      <c r="V223" s="167"/>
      <c r="W223" s="167"/>
      <c r="X223" s="167"/>
      <c r="Y223" s="168"/>
      <c r="Z223" s="137"/>
      <c r="AA223" s="166"/>
      <c r="AB223" s="137"/>
      <c r="AC223" s="137"/>
      <c r="AD223" s="137"/>
      <c r="AE223" s="137"/>
      <c r="AF223" s="137"/>
      <c r="AG223" s="137"/>
      <c r="AH223" s="137"/>
      <c r="AI223" s="137"/>
      <c r="AJ223" s="169"/>
      <c r="AK223" s="137"/>
      <c r="AL223" s="137"/>
      <c r="AM223" s="137"/>
      <c r="AN223" s="137"/>
      <c r="AO223" s="137"/>
      <c r="AP223" s="137"/>
      <c r="AQ223" s="137"/>
      <c r="AR223" s="137"/>
      <c r="AS223" s="138"/>
      <c r="AT223" s="499"/>
      <c r="AU223" s="139"/>
      <c r="AV223" s="138"/>
      <c r="AW223" s="139"/>
      <c r="AX223" s="139"/>
      <c r="AY223" s="139"/>
      <c r="AZ223" s="139"/>
      <c r="BA223" s="139"/>
      <c r="BB223" s="139"/>
    </row>
    <row r="224" spans="1:54" ht="12.75" customHeight="1" x14ac:dyDescent="0.25">
      <c r="A224" s="200"/>
      <c r="B224" s="201" t="s">
        <v>177</v>
      </c>
      <c r="C224" s="202"/>
      <c r="D224" s="203"/>
      <c r="E224" s="203"/>
      <c r="F224" s="203"/>
      <c r="G224" s="203"/>
      <c r="H224" s="203"/>
      <c r="I224" s="203"/>
      <c r="J224" s="137"/>
      <c r="K224" s="146"/>
      <c r="L224" s="137"/>
      <c r="M224" s="137"/>
      <c r="N224" s="137"/>
      <c r="O224" s="137"/>
      <c r="P224" s="137"/>
      <c r="Q224" s="165"/>
      <c r="R224" s="166"/>
      <c r="S224" s="166"/>
      <c r="T224" s="166"/>
      <c r="U224" s="167"/>
      <c r="V224" s="167"/>
      <c r="W224" s="167"/>
      <c r="X224" s="167"/>
      <c r="Y224" s="168"/>
      <c r="Z224" s="137"/>
      <c r="AA224" s="166"/>
      <c r="AB224" s="137"/>
      <c r="AC224" s="137"/>
      <c r="AD224" s="137"/>
      <c r="AE224" s="137"/>
      <c r="AF224" s="137"/>
      <c r="AG224" s="137"/>
      <c r="AH224" s="137"/>
      <c r="AI224" s="137"/>
      <c r="AJ224" s="169"/>
      <c r="AK224" s="137"/>
      <c r="AL224" s="137"/>
      <c r="AM224" s="137"/>
      <c r="AN224" s="137"/>
      <c r="AO224" s="137"/>
      <c r="AP224" s="137"/>
      <c r="AQ224" s="137"/>
      <c r="AR224" s="137"/>
      <c r="AS224" s="138"/>
      <c r="AT224" s="499"/>
      <c r="AU224" s="139"/>
      <c r="AV224" s="138"/>
      <c r="AW224" s="139"/>
      <c r="AX224" s="139"/>
      <c r="AY224" s="139"/>
      <c r="AZ224" s="139"/>
      <c r="BA224" s="139"/>
      <c r="BB224" s="139"/>
    </row>
    <row r="225" spans="1:54" ht="12.75" customHeight="1" x14ac:dyDescent="0.25">
      <c r="A225" s="200"/>
      <c r="B225" s="204" t="s">
        <v>168</v>
      </c>
      <c r="C225" s="202">
        <v>23.6</v>
      </c>
      <c r="D225" s="203">
        <f>C225*$K$171</f>
        <v>25.960000000000004</v>
      </c>
      <c r="E225" s="203" t="s">
        <v>6</v>
      </c>
      <c r="F225" s="203">
        <f>'Material and Labor Cost'!$D$99</f>
        <v>830.00000000000011</v>
      </c>
      <c r="G225" s="203">
        <f>'Material and Labor Cost'!$F$99</f>
        <v>350</v>
      </c>
      <c r="H225" s="203">
        <f>SUM(F225,G225)</f>
        <v>1180</v>
      </c>
      <c r="I225" s="203">
        <f>D225*H225</f>
        <v>30632.800000000007</v>
      </c>
      <c r="J225" s="137"/>
      <c r="K225" s="146"/>
      <c r="L225" s="137"/>
      <c r="M225" s="137"/>
      <c r="N225" s="137"/>
      <c r="O225" s="137"/>
      <c r="P225" s="137"/>
      <c r="Q225" s="223">
        <f>SUM(AA225:AH225)</f>
        <v>0</v>
      </c>
      <c r="R225" s="224">
        <f>Y225*D225</f>
        <v>0</v>
      </c>
      <c r="S225" s="224">
        <f>SUM(Q225:R225)</f>
        <v>0</v>
      </c>
      <c r="T225" s="224">
        <f>D225-S225</f>
        <v>25.960000000000004</v>
      </c>
      <c r="U225" s="225">
        <f>SUM(AJ224:AQ224)</f>
        <v>0</v>
      </c>
      <c r="V225" s="225">
        <f>Y225*I225</f>
        <v>0</v>
      </c>
      <c r="W225" s="225">
        <f>SUM(U225:V225)</f>
        <v>0</v>
      </c>
      <c r="X225" s="225">
        <f>I225-W225</f>
        <v>30632.800000000007</v>
      </c>
      <c r="Y225" s="168">
        <f>SUM(AS225)</f>
        <v>0</v>
      </c>
      <c r="Z225" s="137"/>
      <c r="AA225" s="224">
        <v>0</v>
      </c>
      <c r="AB225" s="137"/>
      <c r="AC225" s="137"/>
      <c r="AD225" s="137"/>
      <c r="AE225" s="137"/>
      <c r="AF225" s="137"/>
      <c r="AG225" s="137"/>
      <c r="AH225" s="137"/>
      <c r="AI225" s="137"/>
      <c r="AJ225" s="169">
        <v>0</v>
      </c>
      <c r="AK225" s="137"/>
      <c r="AL225" s="137"/>
      <c r="AM225" s="137"/>
      <c r="AN225" s="137"/>
      <c r="AO225" s="137"/>
      <c r="AP225" s="137"/>
      <c r="AQ225" s="137"/>
      <c r="AR225" s="137"/>
      <c r="AS225" s="138"/>
      <c r="AT225" s="499"/>
      <c r="AU225" s="139"/>
      <c r="AV225" s="138"/>
      <c r="AW225" s="139"/>
      <c r="AX225" s="139"/>
      <c r="AY225" s="139"/>
      <c r="AZ225" s="139"/>
      <c r="BA225" s="139"/>
      <c r="BB225" s="139"/>
    </row>
    <row r="226" spans="1:54" ht="12.75" customHeight="1" x14ac:dyDescent="0.25">
      <c r="A226" s="200"/>
      <c r="B226" s="204"/>
      <c r="C226" s="202"/>
      <c r="D226" s="203"/>
      <c r="E226" s="203"/>
      <c r="F226" s="203"/>
      <c r="G226" s="203"/>
      <c r="H226" s="203"/>
      <c r="I226" s="203"/>
      <c r="J226" s="137"/>
      <c r="K226" s="146"/>
      <c r="L226" s="137"/>
      <c r="M226" s="137"/>
      <c r="N226" s="137"/>
      <c r="O226" s="137"/>
      <c r="P226" s="137"/>
      <c r="Q226" s="165"/>
      <c r="R226" s="166"/>
      <c r="S226" s="166"/>
      <c r="T226" s="166"/>
      <c r="U226" s="167"/>
      <c r="V226" s="167"/>
      <c r="W226" s="167"/>
      <c r="X226" s="167"/>
      <c r="Y226" s="168"/>
      <c r="Z226" s="137"/>
      <c r="AA226" s="166"/>
      <c r="AB226" s="137"/>
      <c r="AC226" s="137"/>
      <c r="AD226" s="137"/>
      <c r="AE226" s="137"/>
      <c r="AF226" s="137"/>
      <c r="AG226" s="137"/>
      <c r="AH226" s="137"/>
      <c r="AI226" s="137"/>
      <c r="AJ226" s="169"/>
      <c r="AK226" s="137"/>
      <c r="AL226" s="137"/>
      <c r="AM226" s="137"/>
      <c r="AN226" s="137"/>
      <c r="AO226" s="137"/>
      <c r="AP226" s="137"/>
      <c r="AQ226" s="137"/>
      <c r="AR226" s="137"/>
      <c r="AS226" s="138"/>
      <c r="AT226" s="499"/>
      <c r="AU226" s="139"/>
      <c r="AV226" s="138"/>
      <c r="AW226" s="139"/>
      <c r="AX226" s="139"/>
      <c r="AY226" s="139"/>
      <c r="AZ226" s="139"/>
      <c r="BA226" s="139"/>
      <c r="BB226" s="139"/>
    </row>
    <row r="227" spans="1:54" ht="12.75" customHeight="1" x14ac:dyDescent="0.25">
      <c r="A227" s="200"/>
      <c r="B227" s="201" t="s">
        <v>167</v>
      </c>
      <c r="C227" s="202"/>
      <c r="D227" s="203"/>
      <c r="E227" s="203"/>
      <c r="F227" s="203"/>
      <c r="G227" s="203"/>
      <c r="H227" s="203"/>
      <c r="I227" s="203"/>
      <c r="J227" s="137"/>
      <c r="K227" s="146"/>
      <c r="L227" s="137"/>
      <c r="M227" s="137"/>
      <c r="N227" s="137"/>
      <c r="O227" s="137"/>
      <c r="P227" s="137"/>
      <c r="Q227" s="165"/>
      <c r="R227" s="166"/>
      <c r="S227" s="166"/>
      <c r="T227" s="166"/>
      <c r="U227" s="167"/>
      <c r="V227" s="167"/>
      <c r="W227" s="167"/>
      <c r="X227" s="167"/>
      <c r="Y227" s="168"/>
      <c r="Z227" s="137"/>
      <c r="AA227" s="166"/>
      <c r="AB227" s="137"/>
      <c r="AC227" s="137"/>
      <c r="AD227" s="137"/>
      <c r="AE227" s="137"/>
      <c r="AF227" s="137"/>
      <c r="AG227" s="137"/>
      <c r="AH227" s="137"/>
      <c r="AI227" s="137"/>
      <c r="AJ227" s="169"/>
      <c r="AK227" s="137"/>
      <c r="AL227" s="137"/>
      <c r="AM227" s="137"/>
      <c r="AN227" s="137"/>
      <c r="AO227" s="137"/>
      <c r="AP227" s="137"/>
      <c r="AQ227" s="137"/>
      <c r="AR227" s="137"/>
      <c r="AS227" s="138"/>
      <c r="AT227" s="499"/>
      <c r="AU227" s="139"/>
      <c r="AV227" s="138"/>
      <c r="AW227" s="139"/>
      <c r="AX227" s="139"/>
      <c r="AY227" s="139"/>
      <c r="AZ227" s="139"/>
      <c r="BA227" s="139"/>
      <c r="BB227" s="139"/>
    </row>
    <row r="228" spans="1:54" ht="12.75" customHeight="1" x14ac:dyDescent="0.25">
      <c r="A228" s="200"/>
      <c r="B228" s="204" t="s">
        <v>168</v>
      </c>
      <c r="C228" s="202">
        <v>29.5</v>
      </c>
      <c r="D228" s="203">
        <f>C228*$K$171</f>
        <v>32.450000000000003</v>
      </c>
      <c r="E228" s="203" t="s">
        <v>6</v>
      </c>
      <c r="F228" s="203">
        <f>'Material and Labor Cost'!$D$102</f>
        <v>830.00000000000011</v>
      </c>
      <c r="G228" s="203">
        <f>'Material and Labor Cost'!$F$102</f>
        <v>350</v>
      </c>
      <c r="H228" s="203">
        <f>SUM(F228,G228)</f>
        <v>1180</v>
      </c>
      <c r="I228" s="203">
        <f>D228*H228</f>
        <v>38291</v>
      </c>
      <c r="J228" s="137"/>
      <c r="K228" s="146"/>
      <c r="L228" s="137"/>
      <c r="M228" s="137"/>
      <c r="N228" s="137"/>
      <c r="O228" s="137"/>
      <c r="P228" s="137"/>
      <c r="Q228" s="223">
        <f>SUM(AA228:AH228)</f>
        <v>0</v>
      </c>
      <c r="R228" s="224">
        <f>Y228*D228</f>
        <v>0</v>
      </c>
      <c r="S228" s="224">
        <f>SUM(Q228:R228)</f>
        <v>0</v>
      </c>
      <c r="T228" s="224">
        <f>D228-S228</f>
        <v>32.450000000000003</v>
      </c>
      <c r="U228" s="225">
        <f>SUM(AJ227:AQ227)</f>
        <v>0</v>
      </c>
      <c r="V228" s="225">
        <f>Y228*I228</f>
        <v>0</v>
      </c>
      <c r="W228" s="225">
        <f>SUM(U228:V228)</f>
        <v>0</v>
      </c>
      <c r="X228" s="225">
        <f>I228-W228</f>
        <v>38291</v>
      </c>
      <c r="Y228" s="168">
        <f>SUM(AS228)</f>
        <v>0</v>
      </c>
      <c r="Z228" s="137"/>
      <c r="AA228" s="224">
        <v>0</v>
      </c>
      <c r="AB228" s="137"/>
      <c r="AC228" s="137"/>
      <c r="AD228" s="137"/>
      <c r="AE228" s="137"/>
      <c r="AF228" s="137"/>
      <c r="AG228" s="137"/>
      <c r="AH228" s="137"/>
      <c r="AI228" s="137"/>
      <c r="AJ228" s="169">
        <v>0</v>
      </c>
      <c r="AK228" s="137"/>
      <c r="AL228" s="137"/>
      <c r="AM228" s="137"/>
      <c r="AN228" s="137"/>
      <c r="AO228" s="137"/>
      <c r="AP228" s="137"/>
      <c r="AQ228" s="137"/>
      <c r="AR228" s="137"/>
      <c r="AS228" s="138"/>
      <c r="AT228" s="499"/>
      <c r="AU228" s="139"/>
      <c r="AV228" s="138"/>
      <c r="AW228" s="139"/>
      <c r="AX228" s="139"/>
      <c r="AY228" s="139"/>
      <c r="AZ228" s="139"/>
      <c r="BA228" s="139"/>
      <c r="BB228" s="139"/>
    </row>
    <row r="229" spans="1:54" ht="12.75" customHeight="1" x14ac:dyDescent="0.25">
      <c r="A229" s="200"/>
      <c r="B229" s="204"/>
      <c r="C229" s="202"/>
      <c r="D229" s="203"/>
      <c r="E229" s="203"/>
      <c r="F229" s="203"/>
      <c r="G229" s="203"/>
      <c r="H229" s="203"/>
      <c r="I229" s="203"/>
      <c r="J229" s="137"/>
      <c r="K229" s="146"/>
      <c r="L229" s="137"/>
      <c r="M229" s="137"/>
      <c r="N229" s="137"/>
      <c r="O229" s="137"/>
      <c r="P229" s="137"/>
      <c r="Q229" s="165"/>
      <c r="R229" s="166"/>
      <c r="S229" s="166"/>
      <c r="T229" s="166"/>
      <c r="U229" s="167"/>
      <c r="V229" s="167"/>
      <c r="W229" s="167"/>
      <c r="X229" s="167"/>
      <c r="Y229" s="168"/>
      <c r="Z229" s="137"/>
      <c r="AA229" s="166"/>
      <c r="AB229" s="137"/>
      <c r="AC229" s="137"/>
      <c r="AD229" s="137"/>
      <c r="AE229" s="137"/>
      <c r="AF229" s="137"/>
      <c r="AG229" s="137"/>
      <c r="AH229" s="137"/>
      <c r="AI229" s="137"/>
      <c r="AJ229" s="169"/>
      <c r="AK229" s="137"/>
      <c r="AL229" s="137"/>
      <c r="AM229" s="137"/>
      <c r="AN229" s="137"/>
      <c r="AO229" s="137"/>
      <c r="AP229" s="137"/>
      <c r="AQ229" s="137"/>
      <c r="AR229" s="137"/>
      <c r="AS229" s="138"/>
      <c r="AT229" s="499"/>
      <c r="AU229" s="139"/>
      <c r="AV229" s="138"/>
      <c r="AW229" s="139"/>
      <c r="AX229" s="139"/>
      <c r="AY229" s="139"/>
      <c r="AZ229" s="139"/>
      <c r="BA229" s="139"/>
      <c r="BB229" s="139"/>
    </row>
    <row r="230" spans="1:54" ht="12.75" customHeight="1" x14ac:dyDescent="0.25">
      <c r="A230" s="200"/>
      <c r="B230" s="204" t="s">
        <v>129</v>
      </c>
      <c r="C230" s="202"/>
      <c r="D230" s="203">
        <v>1</v>
      </c>
      <c r="E230" s="203" t="s">
        <v>94</v>
      </c>
      <c r="F230" s="203"/>
      <c r="G230" s="203"/>
      <c r="H230" s="203"/>
      <c r="I230" s="203">
        <f>SUM(I210:I228)*$K$176</f>
        <v>23309.660000000003</v>
      </c>
      <c r="J230" s="137"/>
      <c r="K230" s="146"/>
      <c r="L230" s="137"/>
      <c r="M230" s="137"/>
      <c r="N230" s="137"/>
      <c r="O230" s="137"/>
      <c r="P230" s="137"/>
      <c r="Q230" s="223">
        <f>SUM(AA230:AH230)</f>
        <v>0.25</v>
      </c>
      <c r="R230" s="224">
        <f>Y230*D230</f>
        <v>0.2</v>
      </c>
      <c r="S230" s="224">
        <f>SUM(Q230:R230)</f>
        <v>0.45</v>
      </c>
      <c r="T230" s="224">
        <f>D230-S230</f>
        <v>0.55000000000000004</v>
      </c>
      <c r="U230" s="225">
        <f>SUM(AJ229:AQ229)</f>
        <v>0</v>
      </c>
      <c r="V230" s="225">
        <f>Y230*I230</f>
        <v>4661.9320000000007</v>
      </c>
      <c r="W230" s="225">
        <f>SUM(U230:V230)</f>
        <v>4661.9320000000007</v>
      </c>
      <c r="X230" s="225">
        <f>I230-W230</f>
        <v>18647.728000000003</v>
      </c>
      <c r="Y230" s="168">
        <f>SUM(AS230)</f>
        <v>0.2</v>
      </c>
      <c r="Z230" s="137"/>
      <c r="AA230" s="224">
        <v>0.25</v>
      </c>
      <c r="AB230" s="137"/>
      <c r="AC230" s="137"/>
      <c r="AD230" s="137"/>
      <c r="AE230" s="137"/>
      <c r="AF230" s="137"/>
      <c r="AG230" s="137"/>
      <c r="AH230" s="137"/>
      <c r="AI230" s="137"/>
      <c r="AJ230" s="169">
        <v>5827.4150000000009</v>
      </c>
      <c r="AK230" s="137"/>
      <c r="AL230" s="137"/>
      <c r="AM230" s="137"/>
      <c r="AN230" s="137"/>
      <c r="AO230" s="137"/>
      <c r="AP230" s="137"/>
      <c r="AQ230" s="137"/>
      <c r="AR230" s="137"/>
      <c r="AS230" s="138">
        <v>0.2</v>
      </c>
      <c r="AT230" s="499"/>
      <c r="AU230" s="139">
        <v>0.25</v>
      </c>
      <c r="AV230" s="138">
        <v>0.25</v>
      </c>
      <c r="AW230" s="139"/>
      <c r="AX230" s="139"/>
      <c r="AY230" s="139"/>
      <c r="AZ230" s="139"/>
      <c r="BA230" s="139"/>
      <c r="BB230" s="139"/>
    </row>
    <row r="231" spans="1:54" ht="12.75" customHeight="1" x14ac:dyDescent="0.25">
      <c r="A231" s="207"/>
      <c r="B231" s="500" t="s">
        <v>178</v>
      </c>
      <c r="C231" s="501"/>
      <c r="D231" s="501"/>
      <c r="E231" s="501"/>
      <c r="F231" s="501"/>
      <c r="G231" s="501"/>
      <c r="H231" s="502"/>
      <c r="I231" s="172">
        <f>SUM(I209:I230)</f>
        <v>139857.96000000002</v>
      </c>
      <c r="J231" s="210"/>
      <c r="K231" s="212"/>
      <c r="L231" s="210"/>
      <c r="M231" s="210"/>
      <c r="N231" s="210"/>
      <c r="O231" s="210"/>
      <c r="P231" s="213"/>
      <c r="Q231" s="176">
        <f t="shared" ref="Q231:X231" si="207">SUM(Q209:Q230)</f>
        <v>0.25</v>
      </c>
      <c r="R231" s="177">
        <f t="shared" si="207"/>
        <v>0.2</v>
      </c>
      <c r="S231" s="177">
        <f t="shared" si="207"/>
        <v>0.45</v>
      </c>
      <c r="T231" s="177">
        <f t="shared" si="207"/>
        <v>116.49000000000001</v>
      </c>
      <c r="U231" s="178">
        <f t="shared" si="207"/>
        <v>0</v>
      </c>
      <c r="V231" s="178">
        <f t="shared" si="207"/>
        <v>4661.9320000000007</v>
      </c>
      <c r="W231" s="178">
        <f t="shared" si="207"/>
        <v>4661.9320000000007</v>
      </c>
      <c r="X231" s="178">
        <f t="shared" si="207"/>
        <v>135196.02799999999</v>
      </c>
      <c r="Y231" s="227">
        <f>SUM(Y209:Y230)/COUNT(Y209:Y230)</f>
        <v>2.5000000000000001E-2</v>
      </c>
      <c r="Z231" s="218"/>
      <c r="AA231" s="177">
        <v>0.25</v>
      </c>
      <c r="AB231" s="210"/>
      <c r="AC231" s="210"/>
      <c r="AD231" s="211"/>
      <c r="AE231" s="211"/>
      <c r="AF231" s="211"/>
      <c r="AG231" s="211"/>
      <c r="AH231" s="211"/>
      <c r="AI231" s="211"/>
      <c r="AJ231" s="219">
        <v>5827.4150000000009</v>
      </c>
      <c r="AK231" s="211"/>
      <c r="AL231" s="211"/>
      <c r="AM231" s="211"/>
      <c r="AN231" s="211"/>
      <c r="AO231" s="211"/>
      <c r="AP231" s="211"/>
      <c r="AQ231" s="211"/>
      <c r="AR231" s="137"/>
      <c r="AS231" s="138"/>
      <c r="AT231" s="499"/>
      <c r="AU231" s="227">
        <f>SUM(AU209:AU230)/COUNT(AU209:AU230)/8</f>
        <v>3.125E-2</v>
      </c>
      <c r="AV231" s="227">
        <f>SUM(AV209:AV230)/COUNT(AV209:AV230)/8</f>
        <v>3.125E-2</v>
      </c>
      <c r="AW231" s="139"/>
      <c r="AX231" s="139"/>
      <c r="AY231" s="139"/>
      <c r="AZ231" s="139"/>
      <c r="BA231" s="139"/>
      <c r="BB231" s="139"/>
    </row>
    <row r="232" spans="1:54" ht="12.75" customHeight="1" thickBot="1" x14ac:dyDescent="0.3">
      <c r="A232" s="243"/>
      <c r="B232" s="507" t="s">
        <v>179</v>
      </c>
      <c r="C232" s="508"/>
      <c r="D232" s="508"/>
      <c r="E232" s="508"/>
      <c r="F232" s="508"/>
      <c r="G232" s="508"/>
      <c r="H232" s="491"/>
      <c r="I232" s="244">
        <f>SUM(I180,I207,I231)</f>
        <v>368899.08</v>
      </c>
      <c r="J232" s="230"/>
      <c r="K232" s="231"/>
      <c r="L232" s="230"/>
      <c r="M232" s="230"/>
      <c r="N232" s="230"/>
      <c r="O232" s="230"/>
      <c r="P232" s="232"/>
      <c r="Q232" s="245">
        <f t="shared" ref="Q232:Y232" si="208">SUM(Q231,Q207,Q180)</f>
        <v>1.1099999999999999</v>
      </c>
      <c r="R232" s="246">
        <f t="shared" si="208"/>
        <v>46.639000000000003</v>
      </c>
      <c r="S232" s="246">
        <f t="shared" si="208"/>
        <v>47.749000000000002</v>
      </c>
      <c r="T232" s="246">
        <f t="shared" si="208"/>
        <v>238.501</v>
      </c>
      <c r="U232" s="247">
        <f t="shared" si="208"/>
        <v>0</v>
      </c>
      <c r="V232" s="247">
        <f t="shared" si="208"/>
        <v>77840.030400000003</v>
      </c>
      <c r="W232" s="247">
        <f t="shared" si="208"/>
        <v>77840.030400000003</v>
      </c>
      <c r="X232" s="247">
        <f t="shared" si="208"/>
        <v>291059.04960000003</v>
      </c>
      <c r="Y232" s="248">
        <f t="shared" si="208"/>
        <v>0.52944444444444438</v>
      </c>
      <c r="Z232" s="237"/>
      <c r="AA232" s="246">
        <v>1.1099999999999999</v>
      </c>
      <c r="AB232" s="230"/>
      <c r="AC232" s="230"/>
      <c r="AD232" s="238"/>
      <c r="AE232" s="238"/>
      <c r="AF232" s="238"/>
      <c r="AG232" s="238"/>
      <c r="AH232" s="238"/>
      <c r="AI232" s="238"/>
      <c r="AJ232" s="239">
        <v>22242.028600000005</v>
      </c>
      <c r="AK232" s="238"/>
      <c r="AL232" s="238"/>
      <c r="AM232" s="238"/>
      <c r="AN232" s="238"/>
      <c r="AO232" s="238"/>
      <c r="AP232" s="238"/>
      <c r="AQ232" s="238"/>
      <c r="AR232" s="137"/>
      <c r="AS232" s="138"/>
      <c r="AT232" s="499"/>
      <c r="AU232" s="248">
        <f>SUM(AU231,AU207,AU180)</f>
        <v>0.18652777777777779</v>
      </c>
      <c r="AV232" s="248">
        <f>SUM(AV231,AV207,AV180)</f>
        <v>0.65597222222222218</v>
      </c>
      <c r="AW232" s="139"/>
      <c r="AX232" s="139"/>
      <c r="AY232" s="139"/>
      <c r="AZ232" s="139"/>
      <c r="BA232" s="139"/>
      <c r="BB232" s="139"/>
    </row>
    <row r="233" spans="1:54" ht="12.75" customHeight="1" x14ac:dyDescent="0.25">
      <c r="A233" s="132"/>
      <c r="B233" s="133"/>
      <c r="C233" s="134"/>
      <c r="D233" s="134"/>
      <c r="E233" s="134"/>
      <c r="F233" s="134"/>
      <c r="G233" s="134"/>
      <c r="H233" s="134"/>
      <c r="I233" s="134"/>
      <c r="J233" s="132"/>
      <c r="K233" s="146"/>
      <c r="L233" s="137"/>
      <c r="M233" s="137"/>
      <c r="N233" s="137"/>
      <c r="O233" s="137"/>
      <c r="P233" s="137"/>
      <c r="Q233" s="249"/>
      <c r="R233" s="249"/>
      <c r="S233" s="249"/>
      <c r="T233" s="249"/>
      <c r="U233" s="250"/>
      <c r="V233" s="250"/>
      <c r="W233" s="250"/>
      <c r="X233" s="250"/>
      <c r="Y233" s="251"/>
      <c r="Z233" s="137"/>
      <c r="AA233" s="137"/>
      <c r="AB233" s="137"/>
      <c r="AC233" s="137"/>
      <c r="AD233" s="137"/>
      <c r="AE233" s="137"/>
      <c r="AF233" s="137"/>
      <c r="AG233" s="137"/>
      <c r="AH233" s="137"/>
      <c r="AI233" s="137"/>
      <c r="AJ233" s="137"/>
      <c r="AK233" s="137"/>
      <c r="AL233" s="137"/>
      <c r="AM233" s="137"/>
      <c r="AN233" s="137"/>
      <c r="AO233" s="137"/>
      <c r="AP233" s="137"/>
      <c r="AQ233" s="137"/>
      <c r="AR233" s="137"/>
      <c r="AS233" s="138"/>
      <c r="AT233" s="499"/>
      <c r="AU233" s="139"/>
      <c r="AV233" s="139"/>
      <c r="AW233" s="139"/>
      <c r="AX233" s="139"/>
      <c r="AY233" s="139"/>
      <c r="AZ233" s="139"/>
      <c r="BA233" s="139"/>
      <c r="BB233" s="139"/>
    </row>
    <row r="234" spans="1:54" ht="12.75" customHeight="1" x14ac:dyDescent="0.25">
      <c r="A234" s="132"/>
      <c r="B234" s="133"/>
      <c r="C234" s="134"/>
      <c r="D234" s="134"/>
      <c r="E234" s="134"/>
      <c r="F234" s="134"/>
      <c r="G234" s="134"/>
      <c r="H234" s="134"/>
      <c r="I234" s="134"/>
      <c r="J234" s="132"/>
      <c r="K234" s="146"/>
      <c r="L234" s="137"/>
      <c r="M234" s="137"/>
      <c r="N234" s="137"/>
      <c r="O234" s="137"/>
      <c r="P234" s="137"/>
      <c r="Q234" s="249"/>
      <c r="R234" s="249"/>
      <c r="S234" s="249"/>
      <c r="T234" s="249"/>
      <c r="U234" s="250"/>
      <c r="V234" s="250"/>
      <c r="W234" s="250"/>
      <c r="X234" s="250"/>
      <c r="Y234" s="251"/>
      <c r="Z234" s="137"/>
      <c r="AA234" s="137"/>
      <c r="AB234" s="137"/>
      <c r="AC234" s="137"/>
      <c r="AD234" s="137"/>
      <c r="AE234" s="137"/>
      <c r="AF234" s="137"/>
      <c r="AG234" s="137"/>
      <c r="AH234" s="137"/>
      <c r="AI234" s="137"/>
      <c r="AJ234" s="137"/>
      <c r="AK234" s="137"/>
      <c r="AL234" s="137"/>
      <c r="AM234" s="137"/>
      <c r="AN234" s="137"/>
      <c r="AO234" s="137"/>
      <c r="AP234" s="137"/>
      <c r="AQ234" s="137"/>
      <c r="AR234" s="137"/>
      <c r="AS234" s="138"/>
      <c r="AT234" s="499"/>
      <c r="AU234" s="139"/>
      <c r="AV234" s="139"/>
      <c r="AW234" s="139"/>
      <c r="AX234" s="139"/>
      <c r="AY234" s="139"/>
      <c r="AZ234" s="139"/>
      <c r="BA234" s="139"/>
      <c r="BB234" s="139"/>
    </row>
  </sheetData>
  <mergeCells count="19">
    <mergeCell ref="B167:H167"/>
    <mergeCell ref="Q19:T19"/>
    <mergeCell ref="U19:X19"/>
    <mergeCell ref="B17:H17"/>
    <mergeCell ref="AU18:BB18"/>
    <mergeCell ref="B180:H180"/>
    <mergeCell ref="AT1:AT234"/>
    <mergeCell ref="B15:H15"/>
    <mergeCell ref="B16:H16"/>
    <mergeCell ref="AA18:AH18"/>
    <mergeCell ref="AJ18:AQ18"/>
    <mergeCell ref="B207:H207"/>
    <mergeCell ref="B231:H231"/>
    <mergeCell ref="B232:H232"/>
    <mergeCell ref="B31:H31"/>
    <mergeCell ref="B32:H32"/>
    <mergeCell ref="B63:H63"/>
    <mergeCell ref="B127:H127"/>
    <mergeCell ref="B166:H166"/>
  </mergeCells>
  <pageMargins left="0.70866141732283472" right="0.70866141732283472" top="0.74803149606299213" bottom="0.74803149606299213" header="0" footer="0"/>
  <pageSetup paperSize="5" scale="6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FF"/>
    <outlinePr summaryBelow="0" summaryRight="0"/>
    <pageSetUpPr fitToPage="1"/>
  </sheetPr>
  <dimension ref="A1:BI129"/>
  <sheetViews>
    <sheetView view="pageBreakPreview" topLeftCell="H106" zoomScale="63" zoomScaleNormal="100" workbookViewId="0">
      <selection activeCell="Z139" sqref="Z139"/>
    </sheetView>
  </sheetViews>
  <sheetFormatPr defaultColWidth="12.6640625" defaultRowHeight="13.2" x14ac:dyDescent="0.25"/>
  <cols>
    <col min="1" max="1" width="18.109375" customWidth="1"/>
    <col min="2" max="2" width="50.109375" customWidth="1"/>
    <col min="3" max="3" width="14.21875" hidden="1" customWidth="1"/>
    <col min="4" max="4" width="15" customWidth="1"/>
    <col min="5" max="5" width="7.33203125" hidden="1" customWidth="1"/>
    <col min="6" max="6" width="16.44140625" hidden="1" customWidth="1"/>
    <col min="7" max="7" width="32.6640625" hidden="1" customWidth="1"/>
    <col min="8" max="8" width="11.21875" bestFit="1" customWidth="1"/>
    <col min="9" max="9" width="17" customWidth="1"/>
    <col min="10" max="10" width="12.6640625" hidden="1"/>
    <col min="11" max="11" width="9.44140625" hidden="1" customWidth="1"/>
    <col min="12" max="16" width="12.6640625" hidden="1"/>
    <col min="17" max="17" width="10.44140625" bestFit="1" customWidth="1"/>
    <col min="24" max="24" width="15.33203125" bestFit="1" customWidth="1"/>
    <col min="25" max="25" width="18.5546875" bestFit="1" customWidth="1"/>
    <col min="27" max="44" width="12.6640625" hidden="1"/>
  </cols>
  <sheetData>
    <row r="1" spans="1:52" x14ac:dyDescent="0.25">
      <c r="A1" s="252"/>
      <c r="B1" s="252"/>
      <c r="C1" s="252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4"/>
      <c r="U1" s="254"/>
      <c r="V1" s="254"/>
      <c r="W1" s="254"/>
      <c r="X1" s="254"/>
      <c r="Y1" s="253"/>
      <c r="AS1" s="255"/>
      <c r="AT1" s="255"/>
      <c r="AU1" s="255"/>
      <c r="AV1" s="255"/>
      <c r="AW1" s="255"/>
      <c r="AX1" s="255"/>
      <c r="AY1" s="255"/>
      <c r="AZ1" s="255"/>
    </row>
    <row r="2" spans="1:52" x14ac:dyDescent="0.25">
      <c r="A2" s="252"/>
      <c r="B2" s="252"/>
      <c r="C2" s="252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4"/>
      <c r="U2" s="254"/>
      <c r="V2" s="254"/>
      <c r="W2" s="254"/>
      <c r="X2" s="254"/>
      <c r="Y2" s="253"/>
      <c r="AS2" s="255"/>
      <c r="AT2" s="255"/>
      <c r="AU2" s="255"/>
      <c r="AV2" s="255"/>
      <c r="AW2" s="255"/>
      <c r="AX2" s="255"/>
      <c r="AY2" s="255"/>
      <c r="AZ2" s="255"/>
    </row>
    <row r="3" spans="1:52" x14ac:dyDescent="0.25">
      <c r="A3" s="132"/>
      <c r="B3" s="133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6"/>
      <c r="U3" s="136"/>
      <c r="V3" s="136"/>
      <c r="W3" s="136"/>
      <c r="X3" s="136"/>
      <c r="Y3" s="134"/>
      <c r="AS3" s="255"/>
      <c r="AT3" s="255"/>
      <c r="AU3" s="255"/>
      <c r="AV3" s="255"/>
      <c r="AW3" s="255"/>
      <c r="AX3" s="255"/>
      <c r="AY3" s="255"/>
      <c r="AZ3" s="255"/>
    </row>
    <row r="4" spans="1:52" x14ac:dyDescent="0.25">
      <c r="A4" s="132"/>
      <c r="B4" s="133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6"/>
      <c r="U4" s="136"/>
      <c r="V4" s="136"/>
      <c r="W4" s="136"/>
      <c r="X4" s="136"/>
      <c r="Y4" s="134"/>
      <c r="AS4" s="255"/>
      <c r="AT4" s="255"/>
      <c r="AU4" s="255"/>
      <c r="AV4" s="255"/>
      <c r="AW4" s="255"/>
      <c r="AX4" s="255"/>
      <c r="AY4" s="255"/>
      <c r="AZ4" s="255"/>
    </row>
    <row r="5" spans="1:52" x14ac:dyDescent="0.25">
      <c r="A5" s="132"/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6"/>
      <c r="U5" s="136"/>
      <c r="V5" s="136"/>
      <c r="W5" s="136"/>
      <c r="X5" s="136"/>
      <c r="Y5" s="134"/>
      <c r="AS5" s="255"/>
      <c r="AT5" s="255"/>
      <c r="AU5" s="255"/>
      <c r="AV5" s="255"/>
      <c r="AW5" s="255"/>
      <c r="AX5" s="255"/>
      <c r="AY5" s="255"/>
      <c r="AZ5" s="255"/>
    </row>
    <row r="6" spans="1:52" x14ac:dyDescent="0.25">
      <c r="A6" s="132"/>
      <c r="B6" s="133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6"/>
      <c r="U6" s="136"/>
      <c r="V6" s="136"/>
      <c r="W6" s="136"/>
      <c r="X6" s="136"/>
      <c r="Y6" s="134"/>
      <c r="AS6" s="255"/>
      <c r="AT6" s="255"/>
      <c r="AU6" s="255"/>
      <c r="AV6" s="255"/>
      <c r="AW6" s="255"/>
      <c r="AX6" s="255"/>
      <c r="AY6" s="255"/>
      <c r="AZ6" s="255"/>
    </row>
    <row r="7" spans="1:52" x14ac:dyDescent="0.25">
      <c r="A7" s="132"/>
      <c r="B7" s="133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6"/>
      <c r="U7" s="136"/>
      <c r="V7" s="136"/>
      <c r="W7" s="136"/>
      <c r="X7" s="136"/>
      <c r="Y7" s="134"/>
      <c r="AS7" s="255"/>
      <c r="AT7" s="255"/>
      <c r="AU7" s="255"/>
      <c r="AV7" s="255"/>
      <c r="AW7" s="255"/>
      <c r="AX7" s="255"/>
      <c r="AY7" s="255"/>
      <c r="AZ7" s="255"/>
    </row>
    <row r="8" spans="1:52" x14ac:dyDescent="0.25">
      <c r="A8" s="132"/>
      <c r="B8" s="133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6"/>
      <c r="U8" s="136"/>
      <c r="V8" s="136"/>
      <c r="W8" s="136"/>
      <c r="X8" s="136"/>
      <c r="Y8" s="134"/>
      <c r="AS8" s="255"/>
      <c r="AT8" s="255"/>
      <c r="AU8" s="255"/>
      <c r="AV8" s="255"/>
      <c r="AW8" s="255"/>
      <c r="AX8" s="255"/>
      <c r="AY8" s="255"/>
      <c r="AZ8" s="255"/>
    </row>
    <row r="9" spans="1:52" x14ac:dyDescent="0.25">
      <c r="A9" s="132"/>
      <c r="B9" s="133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6"/>
      <c r="U9" s="136"/>
      <c r="V9" s="136"/>
      <c r="W9" s="136"/>
      <c r="X9" s="136"/>
      <c r="Y9" s="134"/>
      <c r="AS9" s="255"/>
      <c r="AT9" s="255"/>
      <c r="AU9" s="255"/>
      <c r="AV9" s="255"/>
      <c r="AW9" s="255"/>
      <c r="AX9" s="255"/>
      <c r="AY9" s="255"/>
      <c r="AZ9" s="255"/>
    </row>
    <row r="10" spans="1:52" ht="13.8" x14ac:dyDescent="0.25">
      <c r="A10" s="132"/>
      <c r="B10" s="133"/>
      <c r="C10" s="134"/>
      <c r="D10" s="134" t="s">
        <v>74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6"/>
      <c r="Q10" s="466" t="s">
        <v>552</v>
      </c>
      <c r="R10" s="136"/>
      <c r="S10" s="136"/>
      <c r="U10" s="136"/>
      <c r="V10" s="136"/>
      <c r="W10" s="136"/>
      <c r="X10" s="136"/>
      <c r="Y10" s="134"/>
      <c r="AS10" s="255"/>
      <c r="AT10" s="255"/>
      <c r="AU10" s="255"/>
      <c r="AV10" s="255"/>
      <c r="AW10" s="255"/>
      <c r="AX10" s="255"/>
      <c r="AY10" s="255"/>
      <c r="AZ10" s="255"/>
    </row>
    <row r="11" spans="1:52" ht="13.8" x14ac:dyDescent="0.25">
      <c r="A11" s="132"/>
      <c r="B11" s="133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6"/>
      <c r="Q11" s="466" t="s">
        <v>553</v>
      </c>
      <c r="R11" s="136"/>
      <c r="S11" s="136"/>
      <c r="U11" s="467"/>
      <c r="V11" s="467"/>
      <c r="W11" s="467"/>
      <c r="X11" s="136"/>
      <c r="Y11" s="134"/>
      <c r="AS11" s="255"/>
      <c r="AT11" s="255"/>
      <c r="AU11" s="255"/>
      <c r="AV11" s="255"/>
      <c r="AW11" s="255"/>
      <c r="AX11" s="255"/>
      <c r="AY11" s="255"/>
      <c r="AZ11" s="255"/>
    </row>
    <row r="12" spans="1:52" ht="13.8" x14ac:dyDescent="0.25">
      <c r="A12" s="132"/>
      <c r="B12" s="133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6"/>
      <c r="Q12" s="466" t="s">
        <v>554</v>
      </c>
      <c r="R12" s="136"/>
      <c r="S12" s="136"/>
      <c r="U12" s="467"/>
      <c r="V12" s="467"/>
      <c r="W12" s="467"/>
      <c r="X12" s="136"/>
      <c r="Y12" s="134"/>
      <c r="AS12" s="255"/>
      <c r="AT12" s="255"/>
      <c r="AU12" s="255"/>
      <c r="AV12" s="255"/>
      <c r="AW12" s="255"/>
      <c r="AX12" s="255"/>
      <c r="AY12" s="255"/>
      <c r="AZ12" s="255"/>
    </row>
    <row r="13" spans="1:52" x14ac:dyDescent="0.25">
      <c r="A13" s="132"/>
      <c r="B13" s="133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6"/>
      <c r="Q13" s="136"/>
      <c r="R13" s="136"/>
      <c r="S13" s="136"/>
      <c r="U13" s="467"/>
      <c r="V13" s="467"/>
      <c r="W13" s="467"/>
      <c r="X13" s="136"/>
      <c r="Y13" s="134"/>
      <c r="AS13" s="255"/>
      <c r="AT13" s="255"/>
      <c r="AU13" s="255"/>
      <c r="AV13" s="255"/>
      <c r="AW13" s="255"/>
      <c r="AX13" s="255"/>
      <c r="AY13" s="255"/>
      <c r="AZ13" s="255"/>
    </row>
    <row r="14" spans="1:52" ht="13.8" x14ac:dyDescent="0.25">
      <c r="A14" s="256" t="s">
        <v>0</v>
      </c>
      <c r="B14" s="514" t="s">
        <v>1</v>
      </c>
      <c r="C14" s="484"/>
      <c r="D14" s="484"/>
      <c r="E14" s="484"/>
      <c r="F14" s="484"/>
      <c r="G14" s="484"/>
      <c r="H14" s="485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U14" s="467"/>
      <c r="V14" s="467"/>
      <c r="W14" s="467"/>
      <c r="X14" s="136"/>
      <c r="Y14" s="134"/>
      <c r="AS14" s="255"/>
      <c r="AT14" s="255"/>
      <c r="AU14" s="255"/>
      <c r="AV14" s="255"/>
      <c r="AW14" s="255"/>
      <c r="AX14" s="255"/>
      <c r="AY14" s="255"/>
      <c r="AZ14" s="255"/>
    </row>
    <row r="15" spans="1:52" ht="13.8" x14ac:dyDescent="0.25">
      <c r="A15" s="256" t="s">
        <v>2</v>
      </c>
      <c r="B15" s="514" t="s">
        <v>3</v>
      </c>
      <c r="C15" s="484"/>
      <c r="D15" s="484"/>
      <c r="E15" s="484"/>
      <c r="F15" s="484"/>
      <c r="G15" s="484"/>
      <c r="H15" s="485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6"/>
      <c r="U15" s="136"/>
      <c r="V15" s="136"/>
      <c r="W15" s="136"/>
      <c r="X15" s="136"/>
      <c r="Y15" s="134"/>
      <c r="AS15" s="255"/>
      <c r="AT15" s="255"/>
      <c r="AU15" s="255"/>
      <c r="AV15" s="255"/>
      <c r="AW15" s="255"/>
      <c r="AX15" s="255"/>
      <c r="AY15" s="255"/>
      <c r="AZ15" s="255"/>
    </row>
    <row r="16" spans="1:52" ht="13.8" x14ac:dyDescent="0.25">
      <c r="A16" s="256" t="s">
        <v>4</v>
      </c>
      <c r="B16" s="486">
        <f ca="1">TODAY()</f>
        <v>46251</v>
      </c>
      <c r="C16" s="484"/>
      <c r="D16" s="484"/>
      <c r="E16" s="484"/>
      <c r="F16" s="484"/>
      <c r="G16" s="484"/>
      <c r="H16" s="485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6"/>
      <c r="U16" s="136"/>
      <c r="V16" s="136"/>
      <c r="W16" s="136"/>
      <c r="X16" s="136"/>
      <c r="Y16" s="134"/>
      <c r="AS16" s="255"/>
      <c r="AT16" s="255"/>
      <c r="AU16" s="255"/>
      <c r="AV16" s="255"/>
      <c r="AW16" s="255"/>
      <c r="AX16" s="255"/>
      <c r="AY16" s="255"/>
      <c r="AZ16" s="255"/>
    </row>
    <row r="17" spans="1:61" ht="16.8" x14ac:dyDescent="0.25">
      <c r="A17" s="132"/>
      <c r="B17" s="133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6"/>
      <c r="U17" s="136"/>
      <c r="V17" s="136"/>
      <c r="W17" s="136"/>
      <c r="X17" s="136"/>
      <c r="Y17" s="134"/>
      <c r="AA17" s="515" t="s">
        <v>75</v>
      </c>
      <c r="AB17" s="499"/>
      <c r="AC17" s="499"/>
      <c r="AD17" s="499"/>
      <c r="AE17" s="499"/>
      <c r="AF17" s="499"/>
      <c r="AG17" s="499"/>
      <c r="AH17" s="499"/>
      <c r="AI17" s="137"/>
      <c r="AJ17" s="516" t="s">
        <v>13</v>
      </c>
      <c r="AK17" s="499"/>
      <c r="AL17" s="499"/>
      <c r="AM17" s="499"/>
      <c r="AN17" s="499"/>
      <c r="AO17" s="499"/>
      <c r="AP17" s="499"/>
      <c r="AQ17" s="499"/>
      <c r="AR17" s="257"/>
      <c r="AS17" s="517" t="s">
        <v>76</v>
      </c>
      <c r="AT17" s="499"/>
      <c r="AU17" s="499"/>
      <c r="AV17" s="499"/>
      <c r="AW17" s="499"/>
      <c r="AX17" s="499"/>
      <c r="AY17" s="499"/>
      <c r="AZ17" s="499"/>
      <c r="BB17" s="520" t="s">
        <v>77</v>
      </c>
      <c r="BC17" s="499"/>
      <c r="BD17" s="499"/>
      <c r="BE17" s="499"/>
      <c r="BF17" s="499"/>
      <c r="BG17" s="499"/>
      <c r="BH17" s="499"/>
      <c r="BI17" s="499"/>
    </row>
    <row r="18" spans="1:61" ht="27.6" x14ac:dyDescent="0.25">
      <c r="A18" s="259" t="s">
        <v>8</v>
      </c>
      <c r="B18" s="259" t="s">
        <v>78</v>
      </c>
      <c r="C18" s="260" t="s">
        <v>75</v>
      </c>
      <c r="D18" s="261" t="s">
        <v>75</v>
      </c>
      <c r="E18" s="262" t="s">
        <v>79</v>
      </c>
      <c r="F18" s="262" t="s">
        <v>80</v>
      </c>
      <c r="G18" s="262" t="s">
        <v>81</v>
      </c>
      <c r="H18" s="262" t="s">
        <v>82</v>
      </c>
      <c r="I18" s="262" t="s">
        <v>10</v>
      </c>
      <c r="J18" s="263"/>
      <c r="K18" s="263"/>
      <c r="L18" s="263"/>
      <c r="M18" s="263"/>
      <c r="N18" s="263"/>
      <c r="O18" s="263"/>
      <c r="P18" s="263"/>
      <c r="Q18" s="518" t="s">
        <v>75</v>
      </c>
      <c r="R18" s="492"/>
      <c r="S18" s="492"/>
      <c r="T18" s="512"/>
      <c r="U18" s="519" t="s">
        <v>13</v>
      </c>
      <c r="V18" s="492"/>
      <c r="W18" s="492"/>
      <c r="X18" s="512"/>
      <c r="Y18" s="264" t="s">
        <v>83</v>
      </c>
      <c r="Z18" s="263"/>
      <c r="AA18" s="265" t="s">
        <v>84</v>
      </c>
      <c r="AB18" s="265" t="s">
        <v>85</v>
      </c>
      <c r="AC18" s="265" t="s">
        <v>86</v>
      </c>
      <c r="AD18" s="265" t="s">
        <v>87</v>
      </c>
      <c r="AE18" s="265" t="s">
        <v>88</v>
      </c>
      <c r="AF18" s="265" t="s">
        <v>89</v>
      </c>
      <c r="AG18" s="265" t="s">
        <v>90</v>
      </c>
      <c r="AH18" s="265" t="s">
        <v>91</v>
      </c>
      <c r="AI18" s="266"/>
      <c r="AJ18" s="267" t="s">
        <v>84</v>
      </c>
      <c r="AK18" s="267" t="s">
        <v>85</v>
      </c>
      <c r="AL18" s="267" t="s">
        <v>86</v>
      </c>
      <c r="AM18" s="267" t="s">
        <v>87</v>
      </c>
      <c r="AN18" s="267" t="s">
        <v>88</v>
      </c>
      <c r="AO18" s="267" t="s">
        <v>89</v>
      </c>
      <c r="AP18" s="267" t="s">
        <v>90</v>
      </c>
      <c r="AQ18" s="267" t="s">
        <v>91</v>
      </c>
      <c r="AR18" s="266"/>
      <c r="AS18" s="268" t="s">
        <v>84</v>
      </c>
      <c r="AT18" s="268" t="s">
        <v>85</v>
      </c>
      <c r="AU18" s="268" t="s">
        <v>86</v>
      </c>
      <c r="AV18" s="268" t="s">
        <v>87</v>
      </c>
      <c r="AW18" s="268" t="s">
        <v>88</v>
      </c>
      <c r="AX18" s="268" t="s">
        <v>89</v>
      </c>
      <c r="AY18" s="268" t="s">
        <v>90</v>
      </c>
      <c r="AZ18" s="268" t="s">
        <v>91</v>
      </c>
      <c r="BA18" s="263"/>
      <c r="BB18" s="269" t="s">
        <v>84</v>
      </c>
      <c r="BC18" s="269" t="s">
        <v>85</v>
      </c>
      <c r="BD18" s="269" t="s">
        <v>86</v>
      </c>
      <c r="BE18" s="269" t="s">
        <v>87</v>
      </c>
      <c r="BF18" s="269" t="s">
        <v>88</v>
      </c>
      <c r="BG18" s="269" t="s">
        <v>89</v>
      </c>
      <c r="BH18" s="269" t="s">
        <v>90</v>
      </c>
      <c r="BI18" s="269" t="s">
        <v>91</v>
      </c>
    </row>
    <row r="19" spans="1:61" ht="15.6" x14ac:dyDescent="0.25">
      <c r="A19" s="270"/>
      <c r="B19" s="271" t="s">
        <v>27</v>
      </c>
      <c r="C19" s="270"/>
      <c r="D19" s="272"/>
      <c r="E19" s="272"/>
      <c r="F19" s="273"/>
      <c r="G19" s="273"/>
      <c r="H19" s="273"/>
      <c r="I19" s="273"/>
      <c r="J19" s="274"/>
      <c r="K19" s="274" t="s">
        <v>180</v>
      </c>
      <c r="L19" s="274"/>
      <c r="M19" s="274"/>
      <c r="N19" s="274"/>
      <c r="O19" s="274"/>
      <c r="P19" s="274"/>
      <c r="Q19" s="275" t="s">
        <v>20</v>
      </c>
      <c r="R19" s="276" t="s">
        <v>19</v>
      </c>
      <c r="S19" s="276" t="s">
        <v>21</v>
      </c>
      <c r="T19" s="277" t="s">
        <v>50</v>
      </c>
      <c r="U19" s="277" t="s">
        <v>20</v>
      </c>
      <c r="V19" s="277" t="s">
        <v>19</v>
      </c>
      <c r="W19" s="277" t="s">
        <v>21</v>
      </c>
      <c r="X19" s="277" t="s">
        <v>50</v>
      </c>
      <c r="Y19" s="278" t="s">
        <v>92</v>
      </c>
      <c r="Z19" s="274"/>
      <c r="AA19" s="274"/>
      <c r="AB19" s="274"/>
      <c r="AC19" s="274"/>
      <c r="AD19" s="274"/>
      <c r="AE19" s="274"/>
      <c r="AF19" s="274"/>
      <c r="AG19" s="274"/>
      <c r="AH19" s="274"/>
      <c r="AI19" s="274"/>
      <c r="AJ19" s="274"/>
      <c r="AK19" s="274"/>
      <c r="AL19" s="274"/>
      <c r="AM19" s="274"/>
      <c r="AN19" s="274"/>
      <c r="AO19" s="274"/>
      <c r="AP19" s="274"/>
      <c r="AQ19" s="274"/>
      <c r="AR19" s="274"/>
      <c r="AS19" s="279"/>
      <c r="AT19" s="279"/>
      <c r="AU19" s="279"/>
      <c r="AV19" s="279"/>
      <c r="AW19" s="279"/>
      <c r="AX19" s="279"/>
      <c r="AY19" s="279"/>
      <c r="AZ19" s="279"/>
      <c r="BA19" s="274"/>
      <c r="BB19" s="274"/>
      <c r="BC19" s="274"/>
      <c r="BD19" s="274"/>
      <c r="BE19" s="274"/>
      <c r="BF19" s="274"/>
      <c r="BG19" s="274"/>
      <c r="BH19" s="274"/>
      <c r="BI19" s="274"/>
    </row>
    <row r="20" spans="1:61" x14ac:dyDescent="0.25">
      <c r="A20" s="270"/>
      <c r="B20" s="271" t="s">
        <v>181</v>
      </c>
      <c r="C20" s="270"/>
      <c r="D20" s="272"/>
      <c r="E20" s="272"/>
      <c r="F20" s="273"/>
      <c r="G20" s="273"/>
      <c r="H20" s="273"/>
      <c r="I20" s="273"/>
      <c r="J20" s="274"/>
      <c r="K20" s="280">
        <v>1.1000000000000001</v>
      </c>
      <c r="L20" s="274"/>
      <c r="M20" s="274"/>
      <c r="N20" s="274"/>
      <c r="O20" s="274"/>
      <c r="P20" s="274"/>
      <c r="Q20" s="281"/>
      <c r="R20" s="32"/>
      <c r="S20" s="32"/>
      <c r="T20" s="30"/>
      <c r="U20" s="30"/>
      <c r="V20" s="30"/>
      <c r="W20" s="30"/>
      <c r="X20" s="30"/>
      <c r="Y20" s="282"/>
      <c r="Z20" s="274"/>
      <c r="AA20" s="274"/>
      <c r="AB20" s="274"/>
      <c r="AC20" s="274"/>
      <c r="AD20" s="274"/>
      <c r="AE20" s="274"/>
      <c r="AF20" s="274"/>
      <c r="AG20" s="274"/>
      <c r="AH20" s="274"/>
      <c r="AI20" s="274"/>
      <c r="AJ20" s="30"/>
      <c r="AK20" s="274"/>
      <c r="AL20" s="274"/>
      <c r="AM20" s="274"/>
      <c r="AN20" s="274"/>
      <c r="AO20" s="274"/>
      <c r="AP20" s="274"/>
      <c r="AQ20" s="274"/>
      <c r="AR20" s="274"/>
      <c r="AS20" s="279"/>
      <c r="AT20" s="279"/>
      <c r="AU20" s="279"/>
      <c r="AV20" s="279"/>
      <c r="AW20" s="279"/>
      <c r="AX20" s="279"/>
      <c r="AY20" s="279"/>
      <c r="AZ20" s="279"/>
      <c r="BA20" s="274"/>
      <c r="BB20" s="274"/>
      <c r="BC20" s="274"/>
      <c r="BD20" s="274"/>
      <c r="BE20" s="274"/>
      <c r="BF20" s="274"/>
      <c r="BG20" s="274"/>
      <c r="BH20" s="274"/>
      <c r="BI20" s="274"/>
    </row>
    <row r="21" spans="1:61" x14ac:dyDescent="0.25">
      <c r="A21" s="283"/>
      <c r="B21" s="284" t="s">
        <v>182</v>
      </c>
      <c r="C21" s="283"/>
      <c r="D21" s="285"/>
      <c r="E21" s="285"/>
      <c r="F21" s="286"/>
      <c r="G21" s="286"/>
      <c r="H21" s="286"/>
      <c r="I21" s="286"/>
      <c r="J21" s="274"/>
      <c r="K21" s="274" t="s">
        <v>183</v>
      </c>
      <c r="L21" s="274"/>
      <c r="M21" s="274"/>
      <c r="N21" s="274"/>
      <c r="O21" s="274"/>
      <c r="P21" s="274"/>
      <c r="Q21" s="281"/>
      <c r="R21" s="32"/>
      <c r="S21" s="32"/>
      <c r="T21" s="30"/>
      <c r="U21" s="30"/>
      <c r="V21" s="30"/>
      <c r="W21" s="30"/>
      <c r="X21" s="30"/>
      <c r="Y21" s="282"/>
      <c r="Z21" s="274"/>
      <c r="AA21" s="274"/>
      <c r="AB21" s="274"/>
      <c r="AC21" s="274"/>
      <c r="AD21" s="274"/>
      <c r="AE21" s="274"/>
      <c r="AF21" s="274"/>
      <c r="AG21" s="274"/>
      <c r="AH21" s="274"/>
      <c r="AI21" s="274"/>
      <c r="AJ21" s="30"/>
      <c r="AK21" s="274"/>
      <c r="AL21" s="274"/>
      <c r="AM21" s="274"/>
      <c r="AN21" s="274"/>
      <c r="AO21" s="274"/>
      <c r="AP21" s="274"/>
      <c r="AQ21" s="274"/>
      <c r="AR21" s="274"/>
      <c r="AS21" s="279"/>
      <c r="AT21" s="279"/>
      <c r="AU21" s="279"/>
      <c r="AV21" s="279"/>
      <c r="AW21" s="279"/>
      <c r="AX21" s="279"/>
      <c r="AY21" s="279"/>
      <c r="AZ21" s="279"/>
      <c r="BA21" s="274"/>
      <c r="BB21" s="274"/>
      <c r="BC21" s="274"/>
      <c r="BD21" s="274"/>
      <c r="BE21" s="274"/>
      <c r="BF21" s="274"/>
      <c r="BG21" s="274"/>
      <c r="BH21" s="274"/>
      <c r="BI21" s="274"/>
    </row>
    <row r="22" spans="1:61" ht="13.8" x14ac:dyDescent="0.25">
      <c r="A22" s="283"/>
      <c r="B22" s="283" t="s">
        <v>184</v>
      </c>
      <c r="C22" s="283">
        <v>20.3</v>
      </c>
      <c r="D22" s="285">
        <f t="shared" ref="D22:D29" si="0">C22*$K$20</f>
        <v>22.330000000000002</v>
      </c>
      <c r="E22" s="285" t="s">
        <v>114</v>
      </c>
      <c r="F22" s="286">
        <f>'MATERIAL AND LABOR COST FOR WAL'!$D$7</f>
        <v>550</v>
      </c>
      <c r="G22" s="286">
        <f>'MATERIAL AND LABOR COST FOR WAL'!$F$7</f>
        <v>350</v>
      </c>
      <c r="H22" s="286">
        <f t="shared" ref="H22:H29" si="1">SUM(F22,G22)</f>
        <v>900</v>
      </c>
      <c r="I22" s="286">
        <f t="shared" ref="I22:I28" si="2">H22*D22</f>
        <v>20097</v>
      </c>
      <c r="J22" s="274"/>
      <c r="K22" s="280">
        <v>0.1</v>
      </c>
      <c r="L22" s="274"/>
      <c r="M22" s="274"/>
      <c r="N22" s="274"/>
      <c r="O22" s="274"/>
      <c r="P22" s="274"/>
      <c r="Q22" s="287">
        <f t="shared" ref="Q22:Q29" si="3">SUM(AA22:AH22)</f>
        <v>4.4660000000000002</v>
      </c>
      <c r="R22" s="288">
        <f t="shared" ref="R22:R29" si="4">Y22*D22</f>
        <v>6.6990000000000007</v>
      </c>
      <c r="S22" s="288">
        <f t="shared" ref="S22:S29" si="5">SUM(Q22:R22)</f>
        <v>11.165000000000001</v>
      </c>
      <c r="T22" s="289">
        <f t="shared" ref="T22:T29" si="6">D22-S22</f>
        <v>11.165000000000001</v>
      </c>
      <c r="U22" s="289">
        <f t="shared" ref="U22:U29" si="7">SUM(AJ22:AQ22)</f>
        <v>4019.4</v>
      </c>
      <c r="V22" s="289">
        <f t="shared" ref="V22:V29" si="8">Y22*I22</f>
        <v>6029.0999999999995</v>
      </c>
      <c r="W22" s="289">
        <f t="shared" ref="W22:W29" si="9">SUM(U22:V22)</f>
        <v>10048.5</v>
      </c>
      <c r="X22" s="289">
        <f t="shared" ref="X22:X29" si="10">I22-W22</f>
        <v>10048.5</v>
      </c>
      <c r="Y22" s="290">
        <f t="shared" ref="Y22:Y29" si="11">SUM(AS22:AZ22)</f>
        <v>0.3</v>
      </c>
      <c r="Z22" s="274"/>
      <c r="AA22" s="274">
        <v>4.4660000000000002</v>
      </c>
      <c r="AB22" s="274"/>
      <c r="AC22" s="274"/>
      <c r="AD22" s="274"/>
      <c r="AE22" s="274"/>
      <c r="AF22" s="274"/>
      <c r="AG22" s="274"/>
      <c r="AH22" s="274"/>
      <c r="AI22" s="274"/>
      <c r="AJ22" s="289">
        <v>4019.4</v>
      </c>
      <c r="AK22" s="274"/>
      <c r="AL22" s="274"/>
      <c r="AM22" s="274"/>
      <c r="AN22" s="274"/>
      <c r="AO22" s="274"/>
      <c r="AP22" s="274"/>
      <c r="AQ22" s="274"/>
      <c r="AR22" s="274"/>
      <c r="AS22" s="279">
        <v>0.3</v>
      </c>
      <c r="AT22" s="279"/>
      <c r="AU22" s="279"/>
      <c r="AV22" s="279"/>
      <c r="AW22" s="279"/>
      <c r="AX22" s="279"/>
      <c r="AY22" s="279"/>
      <c r="AZ22" s="279"/>
      <c r="BA22" s="274"/>
      <c r="BB22" s="279">
        <v>0.2</v>
      </c>
      <c r="BC22" s="279">
        <v>0.2</v>
      </c>
      <c r="BD22" s="274"/>
      <c r="BE22" s="274"/>
      <c r="BF22" s="274"/>
      <c r="BG22" s="274"/>
      <c r="BH22" s="274"/>
      <c r="BI22" s="274"/>
    </row>
    <row r="23" spans="1:61" ht="13.8" x14ac:dyDescent="0.25">
      <c r="A23" s="283"/>
      <c r="B23" s="283" t="s">
        <v>185</v>
      </c>
      <c r="C23" s="283">
        <v>5.8</v>
      </c>
      <c r="D23" s="285">
        <f t="shared" si="0"/>
        <v>6.38</v>
      </c>
      <c r="E23" s="285" t="s">
        <v>186</v>
      </c>
      <c r="F23" s="286">
        <f>'MATERIAL AND LABOR COST FOR WAL'!$D$8</f>
        <v>2150</v>
      </c>
      <c r="G23" s="286">
        <f>'MATERIAL AND LABOR COST FOR WAL'!$F$8</f>
        <v>1200</v>
      </c>
      <c r="H23" s="286">
        <f t="shared" si="1"/>
        <v>3350</v>
      </c>
      <c r="I23" s="286">
        <f t="shared" si="2"/>
        <v>21373</v>
      </c>
      <c r="J23" s="274"/>
      <c r="K23" s="274"/>
      <c r="L23" s="274"/>
      <c r="M23" s="274"/>
      <c r="N23" s="274"/>
      <c r="O23" s="274"/>
      <c r="P23" s="274"/>
      <c r="Q23" s="287">
        <f t="shared" si="3"/>
        <v>1.276</v>
      </c>
      <c r="R23" s="288">
        <f t="shared" si="4"/>
        <v>1.9139999999999999</v>
      </c>
      <c r="S23" s="288">
        <f t="shared" si="5"/>
        <v>3.19</v>
      </c>
      <c r="T23" s="289">
        <f t="shared" si="6"/>
        <v>3.19</v>
      </c>
      <c r="U23" s="289">
        <f t="shared" si="7"/>
        <v>4274.6000000000004</v>
      </c>
      <c r="V23" s="289">
        <f t="shared" si="8"/>
        <v>6411.9</v>
      </c>
      <c r="W23" s="289">
        <f t="shared" si="9"/>
        <v>10686.5</v>
      </c>
      <c r="X23" s="289">
        <f t="shared" si="10"/>
        <v>10686.5</v>
      </c>
      <c r="Y23" s="290">
        <f t="shared" si="11"/>
        <v>0.3</v>
      </c>
      <c r="Z23" s="274"/>
      <c r="AA23" s="274">
        <v>1.276</v>
      </c>
      <c r="AB23" s="274"/>
      <c r="AC23" s="274"/>
      <c r="AD23" s="274"/>
      <c r="AE23" s="274"/>
      <c r="AF23" s="274"/>
      <c r="AG23" s="274"/>
      <c r="AH23" s="274"/>
      <c r="AI23" s="274"/>
      <c r="AJ23" s="289">
        <v>4274.6000000000004</v>
      </c>
      <c r="AK23" s="274"/>
      <c r="AL23" s="274"/>
      <c r="AM23" s="274"/>
      <c r="AN23" s="274"/>
      <c r="AO23" s="274"/>
      <c r="AP23" s="274"/>
      <c r="AQ23" s="274"/>
      <c r="AR23" s="274"/>
      <c r="AS23" s="279">
        <v>0.3</v>
      </c>
      <c r="AT23" s="279"/>
      <c r="AU23" s="279"/>
      <c r="AV23" s="279"/>
      <c r="AW23" s="279"/>
      <c r="AX23" s="279"/>
      <c r="AY23" s="279"/>
      <c r="AZ23" s="279"/>
      <c r="BA23" s="274"/>
      <c r="BB23" s="279">
        <v>0.2</v>
      </c>
      <c r="BC23" s="279">
        <v>0.2</v>
      </c>
      <c r="BD23" s="274"/>
      <c r="BE23" s="274"/>
      <c r="BF23" s="274"/>
      <c r="BG23" s="274"/>
      <c r="BH23" s="274"/>
      <c r="BI23" s="274"/>
    </row>
    <row r="24" spans="1:61" ht="13.8" x14ac:dyDescent="0.25">
      <c r="A24" s="283"/>
      <c r="B24" s="283" t="s">
        <v>187</v>
      </c>
      <c r="C24" s="283">
        <v>5.2</v>
      </c>
      <c r="D24" s="285">
        <f t="shared" si="0"/>
        <v>5.7200000000000006</v>
      </c>
      <c r="E24" s="285" t="s">
        <v>186</v>
      </c>
      <c r="F24" s="286">
        <f>'MATERIAL AND LABOR COST FOR WAL'!$D$9</f>
        <v>880.00000000000011</v>
      </c>
      <c r="G24" s="286">
        <f>'MATERIAL AND LABOR COST FOR WAL'!$F$9</f>
        <v>350</v>
      </c>
      <c r="H24" s="286">
        <f t="shared" si="1"/>
        <v>1230</v>
      </c>
      <c r="I24" s="286">
        <f t="shared" si="2"/>
        <v>7035.6</v>
      </c>
      <c r="J24" s="274"/>
      <c r="K24" s="274"/>
      <c r="L24" s="274"/>
      <c r="M24" s="274"/>
      <c r="N24" s="274"/>
      <c r="O24" s="274"/>
      <c r="P24" s="274"/>
      <c r="Q24" s="287">
        <f t="shared" si="3"/>
        <v>1.1440000000000001</v>
      </c>
      <c r="R24" s="288">
        <f t="shared" si="4"/>
        <v>1.7160000000000002</v>
      </c>
      <c r="S24" s="288">
        <f t="shared" si="5"/>
        <v>2.8600000000000003</v>
      </c>
      <c r="T24" s="289">
        <f t="shared" si="6"/>
        <v>2.8600000000000003</v>
      </c>
      <c r="U24" s="289">
        <f t="shared" si="7"/>
        <v>1407.1200000000001</v>
      </c>
      <c r="V24" s="289">
        <f t="shared" si="8"/>
        <v>2110.6799999999998</v>
      </c>
      <c r="W24" s="289">
        <f t="shared" si="9"/>
        <v>3517.8</v>
      </c>
      <c r="X24" s="289">
        <f t="shared" si="10"/>
        <v>3517.8</v>
      </c>
      <c r="Y24" s="290">
        <f t="shared" si="11"/>
        <v>0.3</v>
      </c>
      <c r="Z24" s="274"/>
      <c r="AA24" s="274">
        <v>1.1440000000000001</v>
      </c>
      <c r="AB24" s="274"/>
      <c r="AC24" s="274"/>
      <c r="AD24" s="274"/>
      <c r="AE24" s="274"/>
      <c r="AF24" s="274"/>
      <c r="AG24" s="274"/>
      <c r="AH24" s="274"/>
      <c r="AI24" s="274"/>
      <c r="AJ24" s="289">
        <v>1407.1200000000001</v>
      </c>
      <c r="AK24" s="274"/>
      <c r="AL24" s="274"/>
      <c r="AM24" s="274"/>
      <c r="AN24" s="274"/>
      <c r="AO24" s="274"/>
      <c r="AP24" s="274"/>
      <c r="AQ24" s="274"/>
      <c r="AR24" s="274"/>
      <c r="AS24" s="279">
        <v>0.3</v>
      </c>
      <c r="AT24" s="279"/>
      <c r="AU24" s="279"/>
      <c r="AV24" s="279"/>
      <c r="AW24" s="279"/>
      <c r="AX24" s="279"/>
      <c r="AY24" s="279"/>
      <c r="AZ24" s="279"/>
      <c r="BA24" s="274"/>
      <c r="BB24" s="279">
        <v>0.2</v>
      </c>
      <c r="BC24" s="279">
        <v>0.2</v>
      </c>
      <c r="BD24" s="274"/>
      <c r="BE24" s="274"/>
      <c r="BF24" s="274"/>
      <c r="BG24" s="274"/>
      <c r="BH24" s="274"/>
      <c r="BI24" s="274"/>
    </row>
    <row r="25" spans="1:61" ht="13.8" x14ac:dyDescent="0.25">
      <c r="A25" s="283"/>
      <c r="B25" s="283" t="s">
        <v>188</v>
      </c>
      <c r="C25" s="283">
        <v>7.4</v>
      </c>
      <c r="D25" s="285">
        <f t="shared" si="0"/>
        <v>8.14</v>
      </c>
      <c r="E25" s="285" t="s">
        <v>186</v>
      </c>
      <c r="F25" s="286">
        <f>'MATERIAL AND LABOR COST FOR WAL'!$D$10</f>
        <v>3300.0000000000005</v>
      </c>
      <c r="G25" s="286">
        <f>'MATERIAL AND LABOR COST FOR WAL'!$F$10</f>
        <v>1650.0000000000002</v>
      </c>
      <c r="H25" s="286">
        <f t="shared" si="1"/>
        <v>4950.0000000000009</v>
      </c>
      <c r="I25" s="286">
        <f t="shared" si="2"/>
        <v>40293.000000000007</v>
      </c>
      <c r="J25" s="274"/>
      <c r="K25" s="274"/>
      <c r="L25" s="274"/>
      <c r="M25" s="274"/>
      <c r="N25" s="274"/>
      <c r="O25" s="274"/>
      <c r="P25" s="274"/>
      <c r="Q25" s="287">
        <f t="shared" si="3"/>
        <v>1.6280000000000001</v>
      </c>
      <c r="R25" s="288">
        <f t="shared" si="4"/>
        <v>2.4420000000000002</v>
      </c>
      <c r="S25" s="288">
        <f t="shared" si="5"/>
        <v>4.07</v>
      </c>
      <c r="T25" s="289">
        <f t="shared" si="6"/>
        <v>4.07</v>
      </c>
      <c r="U25" s="289">
        <f t="shared" si="7"/>
        <v>8058.6000000000022</v>
      </c>
      <c r="V25" s="289">
        <f t="shared" si="8"/>
        <v>12087.900000000001</v>
      </c>
      <c r="W25" s="289">
        <f t="shared" si="9"/>
        <v>20146.500000000004</v>
      </c>
      <c r="X25" s="289">
        <f t="shared" si="10"/>
        <v>20146.500000000004</v>
      </c>
      <c r="Y25" s="290">
        <f t="shared" si="11"/>
        <v>0.3</v>
      </c>
      <c r="Z25" s="274"/>
      <c r="AA25" s="274">
        <v>1.6280000000000001</v>
      </c>
      <c r="AB25" s="274"/>
      <c r="AC25" s="274"/>
      <c r="AD25" s="274"/>
      <c r="AE25" s="274"/>
      <c r="AF25" s="274"/>
      <c r="AG25" s="274"/>
      <c r="AH25" s="274"/>
      <c r="AI25" s="274"/>
      <c r="AJ25" s="289">
        <v>8058.6000000000022</v>
      </c>
      <c r="AK25" s="274"/>
      <c r="AL25" s="274"/>
      <c r="AM25" s="274"/>
      <c r="AN25" s="274"/>
      <c r="AO25" s="274"/>
      <c r="AP25" s="274"/>
      <c r="AQ25" s="274"/>
      <c r="AR25" s="274"/>
      <c r="AS25" s="279">
        <v>0.3</v>
      </c>
      <c r="AT25" s="279"/>
      <c r="AU25" s="279"/>
      <c r="AV25" s="279"/>
      <c r="AW25" s="279"/>
      <c r="AX25" s="279"/>
      <c r="AY25" s="279"/>
      <c r="AZ25" s="279"/>
      <c r="BA25" s="274"/>
      <c r="BB25" s="279">
        <v>0.2</v>
      </c>
      <c r="BC25" s="279">
        <v>0.2</v>
      </c>
      <c r="BD25" s="274"/>
      <c r="BE25" s="274"/>
      <c r="BF25" s="274"/>
      <c r="BG25" s="274"/>
      <c r="BH25" s="274"/>
      <c r="BI25" s="274"/>
    </row>
    <row r="26" spans="1:61" ht="26.4" x14ac:dyDescent="0.25">
      <c r="A26" s="291"/>
      <c r="B26" s="291" t="s">
        <v>189</v>
      </c>
      <c r="C26" s="291">
        <v>1.1000000000000001</v>
      </c>
      <c r="D26" s="292">
        <f t="shared" si="0"/>
        <v>1.2100000000000002</v>
      </c>
      <c r="E26" s="292" t="s">
        <v>186</v>
      </c>
      <c r="F26" s="286">
        <f>'MATERIAL AND LABOR COST FOR WAL'!$D$11</f>
        <v>6600.0000000000009</v>
      </c>
      <c r="G26" s="286">
        <f>'MATERIAL AND LABOR COST FOR WAL'!$F$11</f>
        <v>3300.0000000000005</v>
      </c>
      <c r="H26" s="286">
        <f t="shared" si="1"/>
        <v>9900.0000000000018</v>
      </c>
      <c r="I26" s="286">
        <f t="shared" si="2"/>
        <v>11979.000000000004</v>
      </c>
      <c r="J26" s="263"/>
      <c r="K26" s="263"/>
      <c r="L26" s="263"/>
      <c r="M26" s="263"/>
      <c r="N26" s="263"/>
      <c r="O26" s="263"/>
      <c r="P26" s="263"/>
      <c r="Q26" s="287">
        <f t="shared" si="3"/>
        <v>0.24200000000000005</v>
      </c>
      <c r="R26" s="288">
        <f t="shared" si="4"/>
        <v>0.36300000000000004</v>
      </c>
      <c r="S26" s="288">
        <f t="shared" si="5"/>
        <v>0.60500000000000009</v>
      </c>
      <c r="T26" s="289">
        <f t="shared" si="6"/>
        <v>0.60500000000000009</v>
      </c>
      <c r="U26" s="289">
        <f t="shared" si="7"/>
        <v>2395.8000000000006</v>
      </c>
      <c r="V26" s="289">
        <f t="shared" si="8"/>
        <v>3593.7000000000012</v>
      </c>
      <c r="W26" s="289">
        <f t="shared" si="9"/>
        <v>5989.5000000000018</v>
      </c>
      <c r="X26" s="289">
        <f t="shared" si="10"/>
        <v>5989.5000000000018</v>
      </c>
      <c r="Y26" s="290">
        <f t="shared" si="11"/>
        <v>0.3</v>
      </c>
      <c r="Z26" s="263"/>
      <c r="AA26" s="263">
        <v>0.24200000000000005</v>
      </c>
      <c r="AB26" s="263"/>
      <c r="AC26" s="263"/>
      <c r="AD26" s="263"/>
      <c r="AE26" s="263"/>
      <c r="AF26" s="263"/>
      <c r="AG26" s="263"/>
      <c r="AH26" s="263"/>
      <c r="AI26" s="263"/>
      <c r="AJ26" s="289">
        <v>2395.8000000000006</v>
      </c>
      <c r="AK26" s="263"/>
      <c r="AL26" s="263"/>
      <c r="AM26" s="263"/>
      <c r="AN26" s="263"/>
      <c r="AO26" s="263"/>
      <c r="AP26" s="263"/>
      <c r="AQ26" s="263"/>
      <c r="AR26" s="263"/>
      <c r="AS26" s="279">
        <v>0.3</v>
      </c>
      <c r="AT26" s="293"/>
      <c r="AU26" s="293"/>
      <c r="AV26" s="293"/>
      <c r="AW26" s="293"/>
      <c r="AX26" s="293"/>
      <c r="AY26" s="293"/>
      <c r="AZ26" s="293"/>
      <c r="BA26" s="263"/>
      <c r="BB26" s="279">
        <v>0.2</v>
      </c>
      <c r="BC26" s="279">
        <v>0.2</v>
      </c>
      <c r="BD26" s="263"/>
      <c r="BE26" s="263"/>
      <c r="BF26" s="263"/>
      <c r="BG26" s="263"/>
      <c r="BH26" s="263"/>
      <c r="BI26" s="263"/>
    </row>
    <row r="27" spans="1:61" ht="13.8" x14ac:dyDescent="0.25">
      <c r="A27" s="283"/>
      <c r="B27" s="283" t="s">
        <v>190</v>
      </c>
      <c r="C27" s="283">
        <v>42.3</v>
      </c>
      <c r="D27" s="285">
        <f t="shared" si="0"/>
        <v>46.53</v>
      </c>
      <c r="E27" s="285" t="s">
        <v>186</v>
      </c>
      <c r="F27" s="286">
        <f>'MATERIAL AND LABOR COST FOR WAL'!$D$12</f>
        <v>350</v>
      </c>
      <c r="G27" s="286">
        <f>'MATERIAL AND LABOR COST FOR WAL'!$F$12</f>
        <v>350</v>
      </c>
      <c r="H27" s="286">
        <f t="shared" si="1"/>
        <v>700</v>
      </c>
      <c r="I27" s="286">
        <f t="shared" si="2"/>
        <v>32571</v>
      </c>
      <c r="J27" s="274"/>
      <c r="K27" s="274"/>
      <c r="L27" s="274"/>
      <c r="M27" s="274"/>
      <c r="N27" s="274"/>
      <c r="O27" s="274"/>
      <c r="P27" s="274"/>
      <c r="Q27" s="287">
        <f t="shared" si="3"/>
        <v>9.3060000000000009</v>
      </c>
      <c r="R27" s="288">
        <f t="shared" si="4"/>
        <v>13.959</v>
      </c>
      <c r="S27" s="288">
        <f t="shared" si="5"/>
        <v>23.265000000000001</v>
      </c>
      <c r="T27" s="289">
        <f t="shared" si="6"/>
        <v>23.265000000000001</v>
      </c>
      <c r="U27" s="289">
        <f t="shared" si="7"/>
        <v>6514.2000000000007</v>
      </c>
      <c r="V27" s="289">
        <f t="shared" si="8"/>
        <v>9771.2999999999993</v>
      </c>
      <c r="W27" s="289">
        <f t="shared" si="9"/>
        <v>16285.5</v>
      </c>
      <c r="X27" s="289">
        <f t="shared" si="10"/>
        <v>16285.5</v>
      </c>
      <c r="Y27" s="290">
        <f t="shared" si="11"/>
        <v>0.3</v>
      </c>
      <c r="Z27" s="274"/>
      <c r="AA27" s="274">
        <v>9.3060000000000009</v>
      </c>
      <c r="AB27" s="274"/>
      <c r="AC27" s="274"/>
      <c r="AD27" s="274"/>
      <c r="AE27" s="274"/>
      <c r="AF27" s="274"/>
      <c r="AG27" s="274"/>
      <c r="AH27" s="274"/>
      <c r="AI27" s="274"/>
      <c r="AJ27" s="289">
        <v>6514.2000000000007</v>
      </c>
      <c r="AK27" s="274"/>
      <c r="AL27" s="274"/>
      <c r="AM27" s="274"/>
      <c r="AN27" s="274"/>
      <c r="AO27" s="274"/>
      <c r="AP27" s="274"/>
      <c r="AQ27" s="274"/>
      <c r="AR27" s="274"/>
      <c r="AS27" s="279">
        <v>0.3</v>
      </c>
      <c r="AT27" s="279"/>
      <c r="AU27" s="279"/>
      <c r="AV27" s="279"/>
      <c r="AW27" s="279"/>
      <c r="AX27" s="279"/>
      <c r="AY27" s="279"/>
      <c r="AZ27" s="279"/>
      <c r="BA27" s="274"/>
      <c r="BB27" s="279">
        <v>0.2</v>
      </c>
      <c r="BC27" s="279">
        <v>0.2</v>
      </c>
      <c r="BD27" s="274"/>
      <c r="BE27" s="274"/>
      <c r="BF27" s="274"/>
      <c r="BG27" s="274"/>
      <c r="BH27" s="274"/>
      <c r="BI27" s="274"/>
    </row>
    <row r="28" spans="1:61" ht="13.8" x14ac:dyDescent="0.25">
      <c r="A28" s="283"/>
      <c r="B28" s="283" t="s">
        <v>191</v>
      </c>
      <c r="C28" s="283">
        <v>1.6</v>
      </c>
      <c r="D28" s="285">
        <f t="shared" si="0"/>
        <v>1.7600000000000002</v>
      </c>
      <c r="E28" s="285" t="s">
        <v>186</v>
      </c>
      <c r="F28" s="286">
        <f>'MATERIAL AND LABOR COST FOR WAL'!$D$13</f>
        <v>825.00000000000011</v>
      </c>
      <c r="G28" s="286">
        <f>'MATERIAL AND LABOR COST FOR WAL'!$F$13</f>
        <v>350</v>
      </c>
      <c r="H28" s="286">
        <f t="shared" si="1"/>
        <v>1175</v>
      </c>
      <c r="I28" s="286">
        <f t="shared" si="2"/>
        <v>2068.0000000000005</v>
      </c>
      <c r="J28" s="274"/>
      <c r="K28" s="274"/>
      <c r="L28" s="274"/>
      <c r="M28" s="274"/>
      <c r="N28" s="274"/>
      <c r="O28" s="274"/>
      <c r="P28" s="274"/>
      <c r="Q28" s="287">
        <f t="shared" si="3"/>
        <v>0.35200000000000009</v>
      </c>
      <c r="R28" s="288">
        <f t="shared" si="4"/>
        <v>0.52800000000000002</v>
      </c>
      <c r="S28" s="288">
        <f t="shared" si="5"/>
        <v>0.88000000000000012</v>
      </c>
      <c r="T28" s="289">
        <f t="shared" si="6"/>
        <v>0.88000000000000012</v>
      </c>
      <c r="U28" s="289">
        <f t="shared" si="7"/>
        <v>413.60000000000014</v>
      </c>
      <c r="V28" s="289">
        <f t="shared" si="8"/>
        <v>620.40000000000009</v>
      </c>
      <c r="W28" s="289">
        <f t="shared" si="9"/>
        <v>1034.0000000000002</v>
      </c>
      <c r="X28" s="289">
        <f t="shared" si="10"/>
        <v>1034.0000000000002</v>
      </c>
      <c r="Y28" s="290">
        <f t="shared" si="11"/>
        <v>0.3</v>
      </c>
      <c r="Z28" s="274"/>
      <c r="AA28" s="274">
        <v>0.35200000000000009</v>
      </c>
      <c r="AB28" s="274"/>
      <c r="AC28" s="274"/>
      <c r="AD28" s="274"/>
      <c r="AE28" s="274"/>
      <c r="AF28" s="274"/>
      <c r="AG28" s="274"/>
      <c r="AH28" s="274"/>
      <c r="AI28" s="274"/>
      <c r="AJ28" s="289">
        <v>413.60000000000014</v>
      </c>
      <c r="AK28" s="274"/>
      <c r="AL28" s="274"/>
      <c r="AM28" s="274"/>
      <c r="AN28" s="274"/>
      <c r="AO28" s="274"/>
      <c r="AP28" s="274"/>
      <c r="AQ28" s="274"/>
      <c r="AR28" s="274"/>
      <c r="AS28" s="279">
        <v>0.3</v>
      </c>
      <c r="AT28" s="279"/>
      <c r="AU28" s="279"/>
      <c r="AV28" s="279"/>
      <c r="AW28" s="279"/>
      <c r="AX28" s="279"/>
      <c r="AY28" s="279"/>
      <c r="AZ28" s="279"/>
      <c r="BA28" s="274"/>
      <c r="BB28" s="279">
        <v>0.2</v>
      </c>
      <c r="BC28" s="279">
        <v>0.2</v>
      </c>
      <c r="BD28" s="274"/>
      <c r="BE28" s="274"/>
      <c r="BF28" s="274"/>
      <c r="BG28" s="274"/>
      <c r="BH28" s="274"/>
      <c r="BI28" s="274"/>
    </row>
    <row r="29" spans="1:61" ht="13.8" x14ac:dyDescent="0.25">
      <c r="A29" s="283"/>
      <c r="B29" s="283" t="s">
        <v>192</v>
      </c>
      <c r="C29" s="283">
        <v>2.5</v>
      </c>
      <c r="D29" s="285">
        <f t="shared" si="0"/>
        <v>2.75</v>
      </c>
      <c r="E29" s="285" t="s">
        <v>186</v>
      </c>
      <c r="F29" s="286">
        <f>'MATERIAL AND LABOR COST FOR WAL'!$D$14</f>
        <v>1375</v>
      </c>
      <c r="G29" s="286">
        <f>'MATERIAL AND LABOR COST FOR WAL'!$F$14</f>
        <v>700</v>
      </c>
      <c r="H29" s="286">
        <f t="shared" si="1"/>
        <v>2075</v>
      </c>
      <c r="I29" s="286">
        <f>D29*H29</f>
        <v>5706.25</v>
      </c>
      <c r="J29" s="274"/>
      <c r="K29" s="274"/>
      <c r="L29" s="274"/>
      <c r="M29" s="274"/>
      <c r="N29" s="274"/>
      <c r="O29" s="274"/>
      <c r="P29" s="274"/>
      <c r="Q29" s="287">
        <f t="shared" si="3"/>
        <v>0.55000000000000004</v>
      </c>
      <c r="R29" s="288">
        <f t="shared" si="4"/>
        <v>0.82499999999999996</v>
      </c>
      <c r="S29" s="288">
        <f t="shared" si="5"/>
        <v>1.375</v>
      </c>
      <c r="T29" s="289">
        <f t="shared" si="6"/>
        <v>1.375</v>
      </c>
      <c r="U29" s="289">
        <f t="shared" si="7"/>
        <v>1141.25</v>
      </c>
      <c r="V29" s="289">
        <f t="shared" si="8"/>
        <v>1711.875</v>
      </c>
      <c r="W29" s="289">
        <f t="shared" si="9"/>
        <v>2853.125</v>
      </c>
      <c r="X29" s="289">
        <f t="shared" si="10"/>
        <v>2853.125</v>
      </c>
      <c r="Y29" s="290">
        <f t="shared" si="11"/>
        <v>0.3</v>
      </c>
      <c r="Z29" s="274"/>
      <c r="AA29" s="274">
        <v>0.55000000000000004</v>
      </c>
      <c r="AB29" s="274"/>
      <c r="AC29" s="274"/>
      <c r="AD29" s="274"/>
      <c r="AE29" s="274"/>
      <c r="AF29" s="274"/>
      <c r="AG29" s="274"/>
      <c r="AH29" s="274"/>
      <c r="AI29" s="274"/>
      <c r="AJ29" s="289">
        <v>1141.25</v>
      </c>
      <c r="AK29" s="274"/>
      <c r="AL29" s="274"/>
      <c r="AM29" s="274"/>
      <c r="AN29" s="274"/>
      <c r="AO29" s="274"/>
      <c r="AP29" s="274"/>
      <c r="AQ29" s="274"/>
      <c r="AR29" s="274"/>
      <c r="AS29" s="279">
        <v>0.3</v>
      </c>
      <c r="AT29" s="279"/>
      <c r="AU29" s="279"/>
      <c r="AV29" s="279"/>
      <c r="AW29" s="279"/>
      <c r="AX29" s="279"/>
      <c r="AY29" s="279"/>
      <c r="AZ29" s="279"/>
      <c r="BA29" s="274"/>
      <c r="BB29" s="279">
        <v>0.2</v>
      </c>
      <c r="BC29" s="279">
        <v>0.2</v>
      </c>
      <c r="BD29" s="274"/>
      <c r="BE29" s="274"/>
      <c r="BF29" s="274"/>
      <c r="BG29" s="274"/>
      <c r="BH29" s="274"/>
      <c r="BI29" s="274"/>
    </row>
    <row r="30" spans="1:61" ht="13.8" x14ac:dyDescent="0.25">
      <c r="A30" s="283"/>
      <c r="B30" s="283"/>
      <c r="C30" s="283"/>
      <c r="D30" s="285"/>
      <c r="E30" s="285"/>
      <c r="F30" s="286"/>
      <c r="G30" s="286"/>
      <c r="H30" s="286"/>
      <c r="I30" s="286"/>
      <c r="J30" s="274"/>
      <c r="K30" s="274"/>
      <c r="L30" s="274"/>
      <c r="M30" s="274"/>
      <c r="N30" s="274"/>
      <c r="O30" s="274"/>
      <c r="P30" s="274"/>
      <c r="Q30" s="281"/>
      <c r="R30" s="32"/>
      <c r="S30" s="32"/>
      <c r="T30" s="30"/>
      <c r="U30" s="289"/>
      <c r="V30" s="30"/>
      <c r="W30" s="30"/>
      <c r="X30" s="30"/>
      <c r="Y30" s="282"/>
      <c r="Z30" s="274"/>
      <c r="AA30" s="274"/>
      <c r="AB30" s="274"/>
      <c r="AC30" s="274"/>
      <c r="AD30" s="274"/>
      <c r="AE30" s="274"/>
      <c r="AF30" s="274"/>
      <c r="AG30" s="274"/>
      <c r="AH30" s="274"/>
      <c r="AI30" s="274"/>
      <c r="AJ30" s="30"/>
      <c r="AK30" s="274"/>
      <c r="AL30" s="274"/>
      <c r="AM30" s="274"/>
      <c r="AN30" s="274"/>
      <c r="AO30" s="274"/>
      <c r="AP30" s="274"/>
      <c r="AQ30" s="274"/>
      <c r="AR30" s="274"/>
      <c r="AS30" s="279"/>
      <c r="AT30" s="279"/>
      <c r="AU30" s="279"/>
      <c r="AV30" s="279"/>
      <c r="AW30" s="279"/>
      <c r="AX30" s="279"/>
      <c r="AY30" s="279"/>
      <c r="AZ30" s="279"/>
      <c r="BA30" s="274"/>
      <c r="BB30" s="279"/>
      <c r="BC30" s="279"/>
      <c r="BD30" s="274"/>
      <c r="BE30" s="274"/>
      <c r="BF30" s="274"/>
      <c r="BG30" s="274"/>
      <c r="BH30" s="274"/>
      <c r="BI30" s="274"/>
    </row>
    <row r="31" spans="1:61" ht="13.8" x14ac:dyDescent="0.25">
      <c r="A31" s="283"/>
      <c r="B31" s="284" t="s">
        <v>193</v>
      </c>
      <c r="C31" s="283"/>
      <c r="D31" s="285"/>
      <c r="E31" s="285"/>
      <c r="F31" s="286">
        <f>'MATERIAL AND LABOR COST FOR WAL'!D15</f>
        <v>0</v>
      </c>
      <c r="G31" s="286"/>
      <c r="H31" s="286"/>
      <c r="I31" s="286"/>
      <c r="J31" s="274"/>
      <c r="K31" s="274"/>
      <c r="L31" s="274"/>
      <c r="M31" s="274"/>
      <c r="N31" s="274"/>
      <c r="O31" s="274"/>
      <c r="P31" s="274"/>
      <c r="Q31" s="281"/>
      <c r="R31" s="32"/>
      <c r="S31" s="32"/>
      <c r="T31" s="30"/>
      <c r="U31" s="289"/>
      <c r="V31" s="30"/>
      <c r="W31" s="30"/>
      <c r="X31" s="30"/>
      <c r="Y31" s="282"/>
      <c r="Z31" s="274"/>
      <c r="AA31" s="274"/>
      <c r="AB31" s="274"/>
      <c r="AC31" s="274"/>
      <c r="AD31" s="274"/>
      <c r="AE31" s="274"/>
      <c r="AF31" s="274"/>
      <c r="AG31" s="274"/>
      <c r="AH31" s="274"/>
      <c r="AI31" s="274"/>
      <c r="AJ31" s="30"/>
      <c r="AK31" s="274"/>
      <c r="AL31" s="274"/>
      <c r="AM31" s="274"/>
      <c r="AN31" s="274"/>
      <c r="AO31" s="274"/>
      <c r="AP31" s="274"/>
      <c r="AQ31" s="274"/>
      <c r="AR31" s="274"/>
      <c r="AS31" s="279"/>
      <c r="AT31" s="279"/>
      <c r="AU31" s="279"/>
      <c r="AV31" s="279"/>
      <c r="AW31" s="279"/>
      <c r="AX31" s="279"/>
      <c r="AY31" s="279"/>
      <c r="AZ31" s="279"/>
      <c r="BA31" s="274"/>
      <c r="BB31" s="279"/>
      <c r="BC31" s="279"/>
      <c r="BD31" s="274"/>
      <c r="BE31" s="274"/>
      <c r="BF31" s="274"/>
      <c r="BG31" s="274"/>
      <c r="BH31" s="274"/>
      <c r="BI31" s="274"/>
    </row>
    <row r="32" spans="1:61" ht="13.8" x14ac:dyDescent="0.25">
      <c r="A32" s="283"/>
      <c r="B32" s="283" t="s">
        <v>194</v>
      </c>
      <c r="C32" s="283">
        <v>15</v>
      </c>
      <c r="D32" s="285">
        <f t="shared" ref="D32:D35" si="12">C32*$K$20</f>
        <v>16.5</v>
      </c>
      <c r="E32" s="285" t="s">
        <v>186</v>
      </c>
      <c r="F32" s="286">
        <f>'MATERIAL AND LABOR COST FOR WAL'!$D$16</f>
        <v>825.00000000000011</v>
      </c>
      <c r="G32" s="286">
        <f>'MATERIAL AND LABOR COST FOR WAL'!$F$16</f>
        <v>350</v>
      </c>
      <c r="H32" s="286">
        <f t="shared" ref="H32:H35" si="13">SUM(F32,G32)</f>
        <v>1175</v>
      </c>
      <c r="I32" s="286">
        <f t="shared" ref="I32:I35" si="14">H32*D32</f>
        <v>19387.5</v>
      </c>
      <c r="J32" s="274"/>
      <c r="K32" s="274"/>
      <c r="L32" s="274"/>
      <c r="M32" s="274"/>
      <c r="N32" s="274"/>
      <c r="O32" s="274"/>
      <c r="P32" s="274"/>
      <c r="Q32" s="287">
        <f t="shared" ref="Q32:Q35" si="15">SUM(AA32:AH32)</f>
        <v>1.6500000000000001</v>
      </c>
      <c r="R32" s="288">
        <f t="shared" ref="R32:R35" si="16">Y32*D32</f>
        <v>4.95</v>
      </c>
      <c r="S32" s="288">
        <f t="shared" ref="S32:S35" si="17">SUM(Q32:R32)</f>
        <v>6.6000000000000005</v>
      </c>
      <c r="T32" s="289">
        <f t="shared" ref="T32:T35" si="18">D32-S32</f>
        <v>9.8999999999999986</v>
      </c>
      <c r="U32" s="289">
        <f t="shared" ref="U32:U35" si="19">SUM(AJ32:AQ32)</f>
        <v>1938.75</v>
      </c>
      <c r="V32" s="289">
        <f t="shared" ref="V32:V35" si="20">Y32*I32</f>
        <v>5816.25</v>
      </c>
      <c r="W32" s="289">
        <f t="shared" ref="W32:W35" si="21">SUM(U32:V32)</f>
        <v>7755</v>
      </c>
      <c r="X32" s="289">
        <f t="shared" ref="X32:X35" si="22">I32-W32</f>
        <v>11632.5</v>
      </c>
      <c r="Y32" s="290">
        <f t="shared" ref="Y32:Y35" si="23">SUM(AS32:AZ32)</f>
        <v>0.3</v>
      </c>
      <c r="Z32" s="274"/>
      <c r="AA32" s="274">
        <v>1.6500000000000001</v>
      </c>
      <c r="AB32" s="274"/>
      <c r="AC32" s="274"/>
      <c r="AD32" s="274"/>
      <c r="AE32" s="274"/>
      <c r="AF32" s="274"/>
      <c r="AG32" s="274"/>
      <c r="AH32" s="274"/>
      <c r="AI32" s="274"/>
      <c r="AJ32" s="289">
        <v>1938.75</v>
      </c>
      <c r="AK32" s="274"/>
      <c r="AL32" s="274"/>
      <c r="AM32" s="274"/>
      <c r="AN32" s="274"/>
      <c r="AO32" s="274"/>
      <c r="AP32" s="274"/>
      <c r="AQ32" s="274"/>
      <c r="AR32" s="274"/>
      <c r="AS32" s="279">
        <v>0.3</v>
      </c>
      <c r="AT32" s="279"/>
      <c r="AU32" s="279"/>
      <c r="AV32" s="279"/>
      <c r="AW32" s="279"/>
      <c r="AX32" s="279"/>
      <c r="AY32" s="279"/>
      <c r="AZ32" s="279"/>
      <c r="BA32" s="274"/>
      <c r="BB32" s="279">
        <v>0.1</v>
      </c>
      <c r="BC32" s="279">
        <v>0.1</v>
      </c>
      <c r="BD32" s="274"/>
      <c r="BE32" s="274"/>
      <c r="BF32" s="274"/>
      <c r="BG32" s="274"/>
      <c r="BH32" s="274"/>
      <c r="BI32" s="274"/>
    </row>
    <row r="33" spans="1:61" ht="13.8" x14ac:dyDescent="0.25">
      <c r="A33" s="283"/>
      <c r="B33" s="283" t="s">
        <v>195</v>
      </c>
      <c r="C33" s="283">
        <v>3.8</v>
      </c>
      <c r="D33" s="285">
        <f t="shared" si="12"/>
        <v>4.18</v>
      </c>
      <c r="E33" s="285" t="s">
        <v>186</v>
      </c>
      <c r="F33" s="286">
        <f>'MATERIAL AND LABOR COST FOR WAL'!$D$17</f>
        <v>2150</v>
      </c>
      <c r="G33" s="286">
        <f>'MATERIAL AND LABOR COST FOR WAL'!$F$17</f>
        <v>1200</v>
      </c>
      <c r="H33" s="286">
        <f t="shared" si="13"/>
        <v>3350</v>
      </c>
      <c r="I33" s="286">
        <f t="shared" si="14"/>
        <v>14002.999999999998</v>
      </c>
      <c r="J33" s="274"/>
      <c r="K33" s="274"/>
      <c r="L33" s="274"/>
      <c r="M33" s="274"/>
      <c r="N33" s="274"/>
      <c r="O33" s="274"/>
      <c r="P33" s="274"/>
      <c r="Q33" s="287">
        <f t="shared" si="15"/>
        <v>0.41799999999999998</v>
      </c>
      <c r="R33" s="288">
        <f t="shared" si="16"/>
        <v>1.2539999999999998</v>
      </c>
      <c r="S33" s="288">
        <f t="shared" si="17"/>
        <v>1.6719999999999997</v>
      </c>
      <c r="T33" s="289">
        <f t="shared" si="18"/>
        <v>2.508</v>
      </c>
      <c r="U33" s="289">
        <f t="shared" si="19"/>
        <v>1400.3</v>
      </c>
      <c r="V33" s="289">
        <f t="shared" si="20"/>
        <v>4200.8999999999996</v>
      </c>
      <c r="W33" s="289">
        <f t="shared" si="21"/>
        <v>5601.2</v>
      </c>
      <c r="X33" s="289">
        <f t="shared" si="22"/>
        <v>8401.7999999999993</v>
      </c>
      <c r="Y33" s="290">
        <f t="shared" si="23"/>
        <v>0.3</v>
      </c>
      <c r="Z33" s="274"/>
      <c r="AA33" s="274">
        <v>0.41799999999999998</v>
      </c>
      <c r="AB33" s="274"/>
      <c r="AC33" s="274"/>
      <c r="AD33" s="274"/>
      <c r="AE33" s="274"/>
      <c r="AF33" s="274"/>
      <c r="AG33" s="274"/>
      <c r="AH33" s="274"/>
      <c r="AI33" s="274"/>
      <c r="AJ33" s="289">
        <v>1400.3</v>
      </c>
      <c r="AK33" s="274"/>
      <c r="AL33" s="274"/>
      <c r="AM33" s="274"/>
      <c r="AN33" s="274"/>
      <c r="AO33" s="274"/>
      <c r="AP33" s="274"/>
      <c r="AQ33" s="274"/>
      <c r="AR33" s="274"/>
      <c r="AS33" s="279">
        <v>0.3</v>
      </c>
      <c r="AT33" s="279"/>
      <c r="AU33" s="279"/>
      <c r="AV33" s="279"/>
      <c r="AW33" s="279"/>
      <c r="AX33" s="279"/>
      <c r="AY33" s="279"/>
      <c r="AZ33" s="279"/>
      <c r="BA33" s="274"/>
      <c r="BB33" s="279">
        <v>0.1</v>
      </c>
      <c r="BC33" s="279">
        <v>0.1</v>
      </c>
      <c r="BD33" s="274"/>
      <c r="BE33" s="274"/>
      <c r="BF33" s="274"/>
      <c r="BG33" s="274"/>
      <c r="BH33" s="274"/>
      <c r="BI33" s="274"/>
    </row>
    <row r="34" spans="1:61" ht="26.4" x14ac:dyDescent="0.25">
      <c r="A34" s="291"/>
      <c r="B34" s="291" t="s">
        <v>196</v>
      </c>
      <c r="C34" s="291">
        <v>3.7</v>
      </c>
      <c r="D34" s="292">
        <f t="shared" si="12"/>
        <v>4.07</v>
      </c>
      <c r="E34" s="292" t="s">
        <v>186</v>
      </c>
      <c r="F34" s="286">
        <f>'MATERIAL AND LABOR COST FOR WAL'!$D$18</f>
        <v>1375</v>
      </c>
      <c r="G34" s="286">
        <f>'MATERIAL AND LABOR COST FOR WAL'!$F$18</f>
        <v>700</v>
      </c>
      <c r="H34" s="286">
        <f t="shared" si="13"/>
        <v>2075</v>
      </c>
      <c r="I34" s="286">
        <f t="shared" si="14"/>
        <v>8445.25</v>
      </c>
      <c r="J34" s="263"/>
      <c r="K34" s="263"/>
      <c r="L34" s="263"/>
      <c r="M34" s="263"/>
      <c r="N34" s="263"/>
      <c r="O34" s="263"/>
      <c r="P34" s="263"/>
      <c r="Q34" s="287">
        <f t="shared" si="15"/>
        <v>0.40700000000000003</v>
      </c>
      <c r="R34" s="288">
        <f t="shared" si="16"/>
        <v>1.2210000000000001</v>
      </c>
      <c r="S34" s="288">
        <f t="shared" si="17"/>
        <v>1.6280000000000001</v>
      </c>
      <c r="T34" s="289">
        <f t="shared" si="18"/>
        <v>2.4420000000000002</v>
      </c>
      <c r="U34" s="289">
        <f t="shared" si="19"/>
        <v>844.52500000000009</v>
      </c>
      <c r="V34" s="289">
        <f t="shared" si="20"/>
        <v>2533.5749999999998</v>
      </c>
      <c r="W34" s="289">
        <f t="shared" si="21"/>
        <v>3378.1</v>
      </c>
      <c r="X34" s="289">
        <f t="shared" si="22"/>
        <v>5067.1499999999996</v>
      </c>
      <c r="Y34" s="290">
        <f t="shared" si="23"/>
        <v>0.3</v>
      </c>
      <c r="Z34" s="263"/>
      <c r="AA34" s="263">
        <v>0.40700000000000003</v>
      </c>
      <c r="AB34" s="263"/>
      <c r="AC34" s="263"/>
      <c r="AD34" s="263"/>
      <c r="AE34" s="263"/>
      <c r="AF34" s="263"/>
      <c r="AG34" s="263"/>
      <c r="AH34" s="263"/>
      <c r="AI34" s="263"/>
      <c r="AJ34" s="289">
        <v>844.52500000000009</v>
      </c>
      <c r="AK34" s="263"/>
      <c r="AL34" s="263"/>
      <c r="AM34" s="263"/>
      <c r="AN34" s="263"/>
      <c r="AO34" s="263"/>
      <c r="AP34" s="263"/>
      <c r="AQ34" s="263"/>
      <c r="AR34" s="263"/>
      <c r="AS34" s="279">
        <v>0.3</v>
      </c>
      <c r="AT34" s="293"/>
      <c r="AU34" s="293"/>
      <c r="AV34" s="293"/>
      <c r="AW34" s="293"/>
      <c r="AX34" s="293"/>
      <c r="AY34" s="293"/>
      <c r="AZ34" s="293"/>
      <c r="BA34" s="263"/>
      <c r="BB34" s="279">
        <v>0.1</v>
      </c>
      <c r="BC34" s="279">
        <v>0.1</v>
      </c>
      <c r="BD34" s="263"/>
      <c r="BE34" s="263"/>
      <c r="BF34" s="263"/>
      <c r="BG34" s="263"/>
      <c r="BH34" s="263"/>
      <c r="BI34" s="263"/>
    </row>
    <row r="35" spans="1:61" ht="13.8" x14ac:dyDescent="0.25">
      <c r="A35" s="283"/>
      <c r="B35" s="283" t="s">
        <v>197</v>
      </c>
      <c r="C35" s="283">
        <v>7.1</v>
      </c>
      <c r="D35" s="285">
        <f t="shared" si="12"/>
        <v>7.8100000000000005</v>
      </c>
      <c r="E35" s="285" t="s">
        <v>186</v>
      </c>
      <c r="F35" s="286">
        <f>'MATERIAL AND LABOR COST FOR WAL'!$D$19</f>
        <v>350</v>
      </c>
      <c r="G35" s="286">
        <f>'MATERIAL AND LABOR COST FOR WAL'!$F$19</f>
        <v>350</v>
      </c>
      <c r="H35" s="286">
        <f t="shared" si="13"/>
        <v>700</v>
      </c>
      <c r="I35" s="286">
        <f t="shared" si="14"/>
        <v>5467</v>
      </c>
      <c r="J35" s="274"/>
      <c r="K35" s="274"/>
      <c r="L35" s="274"/>
      <c r="M35" s="274"/>
      <c r="N35" s="274"/>
      <c r="O35" s="274"/>
      <c r="P35" s="274"/>
      <c r="Q35" s="287">
        <f t="shared" si="15"/>
        <v>0.78100000000000014</v>
      </c>
      <c r="R35" s="288">
        <f t="shared" si="16"/>
        <v>2.343</v>
      </c>
      <c r="S35" s="288">
        <f t="shared" si="17"/>
        <v>3.1240000000000001</v>
      </c>
      <c r="T35" s="289">
        <f t="shared" si="18"/>
        <v>4.6859999999999999</v>
      </c>
      <c r="U35" s="289">
        <f t="shared" si="19"/>
        <v>546.70000000000005</v>
      </c>
      <c r="V35" s="289">
        <f t="shared" si="20"/>
        <v>1640.1</v>
      </c>
      <c r="W35" s="289">
        <f t="shared" si="21"/>
        <v>2186.8000000000002</v>
      </c>
      <c r="X35" s="289">
        <f t="shared" si="22"/>
        <v>3280.2</v>
      </c>
      <c r="Y35" s="290">
        <f t="shared" si="23"/>
        <v>0.3</v>
      </c>
      <c r="Z35" s="274"/>
      <c r="AA35" s="274">
        <v>0.78100000000000014</v>
      </c>
      <c r="AB35" s="274"/>
      <c r="AC35" s="274"/>
      <c r="AD35" s="274"/>
      <c r="AE35" s="274"/>
      <c r="AF35" s="274"/>
      <c r="AG35" s="274"/>
      <c r="AH35" s="274"/>
      <c r="AI35" s="274"/>
      <c r="AJ35" s="289">
        <v>546.70000000000005</v>
      </c>
      <c r="AK35" s="274"/>
      <c r="AL35" s="274"/>
      <c r="AM35" s="274"/>
      <c r="AN35" s="274"/>
      <c r="AO35" s="274"/>
      <c r="AP35" s="274"/>
      <c r="AQ35" s="274"/>
      <c r="AR35" s="274"/>
      <c r="AS35" s="279">
        <v>0.3</v>
      </c>
      <c r="AT35" s="279"/>
      <c r="AU35" s="279"/>
      <c r="AV35" s="279"/>
      <c r="AW35" s="279"/>
      <c r="AX35" s="279"/>
      <c r="AY35" s="279"/>
      <c r="AZ35" s="279"/>
      <c r="BA35" s="274"/>
      <c r="BB35" s="279">
        <v>0.1</v>
      </c>
      <c r="BC35" s="279">
        <v>0.1</v>
      </c>
      <c r="BD35" s="274"/>
      <c r="BE35" s="274"/>
      <c r="BF35" s="274"/>
      <c r="BG35" s="274"/>
      <c r="BH35" s="274"/>
      <c r="BI35" s="274"/>
    </row>
    <row r="36" spans="1:61" ht="13.8" x14ac:dyDescent="0.25">
      <c r="A36" s="283"/>
      <c r="B36" s="283"/>
      <c r="C36" s="283"/>
      <c r="D36" s="285"/>
      <c r="E36" s="285"/>
      <c r="F36" s="286"/>
      <c r="G36" s="286"/>
      <c r="H36" s="286"/>
      <c r="I36" s="286"/>
      <c r="J36" s="274"/>
      <c r="K36" s="274"/>
      <c r="L36" s="274"/>
      <c r="M36" s="274"/>
      <c r="N36" s="274"/>
      <c r="O36" s="274"/>
      <c r="P36" s="274"/>
      <c r="Q36" s="281"/>
      <c r="R36" s="32"/>
      <c r="S36" s="32"/>
      <c r="T36" s="30"/>
      <c r="U36" s="289"/>
      <c r="V36" s="30"/>
      <c r="W36" s="30"/>
      <c r="X36" s="30"/>
      <c r="Y36" s="282"/>
      <c r="Z36" s="274"/>
      <c r="AA36" s="274"/>
      <c r="AB36" s="274"/>
      <c r="AC36" s="274"/>
      <c r="AD36" s="274"/>
      <c r="AE36" s="274"/>
      <c r="AF36" s="274"/>
      <c r="AG36" s="274"/>
      <c r="AH36" s="274"/>
      <c r="AI36" s="274"/>
      <c r="AJ36" s="30"/>
      <c r="AK36" s="274"/>
      <c r="AL36" s="274"/>
      <c r="AM36" s="274"/>
      <c r="AN36" s="274"/>
      <c r="AO36" s="274"/>
      <c r="AP36" s="274"/>
      <c r="AQ36" s="274"/>
      <c r="AR36" s="274"/>
      <c r="AS36" s="279"/>
      <c r="AT36" s="279"/>
      <c r="AU36" s="279"/>
      <c r="AV36" s="279"/>
      <c r="AW36" s="279"/>
      <c r="AX36" s="279"/>
      <c r="AY36" s="279"/>
      <c r="AZ36" s="279"/>
      <c r="BA36" s="274"/>
      <c r="BB36" s="279"/>
      <c r="BC36" s="279"/>
      <c r="BD36" s="274"/>
      <c r="BE36" s="274"/>
      <c r="BF36" s="274"/>
      <c r="BG36" s="274"/>
      <c r="BH36" s="274"/>
      <c r="BI36" s="274"/>
    </row>
    <row r="37" spans="1:61" ht="13.8" x14ac:dyDescent="0.25">
      <c r="A37" s="283"/>
      <c r="B37" s="284" t="s">
        <v>122</v>
      </c>
      <c r="C37" s="283"/>
      <c r="D37" s="285"/>
      <c r="E37" s="285"/>
      <c r="F37" s="286"/>
      <c r="G37" s="286"/>
      <c r="H37" s="286"/>
      <c r="I37" s="286"/>
      <c r="J37" s="274"/>
      <c r="K37" s="274"/>
      <c r="L37" s="274"/>
      <c r="M37" s="274"/>
      <c r="N37" s="274"/>
      <c r="O37" s="274"/>
      <c r="P37" s="274"/>
      <c r="Q37" s="281"/>
      <c r="R37" s="32"/>
      <c r="S37" s="32"/>
      <c r="T37" s="30"/>
      <c r="U37" s="289"/>
      <c r="V37" s="30"/>
      <c r="W37" s="30"/>
      <c r="X37" s="30"/>
      <c r="Y37" s="282"/>
      <c r="Z37" s="274"/>
      <c r="AA37" s="274"/>
      <c r="AB37" s="274"/>
      <c r="AC37" s="274"/>
      <c r="AD37" s="274"/>
      <c r="AE37" s="274"/>
      <c r="AF37" s="274"/>
      <c r="AG37" s="274"/>
      <c r="AH37" s="274"/>
      <c r="AI37" s="274"/>
      <c r="AJ37" s="30"/>
      <c r="AK37" s="274"/>
      <c r="AL37" s="274"/>
      <c r="AM37" s="274"/>
      <c r="AN37" s="274"/>
      <c r="AO37" s="274"/>
      <c r="AP37" s="274"/>
      <c r="AQ37" s="274"/>
      <c r="AR37" s="274"/>
      <c r="AS37" s="279"/>
      <c r="AT37" s="279"/>
      <c r="AU37" s="279"/>
      <c r="AV37" s="279"/>
      <c r="AW37" s="279"/>
      <c r="AX37" s="279"/>
      <c r="AY37" s="279"/>
      <c r="AZ37" s="279"/>
      <c r="BA37" s="274"/>
      <c r="BB37" s="279"/>
      <c r="BC37" s="279"/>
      <c r="BD37" s="274"/>
      <c r="BE37" s="274"/>
      <c r="BF37" s="274"/>
      <c r="BG37" s="274"/>
      <c r="BH37" s="274"/>
      <c r="BI37" s="274"/>
    </row>
    <row r="38" spans="1:61" ht="13.8" x14ac:dyDescent="0.25">
      <c r="A38" s="283"/>
      <c r="B38" s="283" t="s">
        <v>198</v>
      </c>
      <c r="C38" s="283">
        <v>22</v>
      </c>
      <c r="D38" s="285">
        <f>C38*$K$20</f>
        <v>24.200000000000003</v>
      </c>
      <c r="E38" s="285" t="s">
        <v>186</v>
      </c>
      <c r="F38" s="286">
        <f>'MATERIAL AND LABOR COST FOR WAL'!$D$20</f>
        <v>550</v>
      </c>
      <c r="G38" s="286">
        <f>'MATERIAL AND LABOR COST FOR WAL'!$F$20</f>
        <v>350</v>
      </c>
      <c r="H38" s="286">
        <f>SUM(F38,G38)</f>
        <v>900</v>
      </c>
      <c r="I38" s="286">
        <f>D38*H38</f>
        <v>21780.000000000004</v>
      </c>
      <c r="J38" s="274"/>
      <c r="K38" s="274"/>
      <c r="L38" s="274"/>
      <c r="M38" s="274"/>
      <c r="N38" s="274"/>
      <c r="O38" s="274"/>
      <c r="P38" s="274"/>
      <c r="Q38" s="287">
        <f t="shared" ref="Q38:Q39" si="24">SUM(AA38:AH38)</f>
        <v>2.4200000000000004</v>
      </c>
      <c r="R38" s="288">
        <f t="shared" ref="R38:R39" si="25">Y38*D38</f>
        <v>14.520000000000001</v>
      </c>
      <c r="S38" s="288">
        <f t="shared" ref="S38:S39" si="26">SUM(Q38:R38)</f>
        <v>16.940000000000001</v>
      </c>
      <c r="T38" s="289">
        <f t="shared" ref="T38:T39" si="27">D38-S38</f>
        <v>7.2600000000000016</v>
      </c>
      <c r="U38" s="289">
        <f t="shared" ref="U38:U39" si="28">SUM(AJ38:AQ38)</f>
        <v>2178.0000000000005</v>
      </c>
      <c r="V38" s="289">
        <f t="shared" ref="V38:V39" si="29">Y38*I38</f>
        <v>13068.000000000002</v>
      </c>
      <c r="W38" s="289">
        <f t="shared" ref="W38:W39" si="30">SUM(U38:V38)</f>
        <v>15246.000000000002</v>
      </c>
      <c r="X38" s="289">
        <f t="shared" ref="X38:X39" si="31">I38-W38</f>
        <v>6534.0000000000018</v>
      </c>
      <c r="Y38" s="290">
        <f t="shared" ref="Y38:Y39" si="32">SUM(AS38:AZ38)</f>
        <v>0.6</v>
      </c>
      <c r="Z38" s="274"/>
      <c r="AA38" s="274">
        <v>2.4200000000000004</v>
      </c>
      <c r="AB38" s="274"/>
      <c r="AC38" s="274"/>
      <c r="AD38" s="274"/>
      <c r="AE38" s="274"/>
      <c r="AF38" s="274"/>
      <c r="AG38" s="274"/>
      <c r="AH38" s="274"/>
      <c r="AI38" s="274"/>
      <c r="AJ38" s="289">
        <v>2178.0000000000005</v>
      </c>
      <c r="AK38" s="274"/>
      <c r="AL38" s="274"/>
      <c r="AM38" s="274"/>
      <c r="AN38" s="274"/>
      <c r="AO38" s="274"/>
      <c r="AP38" s="274"/>
      <c r="AQ38" s="274"/>
      <c r="AR38" s="274"/>
      <c r="AS38" s="279">
        <v>0.6</v>
      </c>
      <c r="AT38" s="279"/>
      <c r="AU38" s="279"/>
      <c r="AV38" s="279"/>
      <c r="AW38" s="279"/>
      <c r="AX38" s="279"/>
      <c r="AY38" s="279"/>
      <c r="AZ38" s="279"/>
      <c r="BA38" s="274"/>
      <c r="BB38" s="279">
        <v>0.1</v>
      </c>
      <c r="BC38" s="279">
        <v>0.1</v>
      </c>
      <c r="BD38" s="274"/>
      <c r="BE38" s="274"/>
      <c r="BF38" s="274"/>
      <c r="BG38" s="274"/>
      <c r="BH38" s="274"/>
      <c r="BI38" s="274"/>
    </row>
    <row r="39" spans="1:61" ht="13.8" x14ac:dyDescent="0.25">
      <c r="A39" s="283"/>
      <c r="B39" s="283" t="s">
        <v>129</v>
      </c>
      <c r="C39" s="283"/>
      <c r="D39" s="285">
        <v>1</v>
      </c>
      <c r="E39" s="285" t="s">
        <v>94</v>
      </c>
      <c r="F39" s="286"/>
      <c r="G39" s="286"/>
      <c r="H39" s="286"/>
      <c r="I39" s="286">
        <f>SUM(I22:I38)*$K$22</f>
        <v>21020.560000000001</v>
      </c>
      <c r="J39" s="274"/>
      <c r="K39" s="274"/>
      <c r="L39" s="274"/>
      <c r="M39" s="274"/>
      <c r="N39" s="274"/>
      <c r="O39" s="274"/>
      <c r="P39" s="274"/>
      <c r="Q39" s="287">
        <f t="shared" si="24"/>
        <v>0.1</v>
      </c>
      <c r="R39" s="288">
        <f t="shared" si="25"/>
        <v>0.6</v>
      </c>
      <c r="S39" s="288">
        <f t="shared" si="26"/>
        <v>0.7</v>
      </c>
      <c r="T39" s="289">
        <f t="shared" si="27"/>
        <v>0.30000000000000004</v>
      </c>
      <c r="U39" s="289">
        <f t="shared" si="28"/>
        <v>2102.056</v>
      </c>
      <c r="V39" s="289">
        <f t="shared" si="29"/>
        <v>12612.336000000001</v>
      </c>
      <c r="W39" s="289">
        <f t="shared" si="30"/>
        <v>14714.392000000002</v>
      </c>
      <c r="X39" s="289">
        <f t="shared" si="31"/>
        <v>6306.1679999999997</v>
      </c>
      <c r="Y39" s="290">
        <f t="shared" si="32"/>
        <v>0.6</v>
      </c>
      <c r="Z39" s="274"/>
      <c r="AA39" s="274">
        <v>0.1</v>
      </c>
      <c r="AB39" s="274"/>
      <c r="AC39" s="274"/>
      <c r="AD39" s="274"/>
      <c r="AE39" s="274"/>
      <c r="AF39" s="274"/>
      <c r="AG39" s="274"/>
      <c r="AH39" s="274"/>
      <c r="AI39" s="274"/>
      <c r="AJ39" s="289">
        <v>2102.056</v>
      </c>
      <c r="AK39" s="274"/>
      <c r="AL39" s="274"/>
      <c r="AM39" s="274"/>
      <c r="AN39" s="274"/>
      <c r="AO39" s="274"/>
      <c r="AP39" s="274"/>
      <c r="AQ39" s="274"/>
      <c r="AR39" s="274"/>
      <c r="AS39" s="279">
        <v>0.6</v>
      </c>
      <c r="AT39" s="279"/>
      <c r="AU39" s="279"/>
      <c r="AV39" s="279"/>
      <c r="AW39" s="279"/>
      <c r="AX39" s="279"/>
      <c r="AY39" s="279"/>
      <c r="AZ39" s="279"/>
      <c r="BA39" s="274"/>
      <c r="BB39" s="279">
        <v>0.1</v>
      </c>
      <c r="BC39" s="279">
        <v>0.1</v>
      </c>
      <c r="BD39" s="274"/>
      <c r="BE39" s="274"/>
      <c r="BF39" s="274"/>
      <c r="BG39" s="274"/>
      <c r="BH39" s="274"/>
      <c r="BI39" s="274"/>
    </row>
    <row r="40" spans="1:61" x14ac:dyDescent="0.25">
      <c r="A40" s="294"/>
      <c r="B40" s="521" t="s">
        <v>199</v>
      </c>
      <c r="C40" s="501"/>
      <c r="D40" s="501"/>
      <c r="E40" s="501"/>
      <c r="F40" s="501"/>
      <c r="G40" s="501"/>
      <c r="H40" s="502"/>
      <c r="I40" s="295">
        <f>SUM(I22:I39)</f>
        <v>231226.16</v>
      </c>
      <c r="J40" s="296"/>
      <c r="K40" s="296"/>
      <c r="L40" s="296"/>
      <c r="M40" s="296"/>
      <c r="N40" s="296"/>
      <c r="O40" s="296"/>
      <c r="P40" s="296"/>
      <c r="Q40" s="297">
        <f t="shared" ref="Q40:X40" si="33">SUM(Q22:Q39)</f>
        <v>24.740000000000002</v>
      </c>
      <c r="R40" s="298">
        <f t="shared" si="33"/>
        <v>53.334000000000003</v>
      </c>
      <c r="S40" s="298">
        <f t="shared" si="33"/>
        <v>78.074000000000012</v>
      </c>
      <c r="T40" s="299">
        <f t="shared" si="33"/>
        <v>74.506</v>
      </c>
      <c r="U40" s="299">
        <f t="shared" si="33"/>
        <v>37234.900999999998</v>
      </c>
      <c r="V40" s="299">
        <f t="shared" si="33"/>
        <v>82208.016000000003</v>
      </c>
      <c r="W40" s="299">
        <f t="shared" si="33"/>
        <v>119442.91700000002</v>
      </c>
      <c r="X40" s="299">
        <f t="shared" si="33"/>
        <v>111783.243</v>
      </c>
      <c r="Y40" s="300">
        <f>SUM(Y22:Y39)/COUNT(Y22:Y39)</f>
        <v>0.3428571428571428</v>
      </c>
      <c r="Z40" s="296"/>
      <c r="AA40" s="296">
        <v>24.740000000000002</v>
      </c>
      <c r="AB40" s="296"/>
      <c r="AC40" s="296"/>
      <c r="AD40" s="296"/>
      <c r="AE40" s="296"/>
      <c r="AF40" s="296"/>
      <c r="AG40" s="296"/>
      <c r="AH40" s="296"/>
      <c r="AI40" s="296"/>
      <c r="AJ40" s="299">
        <v>37234.900999999998</v>
      </c>
      <c r="AK40" s="296"/>
      <c r="AL40" s="296"/>
      <c r="AM40" s="296"/>
      <c r="AN40" s="296"/>
      <c r="AO40" s="296"/>
      <c r="AP40" s="296"/>
      <c r="AQ40" s="296"/>
      <c r="AR40" s="296"/>
      <c r="AS40" s="301"/>
      <c r="AT40" s="301"/>
      <c r="AU40" s="301"/>
      <c r="AV40" s="301"/>
      <c r="AW40" s="301"/>
      <c r="AX40" s="301"/>
      <c r="AY40" s="301"/>
      <c r="AZ40" s="301"/>
      <c r="BA40" s="296"/>
      <c r="BB40" s="300">
        <f>SUM(BB22:BB39)/COUNT(BB22:BB39)</f>
        <v>0.15714285714285717</v>
      </c>
      <c r="BC40" s="300">
        <f>SUM(BC22:BC39)/COUNT(BC22:BC39)</f>
        <v>0.15714285714285717</v>
      </c>
      <c r="BD40" s="296"/>
      <c r="BE40" s="296"/>
      <c r="BF40" s="296"/>
      <c r="BG40" s="296"/>
      <c r="BH40" s="296"/>
      <c r="BI40" s="296"/>
    </row>
    <row r="41" spans="1:61" ht="13.8" x14ac:dyDescent="0.25">
      <c r="A41" s="283"/>
      <c r="B41" s="283"/>
      <c r="C41" s="283"/>
      <c r="D41" s="285"/>
      <c r="E41" s="285"/>
      <c r="F41" s="286"/>
      <c r="G41" s="286"/>
      <c r="H41" s="286"/>
      <c r="I41" s="286"/>
      <c r="J41" s="274"/>
      <c r="K41" s="274"/>
      <c r="L41" s="274"/>
      <c r="M41" s="274"/>
      <c r="N41" s="274"/>
      <c r="O41" s="274"/>
      <c r="P41" s="274"/>
      <c r="Q41" s="281"/>
      <c r="R41" s="32"/>
      <c r="S41" s="32"/>
      <c r="T41" s="30"/>
      <c r="U41" s="289"/>
      <c r="V41" s="30"/>
      <c r="W41" s="30"/>
      <c r="X41" s="30"/>
      <c r="Y41" s="282"/>
      <c r="Z41" s="274"/>
      <c r="AA41" s="274"/>
      <c r="AB41" s="274"/>
      <c r="AC41" s="274"/>
      <c r="AD41" s="274"/>
      <c r="AE41" s="274"/>
      <c r="AF41" s="274"/>
      <c r="AG41" s="274"/>
      <c r="AH41" s="274"/>
      <c r="AI41" s="274"/>
      <c r="AJ41" s="30"/>
      <c r="AK41" s="274"/>
      <c r="AL41" s="274"/>
      <c r="AM41" s="274"/>
      <c r="AN41" s="274"/>
      <c r="AO41" s="274"/>
      <c r="AP41" s="274"/>
      <c r="AQ41" s="274"/>
      <c r="AR41" s="274"/>
      <c r="AS41" s="279"/>
      <c r="AT41" s="279"/>
      <c r="AU41" s="279"/>
      <c r="AV41" s="279"/>
      <c r="AW41" s="279"/>
      <c r="AX41" s="279"/>
      <c r="AY41" s="279"/>
      <c r="AZ41" s="279"/>
      <c r="BA41" s="274"/>
      <c r="BB41" s="279"/>
      <c r="BC41" s="279"/>
      <c r="BD41" s="274"/>
      <c r="BE41" s="274"/>
      <c r="BF41" s="274"/>
      <c r="BG41" s="274"/>
      <c r="BH41" s="274"/>
      <c r="BI41" s="274"/>
    </row>
    <row r="42" spans="1:61" ht="13.8" x14ac:dyDescent="0.25">
      <c r="A42" s="270"/>
      <c r="B42" s="271" t="s">
        <v>200</v>
      </c>
      <c r="C42" s="270"/>
      <c r="D42" s="272"/>
      <c r="E42" s="272"/>
      <c r="F42" s="273"/>
      <c r="G42" s="273"/>
      <c r="H42" s="273"/>
      <c r="I42" s="273"/>
      <c r="J42" s="274"/>
      <c r="K42" s="274"/>
      <c r="L42" s="274"/>
      <c r="M42" s="274"/>
      <c r="N42" s="274"/>
      <c r="O42" s="274"/>
      <c r="P42" s="274"/>
      <c r="Q42" s="281"/>
      <c r="R42" s="32"/>
      <c r="S42" s="32"/>
      <c r="T42" s="30"/>
      <c r="U42" s="289"/>
      <c r="V42" s="30"/>
      <c r="W42" s="30"/>
      <c r="X42" s="30"/>
      <c r="Y42" s="282"/>
      <c r="Z42" s="274"/>
      <c r="AA42" s="274"/>
      <c r="AB42" s="274"/>
      <c r="AC42" s="274"/>
      <c r="AD42" s="274"/>
      <c r="AE42" s="274"/>
      <c r="AF42" s="274"/>
      <c r="AG42" s="274"/>
      <c r="AH42" s="274"/>
      <c r="AI42" s="274"/>
      <c r="AJ42" s="30"/>
      <c r="AK42" s="274"/>
      <c r="AL42" s="274"/>
      <c r="AM42" s="274"/>
      <c r="AN42" s="274"/>
      <c r="AO42" s="274"/>
      <c r="AP42" s="274"/>
      <c r="AQ42" s="274"/>
      <c r="AR42" s="274"/>
      <c r="AS42" s="279"/>
      <c r="AT42" s="279"/>
      <c r="AU42" s="279"/>
      <c r="AV42" s="279"/>
      <c r="AW42" s="279"/>
      <c r="AX42" s="279"/>
      <c r="AY42" s="279"/>
      <c r="AZ42" s="279"/>
      <c r="BA42" s="274"/>
      <c r="BB42" s="279"/>
      <c r="BC42" s="279"/>
      <c r="BD42" s="274"/>
      <c r="BE42" s="274"/>
      <c r="BF42" s="274"/>
      <c r="BG42" s="274"/>
      <c r="BH42" s="274"/>
      <c r="BI42" s="274"/>
    </row>
    <row r="43" spans="1:61" ht="13.8" x14ac:dyDescent="0.25">
      <c r="A43" s="283"/>
      <c r="B43" s="283" t="s">
        <v>201</v>
      </c>
      <c r="C43" s="283">
        <v>1.6</v>
      </c>
      <c r="D43" s="285">
        <f t="shared" ref="D43:D47" si="34">C43*$K$20</f>
        <v>1.7600000000000002</v>
      </c>
      <c r="E43" s="285" t="s">
        <v>186</v>
      </c>
      <c r="F43" s="286">
        <f>'MATERIAL AND LABOR COST FOR WAL'!$D$22</f>
        <v>350</v>
      </c>
      <c r="G43" s="286">
        <f>'MATERIAL AND LABOR COST FOR WAL'!$F$22</f>
        <v>350</v>
      </c>
      <c r="H43" s="286">
        <f t="shared" ref="H43:H47" si="35">SUM(F43,G43)</f>
        <v>700</v>
      </c>
      <c r="I43" s="286">
        <f t="shared" ref="I43:I46" si="36">H43*D43</f>
        <v>1232.0000000000002</v>
      </c>
      <c r="J43" s="274"/>
      <c r="K43" s="274"/>
      <c r="L43" s="274"/>
      <c r="M43" s="274"/>
      <c r="N43" s="274"/>
      <c r="O43" s="274"/>
      <c r="P43" s="274"/>
      <c r="Q43" s="287">
        <f t="shared" ref="Q43:Q48" si="37">SUM(AA43:AH43)</f>
        <v>0.17600000000000005</v>
      </c>
      <c r="R43" s="288">
        <f t="shared" ref="R43:R48" si="38">Y43*D43</f>
        <v>0.17600000000000005</v>
      </c>
      <c r="S43" s="288">
        <f t="shared" ref="S43:S48" si="39">SUM(Q43:R43)</f>
        <v>0.35200000000000009</v>
      </c>
      <c r="T43" s="289">
        <f t="shared" ref="T43:T48" si="40">D43-S43</f>
        <v>1.4080000000000001</v>
      </c>
      <c r="U43" s="289">
        <f t="shared" ref="U43:U48" si="41">SUM(AJ43:AQ43)</f>
        <v>123.20000000000003</v>
      </c>
      <c r="V43" s="289">
        <f t="shared" ref="V43:V48" si="42">Y43*I43</f>
        <v>123.20000000000003</v>
      </c>
      <c r="W43" s="289">
        <f t="shared" ref="W43:W48" si="43">SUM(U43:V43)</f>
        <v>246.40000000000006</v>
      </c>
      <c r="X43" s="289">
        <f t="shared" ref="X43:X48" si="44">I43-W43</f>
        <v>985.60000000000014</v>
      </c>
      <c r="Y43" s="290">
        <f t="shared" ref="Y43:Y48" si="45">SUM(AS43:AZ43)</f>
        <v>0.1</v>
      </c>
      <c r="Z43" s="274"/>
      <c r="AA43" s="274">
        <v>0.17600000000000005</v>
      </c>
      <c r="AB43" s="274"/>
      <c r="AC43" s="274"/>
      <c r="AD43" s="274"/>
      <c r="AE43" s="274"/>
      <c r="AF43" s="274"/>
      <c r="AG43" s="274"/>
      <c r="AH43" s="274"/>
      <c r="AI43" s="274"/>
      <c r="AJ43" s="289">
        <v>123.20000000000003</v>
      </c>
      <c r="AK43" s="274"/>
      <c r="AL43" s="274"/>
      <c r="AM43" s="274"/>
      <c r="AN43" s="274"/>
      <c r="AO43" s="274"/>
      <c r="AP43" s="274"/>
      <c r="AQ43" s="274"/>
      <c r="AR43" s="274"/>
      <c r="AS43" s="279">
        <v>0.1</v>
      </c>
      <c r="AT43" s="279"/>
      <c r="AU43" s="279"/>
      <c r="AV43" s="279"/>
      <c r="AW43" s="279"/>
      <c r="AX43" s="279"/>
      <c r="AY43" s="279"/>
      <c r="AZ43" s="279"/>
      <c r="BA43" s="274"/>
      <c r="BB43" s="279">
        <v>0.1</v>
      </c>
      <c r="BC43" s="279">
        <v>0.1</v>
      </c>
      <c r="BD43" s="274"/>
      <c r="BE43" s="274"/>
      <c r="BF43" s="274"/>
      <c r="BG43" s="274"/>
      <c r="BH43" s="274"/>
      <c r="BI43" s="274"/>
    </row>
    <row r="44" spans="1:61" ht="13.8" x14ac:dyDescent="0.25">
      <c r="A44" s="283"/>
      <c r="B44" s="283" t="s">
        <v>202</v>
      </c>
      <c r="C44" s="283">
        <v>46.4</v>
      </c>
      <c r="D44" s="285">
        <f t="shared" si="34"/>
        <v>51.04</v>
      </c>
      <c r="E44" s="285" t="s">
        <v>203</v>
      </c>
      <c r="F44" s="286">
        <f>'MATERIAL AND LABOR COST FOR WAL'!$D$23</f>
        <v>550</v>
      </c>
      <c r="G44" s="286">
        <f>'MATERIAL AND LABOR COST FOR WAL'!$F$23</f>
        <v>350</v>
      </c>
      <c r="H44" s="286">
        <f t="shared" si="35"/>
        <v>900</v>
      </c>
      <c r="I44" s="286">
        <f t="shared" si="36"/>
        <v>45936</v>
      </c>
      <c r="J44" s="274"/>
      <c r="K44" s="274"/>
      <c r="L44" s="274"/>
      <c r="M44" s="274"/>
      <c r="N44" s="274"/>
      <c r="O44" s="274"/>
      <c r="P44" s="274"/>
      <c r="Q44" s="287">
        <f t="shared" si="37"/>
        <v>5.1040000000000001</v>
      </c>
      <c r="R44" s="288">
        <f t="shared" si="38"/>
        <v>28.072000000000003</v>
      </c>
      <c r="S44" s="288">
        <f t="shared" si="39"/>
        <v>33.176000000000002</v>
      </c>
      <c r="T44" s="289">
        <f t="shared" si="40"/>
        <v>17.863999999999997</v>
      </c>
      <c r="U44" s="289">
        <f t="shared" si="41"/>
        <v>4593.6000000000004</v>
      </c>
      <c r="V44" s="289">
        <f t="shared" si="42"/>
        <v>25264.800000000003</v>
      </c>
      <c r="W44" s="289">
        <f t="shared" si="43"/>
        <v>29858.400000000001</v>
      </c>
      <c r="X44" s="289">
        <f t="shared" si="44"/>
        <v>16077.599999999999</v>
      </c>
      <c r="Y44" s="290">
        <f t="shared" si="45"/>
        <v>0.55000000000000004</v>
      </c>
      <c r="Z44" s="274"/>
      <c r="AA44" s="274">
        <v>5.1040000000000001</v>
      </c>
      <c r="AB44" s="274"/>
      <c r="AC44" s="274"/>
      <c r="AD44" s="274"/>
      <c r="AE44" s="274"/>
      <c r="AF44" s="274"/>
      <c r="AG44" s="274"/>
      <c r="AH44" s="274"/>
      <c r="AI44" s="274"/>
      <c r="AJ44" s="289">
        <v>4593.6000000000004</v>
      </c>
      <c r="AK44" s="274"/>
      <c r="AL44" s="274"/>
      <c r="AM44" s="274"/>
      <c r="AN44" s="274"/>
      <c r="AO44" s="274"/>
      <c r="AP44" s="274"/>
      <c r="AQ44" s="274"/>
      <c r="AR44" s="274"/>
      <c r="AS44" s="279">
        <v>0.55000000000000004</v>
      </c>
      <c r="AT44" s="279"/>
      <c r="AU44" s="279"/>
      <c r="AV44" s="279"/>
      <c r="AW44" s="279"/>
      <c r="AX44" s="279"/>
      <c r="AY44" s="279"/>
      <c r="AZ44" s="279"/>
      <c r="BA44" s="274"/>
      <c r="BB44" s="279">
        <v>0.1</v>
      </c>
      <c r="BC44" s="279">
        <v>0.1</v>
      </c>
      <c r="BD44" s="274"/>
      <c r="BE44" s="274"/>
      <c r="BF44" s="274"/>
      <c r="BG44" s="274"/>
      <c r="BH44" s="274"/>
      <c r="BI44" s="274"/>
    </row>
    <row r="45" spans="1:61" ht="13.8" x14ac:dyDescent="0.25">
      <c r="A45" s="283"/>
      <c r="B45" s="283" t="s">
        <v>204</v>
      </c>
      <c r="C45" s="283">
        <v>69.819999999999993</v>
      </c>
      <c r="D45" s="285">
        <f t="shared" si="34"/>
        <v>76.801999999999992</v>
      </c>
      <c r="E45" s="285" t="s">
        <v>186</v>
      </c>
      <c r="F45" s="286">
        <f>'MATERIAL AND LABOR COST FOR WAL'!$D$24</f>
        <v>350</v>
      </c>
      <c r="G45" s="286">
        <f>'MATERIAL AND LABOR COST FOR WAL'!$F$24</f>
        <v>350</v>
      </c>
      <c r="H45" s="286">
        <f t="shared" si="35"/>
        <v>700</v>
      </c>
      <c r="I45" s="286">
        <f t="shared" si="36"/>
        <v>53761.399999999994</v>
      </c>
      <c r="J45" s="274"/>
      <c r="K45" s="274"/>
      <c r="L45" s="274"/>
      <c r="M45" s="274"/>
      <c r="N45" s="274"/>
      <c r="O45" s="274"/>
      <c r="P45" s="274"/>
      <c r="Q45" s="287">
        <f t="shared" si="37"/>
        <v>7.6801999999999992</v>
      </c>
      <c r="R45" s="288">
        <f t="shared" si="38"/>
        <v>46.081199999999995</v>
      </c>
      <c r="S45" s="288">
        <f t="shared" si="39"/>
        <v>53.761399999999995</v>
      </c>
      <c r="T45" s="289">
        <f t="shared" si="40"/>
        <v>23.040599999999998</v>
      </c>
      <c r="U45" s="289">
        <f t="shared" si="41"/>
        <v>5376.1399999999994</v>
      </c>
      <c r="V45" s="289">
        <f t="shared" si="42"/>
        <v>32256.839999999997</v>
      </c>
      <c r="W45" s="289">
        <f t="shared" si="43"/>
        <v>37632.979999999996</v>
      </c>
      <c r="X45" s="289">
        <f t="shared" si="44"/>
        <v>16128.419999999998</v>
      </c>
      <c r="Y45" s="290">
        <f t="shared" si="45"/>
        <v>0.6</v>
      </c>
      <c r="Z45" s="274"/>
      <c r="AA45" s="274">
        <v>7.6801999999999992</v>
      </c>
      <c r="AB45" s="274"/>
      <c r="AC45" s="274"/>
      <c r="AD45" s="274"/>
      <c r="AE45" s="274"/>
      <c r="AF45" s="274"/>
      <c r="AG45" s="274"/>
      <c r="AH45" s="274"/>
      <c r="AI45" s="274"/>
      <c r="AJ45" s="289">
        <v>5376.1399999999994</v>
      </c>
      <c r="AK45" s="274"/>
      <c r="AL45" s="274"/>
      <c r="AM45" s="274"/>
      <c r="AN45" s="274"/>
      <c r="AO45" s="274"/>
      <c r="AP45" s="274"/>
      <c r="AQ45" s="274"/>
      <c r="AR45" s="274"/>
      <c r="AS45" s="279">
        <v>0.6</v>
      </c>
      <c r="AT45" s="279"/>
      <c r="AU45" s="279"/>
      <c r="AV45" s="279"/>
      <c r="AW45" s="279"/>
      <c r="AX45" s="279"/>
      <c r="AY45" s="279"/>
      <c r="AZ45" s="279"/>
      <c r="BA45" s="274"/>
      <c r="BB45" s="279">
        <v>0.1</v>
      </c>
      <c r="BC45" s="279">
        <v>0.1</v>
      </c>
      <c r="BD45" s="274"/>
      <c r="BE45" s="274"/>
      <c r="BF45" s="274"/>
      <c r="BG45" s="274"/>
      <c r="BH45" s="274"/>
      <c r="BI45" s="274"/>
    </row>
    <row r="46" spans="1:61" ht="13.8" x14ac:dyDescent="0.25">
      <c r="A46" s="291"/>
      <c r="B46" s="291" t="s">
        <v>205</v>
      </c>
      <c r="C46" s="291">
        <v>14.8</v>
      </c>
      <c r="D46" s="292">
        <f t="shared" si="34"/>
        <v>16.28</v>
      </c>
      <c r="E46" s="292" t="s">
        <v>186</v>
      </c>
      <c r="F46" s="286">
        <f>'MATERIAL AND LABOR COST FOR WAL'!$D$25</f>
        <v>950.00000000000011</v>
      </c>
      <c r="G46" s="286">
        <f>'MATERIAL AND LABOR COST FOR WAL'!$F$25</f>
        <v>350</v>
      </c>
      <c r="H46" s="286">
        <f t="shared" si="35"/>
        <v>1300</v>
      </c>
      <c r="I46" s="286">
        <f t="shared" si="36"/>
        <v>21164</v>
      </c>
      <c r="J46" s="263"/>
      <c r="K46" s="263"/>
      <c r="L46" s="263"/>
      <c r="M46" s="263"/>
      <c r="N46" s="263"/>
      <c r="O46" s="263"/>
      <c r="P46" s="263"/>
      <c r="Q46" s="287">
        <f t="shared" si="37"/>
        <v>1.6280000000000001</v>
      </c>
      <c r="R46" s="288">
        <f t="shared" si="38"/>
        <v>6.5120000000000005</v>
      </c>
      <c r="S46" s="288">
        <f t="shared" si="39"/>
        <v>8.14</v>
      </c>
      <c r="T46" s="289">
        <f t="shared" si="40"/>
        <v>8.14</v>
      </c>
      <c r="U46" s="289">
        <f t="shared" si="41"/>
        <v>2116.4</v>
      </c>
      <c r="V46" s="289">
        <f t="shared" si="42"/>
        <v>8465.6</v>
      </c>
      <c r="W46" s="289">
        <f t="shared" si="43"/>
        <v>10582</v>
      </c>
      <c r="X46" s="289">
        <f t="shared" si="44"/>
        <v>10582</v>
      </c>
      <c r="Y46" s="290">
        <f t="shared" si="45"/>
        <v>0.4</v>
      </c>
      <c r="Z46" s="263"/>
      <c r="AA46" s="263">
        <v>1.6280000000000001</v>
      </c>
      <c r="AB46" s="263"/>
      <c r="AC46" s="263"/>
      <c r="AD46" s="263"/>
      <c r="AE46" s="263"/>
      <c r="AF46" s="263"/>
      <c r="AG46" s="263"/>
      <c r="AH46" s="263"/>
      <c r="AI46" s="263"/>
      <c r="AJ46" s="289">
        <v>2116.4</v>
      </c>
      <c r="AK46" s="263"/>
      <c r="AL46" s="263"/>
      <c r="AM46" s="263"/>
      <c r="AN46" s="263"/>
      <c r="AO46" s="263"/>
      <c r="AP46" s="263"/>
      <c r="AQ46" s="263"/>
      <c r="AR46" s="263"/>
      <c r="AS46" s="279">
        <v>0.4</v>
      </c>
      <c r="AT46" s="293"/>
      <c r="AU46" s="293"/>
      <c r="AV46" s="293"/>
      <c r="AW46" s="293"/>
      <c r="AX46" s="293"/>
      <c r="AY46" s="293"/>
      <c r="AZ46" s="293"/>
      <c r="BA46" s="263"/>
      <c r="BB46" s="279">
        <v>0.1</v>
      </c>
      <c r="BC46" s="279">
        <v>0.3</v>
      </c>
      <c r="BD46" s="263"/>
      <c r="BE46" s="263"/>
      <c r="BF46" s="263"/>
      <c r="BG46" s="263"/>
      <c r="BH46" s="263"/>
      <c r="BI46" s="263"/>
    </row>
    <row r="47" spans="1:61" ht="13.8" x14ac:dyDescent="0.25">
      <c r="A47" s="291"/>
      <c r="B47" s="291" t="s">
        <v>206</v>
      </c>
      <c r="C47" s="291">
        <v>19.100000000000001</v>
      </c>
      <c r="D47" s="292">
        <f t="shared" si="34"/>
        <v>21.01</v>
      </c>
      <c r="E47" s="292" t="s">
        <v>186</v>
      </c>
      <c r="F47" s="286">
        <f>'MATERIAL AND LABOR COST FOR WAL'!$D$26</f>
        <v>350</v>
      </c>
      <c r="G47" s="286">
        <f>'MATERIAL AND LABOR COST FOR WAL'!$F$26</f>
        <v>350</v>
      </c>
      <c r="H47" s="286">
        <f t="shared" si="35"/>
        <v>700</v>
      </c>
      <c r="I47" s="286">
        <f>D47*H47</f>
        <v>14707.000000000002</v>
      </c>
      <c r="J47" s="263"/>
      <c r="K47" s="263"/>
      <c r="L47" s="263"/>
      <c r="M47" s="263"/>
      <c r="N47" s="263"/>
      <c r="O47" s="263"/>
      <c r="P47" s="263"/>
      <c r="Q47" s="287">
        <f t="shared" si="37"/>
        <v>2.1010000000000004</v>
      </c>
      <c r="R47" s="288">
        <f t="shared" si="38"/>
        <v>12.606</v>
      </c>
      <c r="S47" s="288">
        <f t="shared" si="39"/>
        <v>14.707000000000001</v>
      </c>
      <c r="T47" s="289">
        <f t="shared" si="40"/>
        <v>6.3030000000000008</v>
      </c>
      <c r="U47" s="289">
        <f t="shared" si="41"/>
        <v>1470.7000000000003</v>
      </c>
      <c r="V47" s="289">
        <f t="shared" si="42"/>
        <v>8824.2000000000007</v>
      </c>
      <c r="W47" s="289">
        <f t="shared" si="43"/>
        <v>10294.900000000001</v>
      </c>
      <c r="X47" s="289">
        <f t="shared" si="44"/>
        <v>4412.1000000000004</v>
      </c>
      <c r="Y47" s="290">
        <f t="shared" si="45"/>
        <v>0.6</v>
      </c>
      <c r="Z47" s="263"/>
      <c r="AA47" s="263">
        <v>2.1010000000000004</v>
      </c>
      <c r="AB47" s="263"/>
      <c r="AC47" s="263"/>
      <c r="AD47" s="263"/>
      <c r="AE47" s="263"/>
      <c r="AF47" s="263"/>
      <c r="AG47" s="263"/>
      <c r="AH47" s="263"/>
      <c r="AI47" s="263"/>
      <c r="AJ47" s="289">
        <v>1470.7000000000003</v>
      </c>
      <c r="AK47" s="263"/>
      <c r="AL47" s="263"/>
      <c r="AM47" s="263"/>
      <c r="AN47" s="263"/>
      <c r="AO47" s="263"/>
      <c r="AP47" s="263"/>
      <c r="AQ47" s="263"/>
      <c r="AR47" s="263"/>
      <c r="AS47" s="279">
        <v>0.6</v>
      </c>
      <c r="AT47" s="293"/>
      <c r="AU47" s="293"/>
      <c r="AV47" s="293"/>
      <c r="AW47" s="293"/>
      <c r="AX47" s="293"/>
      <c r="AY47" s="293"/>
      <c r="AZ47" s="293"/>
      <c r="BA47" s="263"/>
      <c r="BB47" s="279">
        <v>0.1</v>
      </c>
      <c r="BC47" s="279">
        <v>0.1</v>
      </c>
      <c r="BD47" s="263"/>
      <c r="BE47" s="263"/>
      <c r="BF47" s="263"/>
      <c r="BG47" s="263"/>
      <c r="BH47" s="263"/>
      <c r="BI47" s="263"/>
    </row>
    <row r="48" spans="1:61" ht="13.8" x14ac:dyDescent="0.25">
      <c r="A48" s="283"/>
      <c r="B48" s="283" t="s">
        <v>129</v>
      </c>
      <c r="C48" s="283"/>
      <c r="D48" s="285">
        <v>1</v>
      </c>
      <c r="E48" s="285" t="s">
        <v>94</v>
      </c>
      <c r="F48" s="286"/>
      <c r="G48" s="286"/>
      <c r="H48" s="286"/>
      <c r="I48" s="286">
        <f>SUM(I43:I47)*$K$22</f>
        <v>13680.04</v>
      </c>
      <c r="J48" s="274"/>
      <c r="K48" s="274"/>
      <c r="L48" s="274"/>
      <c r="M48" s="274"/>
      <c r="N48" s="274"/>
      <c r="O48" s="274"/>
      <c r="P48" s="274"/>
      <c r="Q48" s="287">
        <f t="shared" si="37"/>
        <v>0.1</v>
      </c>
      <c r="R48" s="288">
        <f t="shared" si="38"/>
        <v>0.5</v>
      </c>
      <c r="S48" s="288">
        <f t="shared" si="39"/>
        <v>0.6</v>
      </c>
      <c r="T48" s="289">
        <f t="shared" si="40"/>
        <v>0.4</v>
      </c>
      <c r="U48" s="289">
        <f t="shared" si="41"/>
        <v>1368.0040000000001</v>
      </c>
      <c r="V48" s="289">
        <f t="shared" si="42"/>
        <v>6840.02</v>
      </c>
      <c r="W48" s="289">
        <f t="shared" si="43"/>
        <v>8208.0240000000013</v>
      </c>
      <c r="X48" s="289">
        <f t="shared" si="44"/>
        <v>5472.0159999999996</v>
      </c>
      <c r="Y48" s="290">
        <f t="shared" si="45"/>
        <v>0.5</v>
      </c>
      <c r="Z48" s="274"/>
      <c r="AA48" s="274">
        <v>0.1</v>
      </c>
      <c r="AB48" s="274"/>
      <c r="AC48" s="274"/>
      <c r="AD48" s="274"/>
      <c r="AE48" s="274"/>
      <c r="AF48" s="274"/>
      <c r="AG48" s="274"/>
      <c r="AH48" s="274"/>
      <c r="AI48" s="274"/>
      <c r="AJ48" s="289">
        <v>1368.0040000000001</v>
      </c>
      <c r="AK48" s="274"/>
      <c r="AL48" s="274"/>
      <c r="AM48" s="274"/>
      <c r="AN48" s="274"/>
      <c r="AO48" s="274"/>
      <c r="AP48" s="274"/>
      <c r="AQ48" s="274"/>
      <c r="AR48" s="274"/>
      <c r="AS48" s="279">
        <v>0.5</v>
      </c>
      <c r="AT48" s="279"/>
      <c r="AU48" s="279"/>
      <c r="AV48" s="279"/>
      <c r="AW48" s="279"/>
      <c r="AX48" s="279"/>
      <c r="AY48" s="279"/>
      <c r="AZ48" s="279"/>
      <c r="BA48" s="274"/>
      <c r="BB48" s="279">
        <v>0.1</v>
      </c>
      <c r="BC48" s="279">
        <v>0.15</v>
      </c>
      <c r="BD48" s="274"/>
      <c r="BE48" s="274"/>
      <c r="BF48" s="274"/>
      <c r="BG48" s="274"/>
      <c r="BH48" s="274"/>
      <c r="BI48" s="274"/>
    </row>
    <row r="49" spans="1:61" x14ac:dyDescent="0.25">
      <c r="A49" s="294"/>
      <c r="B49" s="521" t="s">
        <v>207</v>
      </c>
      <c r="C49" s="501"/>
      <c r="D49" s="501"/>
      <c r="E49" s="501"/>
      <c r="F49" s="501"/>
      <c r="G49" s="501"/>
      <c r="H49" s="502"/>
      <c r="I49" s="295">
        <f>SUM(I43:I48)</f>
        <v>150480.44</v>
      </c>
      <c r="J49" s="296"/>
      <c r="K49" s="296"/>
      <c r="L49" s="296"/>
      <c r="M49" s="296"/>
      <c r="N49" s="296"/>
      <c r="O49" s="296"/>
      <c r="P49" s="296"/>
      <c r="Q49" s="297">
        <f t="shared" ref="Q49:X49" si="46">SUM(Q43:Q48)</f>
        <v>16.789200000000001</v>
      </c>
      <c r="R49" s="298">
        <f t="shared" si="46"/>
        <v>93.947199999999995</v>
      </c>
      <c r="S49" s="298">
        <f t="shared" si="46"/>
        <v>110.7364</v>
      </c>
      <c r="T49" s="299">
        <f t="shared" si="46"/>
        <v>57.1556</v>
      </c>
      <c r="U49" s="299">
        <f t="shared" si="46"/>
        <v>15048.044</v>
      </c>
      <c r="V49" s="299">
        <f t="shared" si="46"/>
        <v>81774.66</v>
      </c>
      <c r="W49" s="299">
        <f t="shared" si="46"/>
        <v>96822.703999999998</v>
      </c>
      <c r="X49" s="299">
        <f t="shared" si="46"/>
        <v>53657.73599999999</v>
      </c>
      <c r="Y49" s="300">
        <f>SUM(Y43:Y48)/COUNT(Y43:Y48)</f>
        <v>0.45833333333333331</v>
      </c>
      <c r="Z49" s="296"/>
      <c r="AA49" s="296">
        <v>16.789200000000001</v>
      </c>
      <c r="AB49" s="296"/>
      <c r="AC49" s="296"/>
      <c r="AD49" s="296"/>
      <c r="AE49" s="296"/>
      <c r="AF49" s="296"/>
      <c r="AG49" s="296"/>
      <c r="AH49" s="296"/>
      <c r="AI49" s="296"/>
      <c r="AJ49" s="299">
        <v>15048.044</v>
      </c>
      <c r="AK49" s="296"/>
      <c r="AL49" s="296"/>
      <c r="AM49" s="296"/>
      <c r="AN49" s="296"/>
      <c r="AO49" s="296"/>
      <c r="AP49" s="296"/>
      <c r="AQ49" s="296"/>
      <c r="AR49" s="296"/>
      <c r="AS49" s="301"/>
      <c r="AT49" s="301"/>
      <c r="AU49" s="301"/>
      <c r="AV49" s="301"/>
      <c r="AW49" s="301"/>
      <c r="AX49" s="301"/>
      <c r="AY49" s="301"/>
      <c r="AZ49" s="301"/>
      <c r="BA49" s="296"/>
      <c r="BB49" s="300">
        <f>SUM(BB43:BB48)/COUNT(BB43:BB48)</f>
        <v>9.9999999999999992E-2</v>
      </c>
      <c r="BC49" s="300">
        <f>SUM(BC43:BC48)/COUNT(BC43:BC48)</f>
        <v>0.14166666666666669</v>
      </c>
      <c r="BD49" s="296"/>
      <c r="BE49" s="296"/>
      <c r="BF49" s="296"/>
      <c r="BG49" s="296"/>
      <c r="BH49" s="296"/>
      <c r="BI49" s="296"/>
    </row>
    <row r="50" spans="1:61" ht="13.8" x14ac:dyDescent="0.25">
      <c r="A50" s="283"/>
      <c r="B50" s="283"/>
      <c r="C50" s="283"/>
      <c r="D50" s="285"/>
      <c r="E50" s="285"/>
      <c r="F50" s="286"/>
      <c r="G50" s="286"/>
      <c r="H50" s="286"/>
      <c r="I50" s="286"/>
      <c r="J50" s="274"/>
      <c r="K50" s="274"/>
      <c r="L50" s="274"/>
      <c r="M50" s="274"/>
      <c r="N50" s="274"/>
      <c r="O50" s="274"/>
      <c r="P50" s="274"/>
      <c r="Q50" s="281"/>
      <c r="R50" s="32"/>
      <c r="S50" s="32"/>
      <c r="T50" s="30"/>
      <c r="U50" s="289"/>
      <c r="V50" s="30"/>
      <c r="W50" s="30"/>
      <c r="X50" s="30"/>
      <c r="Y50" s="282"/>
      <c r="Z50" s="274"/>
      <c r="AA50" s="274"/>
      <c r="AB50" s="274"/>
      <c r="AC50" s="274"/>
      <c r="AD50" s="274"/>
      <c r="AE50" s="274"/>
      <c r="AF50" s="274"/>
      <c r="AG50" s="274"/>
      <c r="AH50" s="274"/>
      <c r="AI50" s="274"/>
      <c r="AJ50" s="30"/>
      <c r="AK50" s="274"/>
      <c r="AL50" s="274"/>
      <c r="AM50" s="274"/>
      <c r="AN50" s="274"/>
      <c r="AO50" s="274"/>
      <c r="AP50" s="274"/>
      <c r="AQ50" s="274"/>
      <c r="AR50" s="274"/>
      <c r="AS50" s="279"/>
      <c r="AT50" s="279"/>
      <c r="AU50" s="279"/>
      <c r="AV50" s="279"/>
      <c r="AW50" s="279"/>
      <c r="AX50" s="279"/>
      <c r="AY50" s="279"/>
      <c r="AZ50" s="279"/>
      <c r="BA50" s="274"/>
      <c r="BB50" s="274"/>
      <c r="BC50" s="279"/>
      <c r="BD50" s="274"/>
      <c r="BE50" s="274"/>
      <c r="BF50" s="274"/>
      <c r="BG50" s="274"/>
      <c r="BH50" s="274"/>
      <c r="BI50" s="274"/>
    </row>
    <row r="51" spans="1:61" ht="13.8" x14ac:dyDescent="0.25">
      <c r="A51" s="283"/>
      <c r="B51" s="284" t="s">
        <v>208</v>
      </c>
      <c r="C51" s="283"/>
      <c r="D51" s="285"/>
      <c r="E51" s="285"/>
      <c r="F51" s="286"/>
      <c r="G51" s="286"/>
      <c r="H51" s="286"/>
      <c r="I51" s="286"/>
      <c r="J51" s="274"/>
      <c r="K51" s="274"/>
      <c r="L51" s="274"/>
      <c r="M51" s="274"/>
      <c r="N51" s="274"/>
      <c r="O51" s="274"/>
      <c r="P51" s="274"/>
      <c r="Q51" s="281"/>
      <c r="R51" s="32"/>
      <c r="S51" s="32"/>
      <c r="T51" s="30"/>
      <c r="U51" s="289"/>
      <c r="V51" s="30"/>
      <c r="W51" s="30"/>
      <c r="X51" s="30"/>
      <c r="Y51" s="282"/>
      <c r="Z51" s="274"/>
      <c r="AA51" s="274"/>
      <c r="AB51" s="274"/>
      <c r="AC51" s="274"/>
      <c r="AD51" s="274"/>
      <c r="AE51" s="274"/>
      <c r="AF51" s="274"/>
      <c r="AG51" s="274"/>
      <c r="AH51" s="274"/>
      <c r="AI51" s="274"/>
      <c r="AJ51" s="30"/>
      <c r="AK51" s="274"/>
      <c r="AL51" s="274"/>
      <c r="AM51" s="274"/>
      <c r="AN51" s="274"/>
      <c r="AO51" s="274"/>
      <c r="AP51" s="274"/>
      <c r="AQ51" s="274"/>
      <c r="AR51" s="274"/>
      <c r="AS51" s="279"/>
      <c r="AT51" s="279"/>
      <c r="AU51" s="279"/>
      <c r="AV51" s="279"/>
      <c r="AW51" s="279"/>
      <c r="AX51" s="279"/>
      <c r="AY51" s="279"/>
      <c r="AZ51" s="279"/>
      <c r="BA51" s="274"/>
      <c r="BB51" s="274"/>
      <c r="BC51" s="279"/>
      <c r="BD51" s="274"/>
      <c r="BE51" s="274"/>
      <c r="BF51" s="274"/>
      <c r="BG51" s="274"/>
      <c r="BH51" s="274"/>
      <c r="BI51" s="274"/>
    </row>
    <row r="52" spans="1:61" ht="13.8" x14ac:dyDescent="0.25">
      <c r="A52" s="283"/>
      <c r="B52" s="284" t="s">
        <v>132</v>
      </c>
      <c r="C52" s="283"/>
      <c r="D52" s="285"/>
      <c r="E52" s="285"/>
      <c r="F52" s="286"/>
      <c r="G52" s="286"/>
      <c r="H52" s="286"/>
      <c r="I52" s="286"/>
      <c r="J52" s="274"/>
      <c r="K52" s="274"/>
      <c r="L52" s="274"/>
      <c r="M52" s="274"/>
      <c r="N52" s="274"/>
      <c r="O52" s="274"/>
      <c r="P52" s="274"/>
      <c r="Q52" s="281"/>
      <c r="R52" s="32"/>
      <c r="S52" s="32"/>
      <c r="T52" s="30"/>
      <c r="U52" s="289"/>
      <c r="V52" s="30"/>
      <c r="W52" s="30"/>
      <c r="X52" s="30"/>
      <c r="Y52" s="282"/>
      <c r="Z52" s="274"/>
      <c r="AA52" s="274"/>
      <c r="AB52" s="274"/>
      <c r="AC52" s="274"/>
      <c r="AD52" s="274"/>
      <c r="AE52" s="274"/>
      <c r="AF52" s="274"/>
      <c r="AG52" s="274"/>
      <c r="AH52" s="274"/>
      <c r="AI52" s="274"/>
      <c r="AJ52" s="30"/>
      <c r="AK52" s="274"/>
      <c r="AL52" s="274"/>
      <c r="AM52" s="274"/>
      <c r="AN52" s="274"/>
      <c r="AO52" s="274"/>
      <c r="AP52" s="274"/>
      <c r="AQ52" s="274"/>
      <c r="AR52" s="274"/>
      <c r="AS52" s="279"/>
      <c r="AT52" s="279"/>
      <c r="AU52" s="279"/>
      <c r="AV52" s="279"/>
      <c r="AW52" s="279"/>
      <c r="AX52" s="279"/>
      <c r="AY52" s="279"/>
      <c r="AZ52" s="279"/>
      <c r="BA52" s="274"/>
      <c r="BB52" s="274"/>
      <c r="BC52" s="279"/>
      <c r="BD52" s="274"/>
      <c r="BE52" s="274"/>
      <c r="BF52" s="274"/>
      <c r="BG52" s="274"/>
      <c r="BH52" s="274"/>
      <c r="BI52" s="274"/>
    </row>
    <row r="53" spans="1:61" ht="13.8" x14ac:dyDescent="0.25">
      <c r="A53" s="283"/>
      <c r="B53" s="283" t="s">
        <v>209</v>
      </c>
      <c r="C53" s="283">
        <v>39</v>
      </c>
      <c r="D53" s="285">
        <f t="shared" ref="D53:D54" si="47">C53*$K$20</f>
        <v>42.900000000000006</v>
      </c>
      <c r="E53" s="285" t="s">
        <v>186</v>
      </c>
      <c r="F53" s="286">
        <f>'MATERIAL AND LABOR COST FOR WAL'!$D$29</f>
        <v>350</v>
      </c>
      <c r="G53" s="286">
        <f>'MATERIAL AND LABOR COST FOR WAL'!$F$29</f>
        <v>350</v>
      </c>
      <c r="H53" s="286">
        <f t="shared" ref="H53:H54" si="48">SUM(F53,G53)</f>
        <v>700</v>
      </c>
      <c r="I53" s="286">
        <f t="shared" ref="I53:I54" si="49">H53*D53</f>
        <v>30030.000000000004</v>
      </c>
      <c r="J53" s="274"/>
      <c r="K53" s="274"/>
      <c r="L53" s="274"/>
      <c r="M53" s="274"/>
      <c r="N53" s="274"/>
      <c r="O53" s="274"/>
      <c r="P53" s="274"/>
      <c r="Q53" s="287">
        <f t="shared" ref="Q53:Q54" si="50">SUM(AA53:AH53)</f>
        <v>4.2900000000000009</v>
      </c>
      <c r="R53" s="288">
        <f t="shared" ref="R53:R54" si="51">Y53*D53</f>
        <v>17.160000000000004</v>
      </c>
      <c r="S53" s="288">
        <f t="shared" ref="S53:S54" si="52">SUM(Q53:R53)</f>
        <v>21.450000000000003</v>
      </c>
      <c r="T53" s="289">
        <f t="shared" ref="T53:T54" si="53">D53-S53</f>
        <v>21.450000000000003</v>
      </c>
      <c r="U53" s="289">
        <f t="shared" ref="U53:U54" si="54">SUM(AJ53:AQ53)</f>
        <v>3003.0000000000005</v>
      </c>
      <c r="V53" s="289">
        <f t="shared" ref="V53:V54" si="55">Y53*I53</f>
        <v>12012.000000000002</v>
      </c>
      <c r="W53" s="289">
        <f t="shared" ref="W53:W54" si="56">SUM(U53:V53)</f>
        <v>15015.000000000002</v>
      </c>
      <c r="X53" s="289">
        <f t="shared" ref="X53:X54" si="57">I53-W53</f>
        <v>15015.000000000002</v>
      </c>
      <c r="Y53" s="290">
        <f t="shared" ref="Y53:Y54" si="58">SUM(AS53:AZ53)</f>
        <v>0.4</v>
      </c>
      <c r="Z53" s="274"/>
      <c r="AA53" s="274">
        <v>4.2900000000000009</v>
      </c>
      <c r="AB53" s="274"/>
      <c r="AC53" s="274"/>
      <c r="AD53" s="274"/>
      <c r="AE53" s="274"/>
      <c r="AF53" s="274"/>
      <c r="AG53" s="274"/>
      <c r="AH53" s="274"/>
      <c r="AI53" s="274"/>
      <c r="AJ53" s="289">
        <v>3003.0000000000005</v>
      </c>
      <c r="AK53" s="274"/>
      <c r="AL53" s="274"/>
      <c r="AM53" s="274"/>
      <c r="AN53" s="274"/>
      <c r="AO53" s="274"/>
      <c r="AP53" s="274"/>
      <c r="AQ53" s="274"/>
      <c r="AR53" s="274"/>
      <c r="AS53" s="279">
        <v>0.4</v>
      </c>
      <c r="AT53" s="279"/>
      <c r="AU53" s="279"/>
      <c r="AV53" s="279"/>
      <c r="AW53" s="279"/>
      <c r="AX53" s="279"/>
      <c r="AY53" s="279"/>
      <c r="AZ53" s="279"/>
      <c r="BA53" s="274"/>
      <c r="BB53" s="279">
        <v>0.1</v>
      </c>
      <c r="BC53" s="279">
        <v>0.2</v>
      </c>
      <c r="BD53" s="274"/>
      <c r="BE53" s="274"/>
      <c r="BF53" s="274"/>
      <c r="BG53" s="274"/>
      <c r="BH53" s="274"/>
      <c r="BI53" s="274"/>
    </row>
    <row r="54" spans="1:61" ht="26.4" x14ac:dyDescent="0.25">
      <c r="A54" s="291"/>
      <c r="B54" s="291" t="s">
        <v>210</v>
      </c>
      <c r="C54" s="291">
        <v>22.6</v>
      </c>
      <c r="D54" s="285">
        <f t="shared" si="47"/>
        <v>24.860000000000003</v>
      </c>
      <c r="E54" s="292" t="s">
        <v>203</v>
      </c>
      <c r="F54" s="286">
        <f>'MATERIAL AND LABOR COST FOR WAL'!$D$30</f>
        <v>550</v>
      </c>
      <c r="G54" s="286">
        <f>'MATERIAL AND LABOR COST FOR WAL'!$F$30</f>
        <v>350</v>
      </c>
      <c r="H54" s="286">
        <f t="shared" si="48"/>
        <v>900</v>
      </c>
      <c r="I54" s="286">
        <f t="shared" si="49"/>
        <v>22374.000000000004</v>
      </c>
      <c r="J54" s="263"/>
      <c r="K54" s="263"/>
      <c r="L54" s="263"/>
      <c r="M54" s="263"/>
      <c r="N54" s="263"/>
      <c r="O54" s="263"/>
      <c r="P54" s="263"/>
      <c r="Q54" s="287">
        <f t="shared" si="50"/>
        <v>2.4860000000000007</v>
      </c>
      <c r="R54" s="288">
        <f t="shared" si="51"/>
        <v>9.9440000000000026</v>
      </c>
      <c r="S54" s="288">
        <f t="shared" si="52"/>
        <v>12.430000000000003</v>
      </c>
      <c r="T54" s="289">
        <f t="shared" si="53"/>
        <v>12.43</v>
      </c>
      <c r="U54" s="289">
        <f t="shared" si="54"/>
        <v>2237.4000000000005</v>
      </c>
      <c r="V54" s="289">
        <f t="shared" si="55"/>
        <v>8949.6000000000022</v>
      </c>
      <c r="W54" s="289">
        <f t="shared" si="56"/>
        <v>11187.000000000004</v>
      </c>
      <c r="X54" s="289">
        <f t="shared" si="57"/>
        <v>11187</v>
      </c>
      <c r="Y54" s="290">
        <f t="shared" si="58"/>
        <v>0.4</v>
      </c>
      <c r="Z54" s="263"/>
      <c r="AA54" s="263">
        <v>2.4860000000000007</v>
      </c>
      <c r="AB54" s="263"/>
      <c r="AC54" s="263"/>
      <c r="AD54" s="263"/>
      <c r="AE54" s="263"/>
      <c r="AF54" s="263"/>
      <c r="AG54" s="263"/>
      <c r="AH54" s="263"/>
      <c r="AI54" s="263"/>
      <c r="AJ54" s="289">
        <v>2237.4000000000005</v>
      </c>
      <c r="AK54" s="263"/>
      <c r="AL54" s="263"/>
      <c r="AM54" s="263"/>
      <c r="AN54" s="263"/>
      <c r="AO54" s="263"/>
      <c r="AP54" s="263"/>
      <c r="AQ54" s="263"/>
      <c r="AR54" s="263"/>
      <c r="AS54" s="279">
        <v>0.4</v>
      </c>
      <c r="AT54" s="293"/>
      <c r="AU54" s="293"/>
      <c r="AV54" s="293"/>
      <c r="AW54" s="293"/>
      <c r="AX54" s="293"/>
      <c r="AY54" s="293"/>
      <c r="AZ54" s="293"/>
      <c r="BA54" s="263"/>
      <c r="BB54" s="279">
        <v>0.1</v>
      </c>
      <c r="BC54" s="279">
        <v>0.2</v>
      </c>
      <c r="BD54" s="263"/>
      <c r="BE54" s="263"/>
      <c r="BF54" s="263"/>
      <c r="BG54" s="263"/>
      <c r="BH54" s="263"/>
      <c r="BI54" s="263"/>
    </row>
    <row r="55" spans="1:61" ht="13.8" x14ac:dyDescent="0.25">
      <c r="A55" s="283"/>
      <c r="B55" s="284" t="s">
        <v>211</v>
      </c>
      <c r="C55" s="283"/>
      <c r="D55" s="285"/>
      <c r="E55" s="285"/>
      <c r="F55" s="286">
        <f>'MATERIAL AND LABOR COST FOR WAL'!D31</f>
        <v>0</v>
      </c>
      <c r="G55" s="286">
        <f>'MATERIAL AND LABOR COST FOR WAL'!F31</f>
        <v>0</v>
      </c>
      <c r="H55" s="286"/>
      <c r="I55" s="286"/>
      <c r="J55" s="274"/>
      <c r="K55" s="274"/>
      <c r="L55" s="274"/>
      <c r="M55" s="274"/>
      <c r="N55" s="274"/>
      <c r="O55" s="274"/>
      <c r="P55" s="274"/>
      <c r="Q55" s="281"/>
      <c r="R55" s="32"/>
      <c r="S55" s="32"/>
      <c r="T55" s="30"/>
      <c r="U55" s="289"/>
      <c r="V55" s="30"/>
      <c r="W55" s="30"/>
      <c r="X55" s="30"/>
      <c r="Y55" s="282"/>
      <c r="Z55" s="274"/>
      <c r="AA55" s="274"/>
      <c r="AB55" s="274"/>
      <c r="AC55" s="274"/>
      <c r="AD55" s="274"/>
      <c r="AE55" s="274"/>
      <c r="AF55" s="274"/>
      <c r="AG55" s="274"/>
      <c r="AH55" s="274"/>
      <c r="AI55" s="274"/>
      <c r="AJ55" s="30"/>
      <c r="AK55" s="274"/>
      <c r="AL55" s="274"/>
      <c r="AM55" s="274"/>
      <c r="AN55" s="274"/>
      <c r="AO55" s="274"/>
      <c r="AP55" s="274"/>
      <c r="AQ55" s="274"/>
      <c r="AR55" s="274"/>
      <c r="AS55" s="279"/>
      <c r="AT55" s="279"/>
      <c r="AU55" s="279"/>
      <c r="AV55" s="279"/>
      <c r="AW55" s="279"/>
      <c r="AX55" s="279"/>
      <c r="AY55" s="279"/>
      <c r="AZ55" s="279"/>
      <c r="BA55" s="274"/>
      <c r="BB55" s="279"/>
      <c r="BC55" s="279"/>
      <c r="BD55" s="274"/>
      <c r="BE55" s="274"/>
      <c r="BF55" s="274"/>
      <c r="BG55" s="274"/>
      <c r="BH55" s="274"/>
      <c r="BI55" s="274"/>
    </row>
    <row r="56" spans="1:61" ht="13.8" x14ac:dyDescent="0.25">
      <c r="A56" s="283"/>
      <c r="B56" s="283" t="s">
        <v>212</v>
      </c>
      <c r="C56" s="283">
        <v>28</v>
      </c>
      <c r="D56" s="285">
        <f t="shared" ref="D56:D61" si="59">C56*$K$20</f>
        <v>30.800000000000004</v>
      </c>
      <c r="E56" s="285" t="s">
        <v>186</v>
      </c>
      <c r="F56" s="286">
        <f>'MATERIAL AND LABOR COST FOR WAL'!$D$32</f>
        <v>350</v>
      </c>
      <c r="G56" s="286">
        <f>'MATERIAL AND LABOR COST FOR WAL'!$F$32</f>
        <v>350</v>
      </c>
      <c r="H56" s="286">
        <f t="shared" ref="H56:H61" si="60">SUM(F56,G56)</f>
        <v>700</v>
      </c>
      <c r="I56" s="286">
        <f t="shared" ref="I56:I60" si="61">H56*D56</f>
        <v>21560.000000000004</v>
      </c>
      <c r="J56" s="274"/>
      <c r="K56" s="274"/>
      <c r="L56" s="274"/>
      <c r="M56" s="274"/>
      <c r="N56" s="274"/>
      <c r="O56" s="274"/>
      <c r="P56" s="274"/>
      <c r="Q56" s="287">
        <f t="shared" ref="Q56:Q61" si="62">SUM(AA56:AH56)</f>
        <v>3.0800000000000005</v>
      </c>
      <c r="R56" s="288">
        <f t="shared" ref="R56:R61" si="63">Y56*D56</f>
        <v>15.400000000000002</v>
      </c>
      <c r="S56" s="288">
        <f t="shared" ref="S56:S61" si="64">SUM(Q56:R56)</f>
        <v>18.480000000000004</v>
      </c>
      <c r="T56" s="289">
        <f t="shared" ref="T56:T61" si="65">D56-S56</f>
        <v>12.32</v>
      </c>
      <c r="U56" s="289">
        <f t="shared" ref="U56:U61" si="66">SUM(AJ56:AQ56)</f>
        <v>2156.0000000000005</v>
      </c>
      <c r="V56" s="289">
        <f t="shared" ref="V56:V61" si="67">Y56*I56</f>
        <v>10780.000000000002</v>
      </c>
      <c r="W56" s="289">
        <f t="shared" ref="W56:W61" si="68">SUM(U56:V56)</f>
        <v>12936.000000000002</v>
      </c>
      <c r="X56" s="289">
        <f t="shared" ref="X56:X61" si="69">I56-W56</f>
        <v>8624.0000000000018</v>
      </c>
      <c r="Y56" s="290">
        <f t="shared" ref="Y56:Y61" si="70">SUM(AS56:AZ56)</f>
        <v>0.5</v>
      </c>
      <c r="Z56" s="274"/>
      <c r="AA56" s="274">
        <v>3.0800000000000005</v>
      </c>
      <c r="AB56" s="274"/>
      <c r="AC56" s="274"/>
      <c r="AD56" s="274"/>
      <c r="AE56" s="274"/>
      <c r="AF56" s="274"/>
      <c r="AG56" s="274"/>
      <c r="AH56" s="274"/>
      <c r="AI56" s="274"/>
      <c r="AJ56" s="289">
        <v>2156.0000000000005</v>
      </c>
      <c r="AK56" s="274"/>
      <c r="AL56" s="274"/>
      <c r="AM56" s="274"/>
      <c r="AN56" s="274"/>
      <c r="AO56" s="274"/>
      <c r="AP56" s="274"/>
      <c r="AQ56" s="274"/>
      <c r="AR56" s="274"/>
      <c r="AS56" s="279">
        <v>0.5</v>
      </c>
      <c r="AT56" s="279"/>
      <c r="AU56" s="279"/>
      <c r="AV56" s="279"/>
      <c r="AW56" s="279"/>
      <c r="AX56" s="279"/>
      <c r="AY56" s="279"/>
      <c r="AZ56" s="279"/>
      <c r="BA56" s="274"/>
      <c r="BB56" s="279">
        <v>0.1</v>
      </c>
      <c r="BC56" s="279">
        <v>0.1</v>
      </c>
      <c r="BD56" s="274"/>
      <c r="BE56" s="274"/>
      <c r="BF56" s="274"/>
      <c r="BG56" s="274"/>
      <c r="BH56" s="274"/>
      <c r="BI56" s="274"/>
    </row>
    <row r="57" spans="1:61" ht="13.8" x14ac:dyDescent="0.25">
      <c r="A57" s="283"/>
      <c r="B57" s="283" t="s">
        <v>213</v>
      </c>
      <c r="C57" s="283">
        <v>3.5</v>
      </c>
      <c r="D57" s="285">
        <f t="shared" si="59"/>
        <v>3.8500000000000005</v>
      </c>
      <c r="E57" s="285" t="s">
        <v>186</v>
      </c>
      <c r="F57" s="286">
        <f>'MATERIAL AND LABOR COST FOR WAL'!$D$33</f>
        <v>1100</v>
      </c>
      <c r="G57" s="286">
        <f>'MATERIAL AND LABOR COST FOR WAL'!$F$33</f>
        <v>330</v>
      </c>
      <c r="H57" s="286">
        <f t="shared" si="60"/>
        <v>1430</v>
      </c>
      <c r="I57" s="286">
        <f t="shared" si="61"/>
        <v>5505.5000000000009</v>
      </c>
      <c r="J57" s="274"/>
      <c r="K57" s="274"/>
      <c r="L57" s="274"/>
      <c r="M57" s="274"/>
      <c r="N57" s="274"/>
      <c r="O57" s="274"/>
      <c r="P57" s="274"/>
      <c r="Q57" s="287">
        <f t="shared" si="62"/>
        <v>0.38500000000000006</v>
      </c>
      <c r="R57" s="288">
        <f t="shared" si="63"/>
        <v>1.5400000000000003</v>
      </c>
      <c r="S57" s="288">
        <f t="shared" si="64"/>
        <v>1.9250000000000003</v>
      </c>
      <c r="T57" s="289">
        <f t="shared" si="65"/>
        <v>1.9250000000000003</v>
      </c>
      <c r="U57" s="289">
        <f t="shared" si="66"/>
        <v>550.55000000000007</v>
      </c>
      <c r="V57" s="289">
        <f t="shared" si="67"/>
        <v>2202.2000000000003</v>
      </c>
      <c r="W57" s="289">
        <f t="shared" si="68"/>
        <v>2752.7500000000005</v>
      </c>
      <c r="X57" s="289">
        <f t="shared" si="69"/>
        <v>2752.7500000000005</v>
      </c>
      <c r="Y57" s="290">
        <f t="shared" si="70"/>
        <v>0.4</v>
      </c>
      <c r="Z57" s="274"/>
      <c r="AA57" s="274">
        <v>0.38500000000000006</v>
      </c>
      <c r="AB57" s="274"/>
      <c r="AC57" s="274"/>
      <c r="AD57" s="274"/>
      <c r="AE57" s="274"/>
      <c r="AF57" s="274"/>
      <c r="AG57" s="274"/>
      <c r="AH57" s="274"/>
      <c r="AI57" s="274"/>
      <c r="AJ57" s="289">
        <v>550.55000000000007</v>
      </c>
      <c r="AK57" s="274"/>
      <c r="AL57" s="274"/>
      <c r="AM57" s="274"/>
      <c r="AN57" s="274"/>
      <c r="AO57" s="274"/>
      <c r="AP57" s="274"/>
      <c r="AQ57" s="274"/>
      <c r="AR57" s="274"/>
      <c r="AS57" s="279">
        <v>0.4</v>
      </c>
      <c r="AT57" s="279"/>
      <c r="AU57" s="279"/>
      <c r="AV57" s="279"/>
      <c r="AW57" s="279"/>
      <c r="AX57" s="279"/>
      <c r="AY57" s="279"/>
      <c r="AZ57" s="279"/>
      <c r="BA57" s="274"/>
      <c r="BB57" s="279">
        <v>0.1</v>
      </c>
      <c r="BC57" s="279">
        <v>0.1</v>
      </c>
      <c r="BD57" s="274"/>
      <c r="BE57" s="274"/>
      <c r="BF57" s="274"/>
      <c r="BG57" s="274"/>
      <c r="BH57" s="274"/>
      <c r="BI57" s="274"/>
    </row>
    <row r="58" spans="1:61" ht="13.8" x14ac:dyDescent="0.25">
      <c r="A58" s="283"/>
      <c r="B58" s="283" t="s">
        <v>214</v>
      </c>
      <c r="C58" s="283">
        <f>3.1*2</f>
        <v>6.2</v>
      </c>
      <c r="D58" s="285">
        <f t="shared" si="59"/>
        <v>6.8200000000000012</v>
      </c>
      <c r="E58" s="285" t="s">
        <v>186</v>
      </c>
      <c r="F58" s="286">
        <f>'MATERIAL AND LABOR COST FOR WAL'!$D$34</f>
        <v>350</v>
      </c>
      <c r="G58" s="286">
        <f>'MATERIAL AND LABOR COST FOR WAL'!$F$34</f>
        <v>350</v>
      </c>
      <c r="H58" s="286">
        <f t="shared" si="60"/>
        <v>700</v>
      </c>
      <c r="I58" s="286">
        <f t="shared" si="61"/>
        <v>4774.0000000000009</v>
      </c>
      <c r="J58" s="274"/>
      <c r="K58" s="274"/>
      <c r="L58" s="274"/>
      <c r="M58" s="274"/>
      <c r="N58" s="274"/>
      <c r="O58" s="274"/>
      <c r="P58" s="274"/>
      <c r="Q58" s="287">
        <f t="shared" si="62"/>
        <v>0.68200000000000016</v>
      </c>
      <c r="R58" s="288">
        <f t="shared" si="63"/>
        <v>1.7050000000000003</v>
      </c>
      <c r="S58" s="288">
        <f t="shared" si="64"/>
        <v>2.3870000000000005</v>
      </c>
      <c r="T58" s="289">
        <f t="shared" si="65"/>
        <v>4.4330000000000007</v>
      </c>
      <c r="U58" s="289">
        <f t="shared" si="66"/>
        <v>477.40000000000009</v>
      </c>
      <c r="V58" s="289">
        <f t="shared" si="67"/>
        <v>1193.5000000000002</v>
      </c>
      <c r="W58" s="289">
        <f t="shared" si="68"/>
        <v>1670.9000000000003</v>
      </c>
      <c r="X58" s="289">
        <f t="shared" si="69"/>
        <v>3103.1000000000004</v>
      </c>
      <c r="Y58" s="290">
        <f t="shared" si="70"/>
        <v>0.25</v>
      </c>
      <c r="Z58" s="274"/>
      <c r="AA58" s="274">
        <v>0.68200000000000016</v>
      </c>
      <c r="AB58" s="274"/>
      <c r="AC58" s="274"/>
      <c r="AD58" s="274"/>
      <c r="AE58" s="274"/>
      <c r="AF58" s="274"/>
      <c r="AG58" s="274"/>
      <c r="AH58" s="274"/>
      <c r="AI58" s="274"/>
      <c r="AJ58" s="289">
        <v>477.40000000000009</v>
      </c>
      <c r="AK58" s="274"/>
      <c r="AL58" s="274"/>
      <c r="AM58" s="274"/>
      <c r="AN58" s="274"/>
      <c r="AO58" s="274"/>
      <c r="AP58" s="274"/>
      <c r="AQ58" s="274"/>
      <c r="AR58" s="274"/>
      <c r="AS58" s="279">
        <v>0.25</v>
      </c>
      <c r="AT58" s="279"/>
      <c r="AU58" s="279"/>
      <c r="AV58" s="279"/>
      <c r="AW58" s="279"/>
      <c r="AX58" s="279"/>
      <c r="AY58" s="279"/>
      <c r="AZ58" s="279"/>
      <c r="BA58" s="274"/>
      <c r="BB58" s="279">
        <v>0.1</v>
      </c>
      <c r="BC58" s="279">
        <v>0.1</v>
      </c>
      <c r="BD58" s="274"/>
      <c r="BE58" s="274"/>
      <c r="BF58" s="274"/>
      <c r="BG58" s="274"/>
      <c r="BH58" s="274"/>
      <c r="BI58" s="274"/>
    </row>
    <row r="59" spans="1:61" ht="13.8" x14ac:dyDescent="0.25">
      <c r="A59" s="283"/>
      <c r="B59" s="283" t="s">
        <v>215</v>
      </c>
      <c r="C59" s="283">
        <v>22.81</v>
      </c>
      <c r="D59" s="285">
        <f t="shared" si="59"/>
        <v>25.091000000000001</v>
      </c>
      <c r="E59" s="285" t="s">
        <v>186</v>
      </c>
      <c r="F59" s="286">
        <f>'MATERIAL AND LABOR COST FOR WAL'!$D$35</f>
        <v>950.00000000000011</v>
      </c>
      <c r="G59" s="286">
        <f>'MATERIAL AND LABOR COST FOR WAL'!$F$35</f>
        <v>350</v>
      </c>
      <c r="H59" s="286">
        <f t="shared" si="60"/>
        <v>1300</v>
      </c>
      <c r="I59" s="286">
        <f t="shared" si="61"/>
        <v>32618.300000000003</v>
      </c>
      <c r="J59" s="274"/>
      <c r="K59" s="274"/>
      <c r="L59" s="274"/>
      <c r="M59" s="274"/>
      <c r="N59" s="274"/>
      <c r="O59" s="274"/>
      <c r="P59" s="274"/>
      <c r="Q59" s="287">
        <f t="shared" si="62"/>
        <v>2.5091000000000001</v>
      </c>
      <c r="R59" s="288">
        <f t="shared" si="63"/>
        <v>12.545500000000001</v>
      </c>
      <c r="S59" s="288">
        <f t="shared" si="64"/>
        <v>15.054600000000001</v>
      </c>
      <c r="T59" s="289">
        <f t="shared" si="65"/>
        <v>10.0364</v>
      </c>
      <c r="U59" s="289">
        <f t="shared" si="66"/>
        <v>3261.8300000000004</v>
      </c>
      <c r="V59" s="289">
        <f t="shared" si="67"/>
        <v>16309.150000000001</v>
      </c>
      <c r="W59" s="289">
        <f t="shared" si="68"/>
        <v>19570.980000000003</v>
      </c>
      <c r="X59" s="289">
        <f t="shared" si="69"/>
        <v>13047.32</v>
      </c>
      <c r="Y59" s="290">
        <f t="shared" si="70"/>
        <v>0.5</v>
      </c>
      <c r="Z59" s="274"/>
      <c r="AA59" s="274">
        <v>2.5091000000000001</v>
      </c>
      <c r="AB59" s="274"/>
      <c r="AC59" s="274"/>
      <c r="AD59" s="274"/>
      <c r="AE59" s="274"/>
      <c r="AF59" s="274"/>
      <c r="AG59" s="274"/>
      <c r="AH59" s="274"/>
      <c r="AI59" s="274"/>
      <c r="AJ59" s="289">
        <v>3261.8300000000004</v>
      </c>
      <c r="AK59" s="274"/>
      <c r="AL59" s="274"/>
      <c r="AM59" s="274"/>
      <c r="AN59" s="274"/>
      <c r="AO59" s="274"/>
      <c r="AP59" s="274"/>
      <c r="AQ59" s="274"/>
      <c r="AR59" s="274"/>
      <c r="AS59" s="279">
        <v>0.5</v>
      </c>
      <c r="AT59" s="279"/>
      <c r="AU59" s="279"/>
      <c r="AV59" s="279"/>
      <c r="AW59" s="279"/>
      <c r="AX59" s="279"/>
      <c r="AY59" s="279"/>
      <c r="AZ59" s="279"/>
      <c r="BA59" s="274"/>
      <c r="BB59" s="279">
        <v>0.1</v>
      </c>
      <c r="BC59" s="279">
        <v>0.3</v>
      </c>
      <c r="BD59" s="274"/>
      <c r="BE59" s="274"/>
      <c r="BF59" s="274"/>
      <c r="BG59" s="274"/>
      <c r="BH59" s="274"/>
      <c r="BI59" s="274"/>
    </row>
    <row r="60" spans="1:61" ht="13.8" x14ac:dyDescent="0.25">
      <c r="A60" s="283"/>
      <c r="B60" s="283" t="s">
        <v>216</v>
      </c>
      <c r="C60" s="283">
        <v>2.8</v>
      </c>
      <c r="D60" s="285">
        <f t="shared" si="59"/>
        <v>3.08</v>
      </c>
      <c r="E60" s="285" t="s">
        <v>186</v>
      </c>
      <c r="F60" s="286">
        <f>'MATERIAL AND LABOR COST FOR WAL'!$D$36</f>
        <v>770.00000000000011</v>
      </c>
      <c r="G60" s="286">
        <f>'MATERIAL AND LABOR COST FOR WAL'!$F$36</f>
        <v>350</v>
      </c>
      <c r="H60" s="286">
        <f t="shared" si="60"/>
        <v>1120</v>
      </c>
      <c r="I60" s="286">
        <f t="shared" si="61"/>
        <v>3449.6</v>
      </c>
      <c r="J60" s="274"/>
      <c r="K60" s="274"/>
      <c r="L60" s="274"/>
      <c r="M60" s="274"/>
      <c r="N60" s="274"/>
      <c r="O60" s="274"/>
      <c r="P60" s="274"/>
      <c r="Q60" s="287">
        <f t="shared" si="62"/>
        <v>0.30800000000000005</v>
      </c>
      <c r="R60" s="288">
        <f t="shared" si="63"/>
        <v>1.8479999999999999</v>
      </c>
      <c r="S60" s="288">
        <f t="shared" si="64"/>
        <v>2.1559999999999997</v>
      </c>
      <c r="T60" s="289">
        <f t="shared" si="65"/>
        <v>0.92400000000000038</v>
      </c>
      <c r="U60" s="289">
        <f t="shared" si="66"/>
        <v>344.96000000000004</v>
      </c>
      <c r="V60" s="289">
        <f t="shared" si="67"/>
        <v>2069.7599999999998</v>
      </c>
      <c r="W60" s="289">
        <f t="shared" si="68"/>
        <v>2414.7199999999998</v>
      </c>
      <c r="X60" s="289">
        <f t="shared" si="69"/>
        <v>1034.8800000000001</v>
      </c>
      <c r="Y60" s="290">
        <f t="shared" si="70"/>
        <v>0.6</v>
      </c>
      <c r="Z60" s="274"/>
      <c r="AA60" s="274">
        <v>0.30800000000000005</v>
      </c>
      <c r="AB60" s="274"/>
      <c r="AC60" s="274"/>
      <c r="AD60" s="274"/>
      <c r="AE60" s="274"/>
      <c r="AF60" s="274"/>
      <c r="AG60" s="274"/>
      <c r="AH60" s="274"/>
      <c r="AI60" s="274"/>
      <c r="AJ60" s="289">
        <v>344.96000000000004</v>
      </c>
      <c r="AK60" s="274"/>
      <c r="AL60" s="274"/>
      <c r="AM60" s="274"/>
      <c r="AN60" s="274"/>
      <c r="AO60" s="274"/>
      <c r="AP60" s="274"/>
      <c r="AQ60" s="274"/>
      <c r="AR60" s="274"/>
      <c r="AS60" s="279">
        <v>0.6</v>
      </c>
      <c r="AT60" s="279"/>
      <c r="AU60" s="279"/>
      <c r="AV60" s="279"/>
      <c r="AW60" s="279"/>
      <c r="AX60" s="279"/>
      <c r="AY60" s="279"/>
      <c r="AZ60" s="279"/>
      <c r="BA60" s="274"/>
      <c r="BB60" s="279">
        <v>0.1</v>
      </c>
      <c r="BC60" s="279">
        <v>0.1</v>
      </c>
      <c r="BD60" s="274"/>
      <c r="BE60" s="274"/>
      <c r="BF60" s="274"/>
      <c r="BG60" s="274"/>
      <c r="BH60" s="274"/>
      <c r="BI60" s="274"/>
    </row>
    <row r="61" spans="1:61" ht="13.8" x14ac:dyDescent="0.25">
      <c r="A61" s="283"/>
      <c r="B61" s="283" t="s">
        <v>217</v>
      </c>
      <c r="C61" s="283">
        <v>3</v>
      </c>
      <c r="D61" s="285">
        <f t="shared" si="59"/>
        <v>3.3000000000000003</v>
      </c>
      <c r="E61" s="285" t="s">
        <v>186</v>
      </c>
      <c r="F61" s="286">
        <f>'MATERIAL AND LABOR COST FOR WAL'!$D$37</f>
        <v>1450.0000000000002</v>
      </c>
      <c r="G61" s="286">
        <f>'MATERIAL AND LABOR COST FOR WAL'!$F$37</f>
        <v>350</v>
      </c>
      <c r="H61" s="286">
        <f t="shared" si="60"/>
        <v>1800.0000000000002</v>
      </c>
      <c r="I61" s="286">
        <f>D61*H61</f>
        <v>5940.0000000000009</v>
      </c>
      <c r="J61" s="274"/>
      <c r="K61" s="274"/>
      <c r="L61" s="274"/>
      <c r="M61" s="274"/>
      <c r="N61" s="274"/>
      <c r="O61" s="274"/>
      <c r="P61" s="274"/>
      <c r="Q61" s="287">
        <f t="shared" si="62"/>
        <v>0.33000000000000007</v>
      </c>
      <c r="R61" s="288">
        <f t="shared" si="63"/>
        <v>0.33000000000000007</v>
      </c>
      <c r="S61" s="288">
        <f t="shared" si="64"/>
        <v>0.66000000000000014</v>
      </c>
      <c r="T61" s="289">
        <f t="shared" si="65"/>
        <v>2.64</v>
      </c>
      <c r="U61" s="289">
        <f t="shared" si="66"/>
        <v>594.00000000000011</v>
      </c>
      <c r="V61" s="289">
        <f t="shared" si="67"/>
        <v>594.00000000000011</v>
      </c>
      <c r="W61" s="289">
        <f t="shared" si="68"/>
        <v>1188.0000000000002</v>
      </c>
      <c r="X61" s="289">
        <f t="shared" si="69"/>
        <v>4752.0000000000009</v>
      </c>
      <c r="Y61" s="290">
        <f t="shared" si="70"/>
        <v>0.1</v>
      </c>
      <c r="Z61" s="274"/>
      <c r="AA61" s="274">
        <v>0.33000000000000007</v>
      </c>
      <c r="AB61" s="274"/>
      <c r="AC61" s="274"/>
      <c r="AD61" s="274"/>
      <c r="AE61" s="274"/>
      <c r="AF61" s="274"/>
      <c r="AG61" s="274"/>
      <c r="AH61" s="274"/>
      <c r="AI61" s="274"/>
      <c r="AJ61" s="289">
        <v>594.00000000000011</v>
      </c>
      <c r="AK61" s="274"/>
      <c r="AL61" s="274"/>
      <c r="AM61" s="274"/>
      <c r="AN61" s="274"/>
      <c r="AO61" s="274"/>
      <c r="AP61" s="274"/>
      <c r="AQ61" s="274"/>
      <c r="AR61" s="274"/>
      <c r="AS61" s="279">
        <v>0.1</v>
      </c>
      <c r="AT61" s="279"/>
      <c r="AU61" s="279"/>
      <c r="AV61" s="279"/>
      <c r="AW61" s="279"/>
      <c r="AX61" s="279"/>
      <c r="AY61" s="279"/>
      <c r="AZ61" s="279"/>
      <c r="BA61" s="274"/>
      <c r="BB61" s="279">
        <v>0.1</v>
      </c>
      <c r="BC61" s="279">
        <v>0.1</v>
      </c>
      <c r="BD61" s="274"/>
      <c r="BE61" s="274"/>
      <c r="BF61" s="274"/>
      <c r="BG61" s="274"/>
      <c r="BH61" s="274"/>
      <c r="BI61" s="274"/>
    </row>
    <row r="62" spans="1:61" ht="13.8" x14ac:dyDescent="0.25">
      <c r="A62" s="283"/>
      <c r="B62" s="284" t="s">
        <v>135</v>
      </c>
      <c r="C62" s="283"/>
      <c r="D62" s="285"/>
      <c r="E62" s="285"/>
      <c r="F62" s="286">
        <f>'MATERIAL AND LABOR COST FOR WAL'!D38</f>
        <v>0</v>
      </c>
      <c r="G62" s="286">
        <f>'MATERIAL AND LABOR COST FOR WAL'!F38</f>
        <v>0</v>
      </c>
      <c r="H62" s="286"/>
      <c r="I62" s="286"/>
      <c r="J62" s="274"/>
      <c r="K62" s="274"/>
      <c r="L62" s="274"/>
      <c r="M62" s="274"/>
      <c r="N62" s="274"/>
      <c r="O62" s="274"/>
      <c r="P62" s="274"/>
      <c r="Q62" s="281"/>
      <c r="R62" s="32"/>
      <c r="S62" s="32"/>
      <c r="T62" s="30"/>
      <c r="U62" s="289"/>
      <c r="V62" s="30"/>
      <c r="W62" s="30"/>
      <c r="X62" s="30"/>
      <c r="Y62" s="282"/>
      <c r="Z62" s="274"/>
      <c r="AA62" s="274"/>
      <c r="AB62" s="274"/>
      <c r="AC62" s="274"/>
      <c r="AD62" s="274"/>
      <c r="AE62" s="274"/>
      <c r="AF62" s="274"/>
      <c r="AG62" s="274"/>
      <c r="AH62" s="274"/>
      <c r="AI62" s="274"/>
      <c r="AJ62" s="30"/>
      <c r="AK62" s="274"/>
      <c r="AL62" s="274"/>
      <c r="AM62" s="274"/>
      <c r="AN62" s="274"/>
      <c r="AO62" s="274"/>
      <c r="AP62" s="274"/>
      <c r="AQ62" s="274"/>
      <c r="AR62" s="274"/>
      <c r="AS62" s="279"/>
      <c r="AT62" s="279"/>
      <c r="AU62" s="279"/>
      <c r="AV62" s="279"/>
      <c r="AW62" s="279"/>
      <c r="AX62" s="279"/>
      <c r="AY62" s="279"/>
      <c r="AZ62" s="279"/>
      <c r="BA62" s="274"/>
      <c r="BB62" s="279"/>
      <c r="BC62" s="279"/>
      <c r="BD62" s="274"/>
      <c r="BE62" s="274"/>
      <c r="BF62" s="274"/>
      <c r="BG62" s="274"/>
      <c r="BH62" s="274"/>
      <c r="BI62" s="274"/>
    </row>
    <row r="63" spans="1:61" ht="13.8" x14ac:dyDescent="0.25">
      <c r="A63" s="283"/>
      <c r="B63" s="283" t="s">
        <v>218</v>
      </c>
      <c r="C63" s="283">
        <v>37.5</v>
      </c>
      <c r="D63" s="285">
        <f t="shared" ref="D63:D66" si="71">C63*$K$20</f>
        <v>41.25</v>
      </c>
      <c r="E63" s="285" t="s">
        <v>186</v>
      </c>
      <c r="F63" s="286">
        <f>'MATERIAL AND LABOR COST FOR WAL'!$D$39</f>
        <v>350</v>
      </c>
      <c r="G63" s="286">
        <f>'MATERIAL AND LABOR COST FOR WAL'!$F$39</f>
        <v>350</v>
      </c>
      <c r="H63" s="286">
        <f t="shared" ref="H63:H66" si="72">SUM(F63,G63)</f>
        <v>700</v>
      </c>
      <c r="I63" s="286">
        <f t="shared" ref="I63:I65" si="73">H63*D63</f>
        <v>28875</v>
      </c>
      <c r="J63" s="274"/>
      <c r="K63" s="274"/>
      <c r="L63" s="274"/>
      <c r="M63" s="274"/>
      <c r="N63" s="274"/>
      <c r="O63" s="274"/>
      <c r="P63" s="274"/>
      <c r="Q63" s="287">
        <f t="shared" ref="Q63:Q66" si="74">SUM(AA63:AH63)</f>
        <v>4.125</v>
      </c>
      <c r="R63" s="288">
        <f t="shared" ref="R63:R66" si="75">Y63*D63</f>
        <v>12.375</v>
      </c>
      <c r="S63" s="288">
        <f t="shared" ref="S63:S66" si="76">SUM(Q63:R63)</f>
        <v>16.5</v>
      </c>
      <c r="T63" s="289">
        <f t="shared" ref="T63:T66" si="77">D63-S63</f>
        <v>24.75</v>
      </c>
      <c r="U63" s="289">
        <f t="shared" ref="U63:U66" si="78">SUM(AJ63:AQ63)</f>
        <v>2887.5</v>
      </c>
      <c r="V63" s="289">
        <f t="shared" ref="V63:V66" si="79">Y63*I63</f>
        <v>8662.5</v>
      </c>
      <c r="W63" s="289">
        <f t="shared" ref="W63:W66" si="80">SUM(U63:V63)</f>
        <v>11550</v>
      </c>
      <c r="X63" s="289">
        <f t="shared" ref="X63:X66" si="81">I63-W63</f>
        <v>17325</v>
      </c>
      <c r="Y63" s="290">
        <f t="shared" ref="Y63:Y66" si="82">SUM(AS63:AZ63)</f>
        <v>0.3</v>
      </c>
      <c r="Z63" s="274"/>
      <c r="AA63" s="274">
        <v>4.125</v>
      </c>
      <c r="AB63" s="274"/>
      <c r="AC63" s="274"/>
      <c r="AD63" s="274"/>
      <c r="AE63" s="274"/>
      <c r="AF63" s="274"/>
      <c r="AG63" s="274"/>
      <c r="AH63" s="274"/>
      <c r="AI63" s="274"/>
      <c r="AJ63" s="289">
        <v>2887.5</v>
      </c>
      <c r="AK63" s="274"/>
      <c r="AL63" s="274"/>
      <c r="AM63" s="274"/>
      <c r="AN63" s="274"/>
      <c r="AO63" s="274"/>
      <c r="AP63" s="274"/>
      <c r="AQ63" s="274"/>
      <c r="AR63" s="274"/>
      <c r="AS63" s="279">
        <v>0.3</v>
      </c>
      <c r="AT63" s="279"/>
      <c r="AU63" s="279"/>
      <c r="AV63" s="279"/>
      <c r="AW63" s="279"/>
      <c r="AX63" s="279"/>
      <c r="AY63" s="279"/>
      <c r="AZ63" s="279"/>
      <c r="BA63" s="274"/>
      <c r="BB63" s="279">
        <v>0.1</v>
      </c>
      <c r="BC63" s="279">
        <v>0.1</v>
      </c>
      <c r="BD63" s="274"/>
      <c r="BE63" s="274"/>
      <c r="BF63" s="274"/>
      <c r="BG63" s="274"/>
      <c r="BH63" s="274"/>
      <c r="BI63" s="274"/>
    </row>
    <row r="64" spans="1:61" ht="13.8" x14ac:dyDescent="0.25">
      <c r="A64" s="283"/>
      <c r="B64" s="283" t="s">
        <v>219</v>
      </c>
      <c r="C64" s="283">
        <v>4.2</v>
      </c>
      <c r="D64" s="285">
        <f t="shared" si="71"/>
        <v>4.620000000000001</v>
      </c>
      <c r="E64" s="285" t="s">
        <v>186</v>
      </c>
      <c r="F64" s="286">
        <f>'MATERIAL AND LABOR COST FOR WAL'!$D$40</f>
        <v>880.00000000000011</v>
      </c>
      <c r="G64" s="286">
        <f>'MATERIAL AND LABOR COST FOR WAL'!$F$40</f>
        <v>330</v>
      </c>
      <c r="H64" s="286">
        <f t="shared" si="72"/>
        <v>1210</v>
      </c>
      <c r="I64" s="286">
        <f t="shared" si="73"/>
        <v>5590.2000000000016</v>
      </c>
      <c r="J64" s="274"/>
      <c r="K64" s="274"/>
      <c r="L64" s="274"/>
      <c r="M64" s="274"/>
      <c r="N64" s="274"/>
      <c r="O64" s="274"/>
      <c r="P64" s="274"/>
      <c r="Q64" s="287">
        <f t="shared" si="74"/>
        <v>0.46200000000000013</v>
      </c>
      <c r="R64" s="288">
        <f t="shared" si="75"/>
        <v>0.46200000000000013</v>
      </c>
      <c r="S64" s="288">
        <f t="shared" si="76"/>
        <v>0.92400000000000027</v>
      </c>
      <c r="T64" s="289">
        <f t="shared" si="77"/>
        <v>3.6960000000000006</v>
      </c>
      <c r="U64" s="289">
        <f t="shared" si="78"/>
        <v>559.02000000000021</v>
      </c>
      <c r="V64" s="289">
        <f t="shared" si="79"/>
        <v>559.02000000000021</v>
      </c>
      <c r="W64" s="289">
        <f t="shared" si="80"/>
        <v>1118.0400000000004</v>
      </c>
      <c r="X64" s="289">
        <f t="shared" si="81"/>
        <v>4472.1600000000017</v>
      </c>
      <c r="Y64" s="290">
        <f t="shared" si="82"/>
        <v>0.1</v>
      </c>
      <c r="Z64" s="274"/>
      <c r="AA64" s="274">
        <v>0.46200000000000013</v>
      </c>
      <c r="AB64" s="274"/>
      <c r="AC64" s="274"/>
      <c r="AD64" s="274"/>
      <c r="AE64" s="274"/>
      <c r="AF64" s="274"/>
      <c r="AG64" s="274"/>
      <c r="AH64" s="274"/>
      <c r="AI64" s="274"/>
      <c r="AJ64" s="289">
        <v>559.02000000000021</v>
      </c>
      <c r="AK64" s="274"/>
      <c r="AL64" s="274"/>
      <c r="AM64" s="274"/>
      <c r="AN64" s="274"/>
      <c r="AO64" s="274"/>
      <c r="AP64" s="274"/>
      <c r="AQ64" s="274"/>
      <c r="AR64" s="274"/>
      <c r="AS64" s="279">
        <v>0.1</v>
      </c>
      <c r="AT64" s="279"/>
      <c r="AU64" s="279"/>
      <c r="AV64" s="279"/>
      <c r="AW64" s="279"/>
      <c r="AX64" s="279"/>
      <c r="AY64" s="279"/>
      <c r="AZ64" s="279"/>
      <c r="BA64" s="274"/>
      <c r="BB64" s="279">
        <v>0.1</v>
      </c>
      <c r="BC64" s="279">
        <v>0.1</v>
      </c>
      <c r="BD64" s="274"/>
      <c r="BE64" s="274"/>
      <c r="BF64" s="274"/>
      <c r="BG64" s="274"/>
      <c r="BH64" s="274"/>
      <c r="BI64" s="274"/>
    </row>
    <row r="65" spans="1:61" ht="13.8" x14ac:dyDescent="0.25">
      <c r="A65" s="283"/>
      <c r="B65" s="283" t="s">
        <v>220</v>
      </c>
      <c r="C65" s="283">
        <v>3</v>
      </c>
      <c r="D65" s="285">
        <f t="shared" si="71"/>
        <v>3.3000000000000003</v>
      </c>
      <c r="E65" s="285" t="s">
        <v>186</v>
      </c>
      <c r="F65" s="286">
        <f>'MATERIAL AND LABOR COST FOR WAL'!$D$41</f>
        <v>330</v>
      </c>
      <c r="G65" s="286">
        <f>'MATERIAL AND LABOR COST FOR WAL'!$F$41</f>
        <v>0</v>
      </c>
      <c r="H65" s="286">
        <f t="shared" si="72"/>
        <v>330</v>
      </c>
      <c r="I65" s="286">
        <f t="shared" si="73"/>
        <v>1089</v>
      </c>
      <c r="J65" s="274"/>
      <c r="K65" s="274"/>
      <c r="L65" s="274"/>
      <c r="M65" s="274"/>
      <c r="N65" s="274"/>
      <c r="O65" s="274"/>
      <c r="P65" s="274"/>
      <c r="Q65" s="287">
        <f t="shared" si="74"/>
        <v>0.33000000000000007</v>
      </c>
      <c r="R65" s="288">
        <f t="shared" si="75"/>
        <v>0.33000000000000007</v>
      </c>
      <c r="S65" s="288">
        <f t="shared" si="76"/>
        <v>0.66000000000000014</v>
      </c>
      <c r="T65" s="289">
        <f t="shared" si="77"/>
        <v>2.64</v>
      </c>
      <c r="U65" s="289">
        <f t="shared" si="78"/>
        <v>108.9</v>
      </c>
      <c r="V65" s="289">
        <f t="shared" si="79"/>
        <v>108.9</v>
      </c>
      <c r="W65" s="289">
        <f t="shared" si="80"/>
        <v>217.8</v>
      </c>
      <c r="X65" s="289">
        <f t="shared" si="81"/>
        <v>871.2</v>
      </c>
      <c r="Y65" s="290">
        <f t="shared" si="82"/>
        <v>0.1</v>
      </c>
      <c r="Z65" s="274"/>
      <c r="AA65" s="274">
        <v>0.33000000000000007</v>
      </c>
      <c r="AB65" s="274"/>
      <c r="AC65" s="274"/>
      <c r="AD65" s="274"/>
      <c r="AE65" s="274"/>
      <c r="AF65" s="274"/>
      <c r="AG65" s="274"/>
      <c r="AH65" s="274"/>
      <c r="AI65" s="274"/>
      <c r="AJ65" s="289">
        <v>108.9</v>
      </c>
      <c r="AK65" s="274"/>
      <c r="AL65" s="274"/>
      <c r="AM65" s="274"/>
      <c r="AN65" s="274"/>
      <c r="AO65" s="274"/>
      <c r="AP65" s="274"/>
      <c r="AQ65" s="274"/>
      <c r="AR65" s="274"/>
      <c r="AS65" s="279">
        <v>0.1</v>
      </c>
      <c r="AT65" s="279"/>
      <c r="AU65" s="279"/>
      <c r="AV65" s="279"/>
      <c r="AW65" s="279"/>
      <c r="AX65" s="279"/>
      <c r="AY65" s="279"/>
      <c r="AZ65" s="279"/>
      <c r="BA65" s="274"/>
      <c r="BB65" s="279">
        <v>0.1</v>
      </c>
      <c r="BC65" s="279">
        <v>0.1</v>
      </c>
      <c r="BD65" s="274"/>
      <c r="BE65" s="274"/>
      <c r="BF65" s="274"/>
      <c r="BG65" s="274"/>
      <c r="BH65" s="274"/>
      <c r="BI65" s="274"/>
    </row>
    <row r="66" spans="1:61" ht="13.8" x14ac:dyDescent="0.25">
      <c r="A66" s="283"/>
      <c r="B66" s="283" t="s">
        <v>221</v>
      </c>
      <c r="C66" s="283">
        <v>4.3</v>
      </c>
      <c r="D66" s="285">
        <f t="shared" si="71"/>
        <v>4.7300000000000004</v>
      </c>
      <c r="E66" s="285" t="s">
        <v>203</v>
      </c>
      <c r="F66" s="286">
        <f>'MATERIAL AND LABOR COST FOR WAL'!$D$42</f>
        <v>550</v>
      </c>
      <c r="G66" s="286">
        <f>'MATERIAL AND LABOR COST FOR WAL'!$F$42</f>
        <v>330</v>
      </c>
      <c r="H66" s="286">
        <f t="shared" si="72"/>
        <v>880</v>
      </c>
      <c r="I66" s="286">
        <f>D66*H66</f>
        <v>4162.4000000000005</v>
      </c>
      <c r="J66" s="274"/>
      <c r="K66" s="274"/>
      <c r="L66" s="274"/>
      <c r="M66" s="274"/>
      <c r="N66" s="274"/>
      <c r="O66" s="274"/>
      <c r="P66" s="274"/>
      <c r="Q66" s="287">
        <f t="shared" si="74"/>
        <v>0.47300000000000009</v>
      </c>
      <c r="R66" s="288">
        <f t="shared" si="75"/>
        <v>0.47300000000000009</v>
      </c>
      <c r="S66" s="288">
        <f t="shared" si="76"/>
        <v>0.94600000000000017</v>
      </c>
      <c r="T66" s="289">
        <f t="shared" si="77"/>
        <v>3.7840000000000003</v>
      </c>
      <c r="U66" s="289">
        <f t="shared" si="78"/>
        <v>416.24000000000007</v>
      </c>
      <c r="V66" s="289">
        <f t="shared" si="79"/>
        <v>416.24000000000007</v>
      </c>
      <c r="W66" s="289">
        <f t="shared" si="80"/>
        <v>832.48000000000013</v>
      </c>
      <c r="X66" s="289">
        <f t="shared" si="81"/>
        <v>3329.9200000000005</v>
      </c>
      <c r="Y66" s="290">
        <f t="shared" si="82"/>
        <v>0.1</v>
      </c>
      <c r="Z66" s="274"/>
      <c r="AA66" s="274">
        <v>0.47300000000000009</v>
      </c>
      <c r="AB66" s="274"/>
      <c r="AC66" s="274"/>
      <c r="AD66" s="274"/>
      <c r="AE66" s="274"/>
      <c r="AF66" s="274"/>
      <c r="AG66" s="274"/>
      <c r="AH66" s="274"/>
      <c r="AI66" s="274"/>
      <c r="AJ66" s="289">
        <v>416.24000000000007</v>
      </c>
      <c r="AK66" s="274"/>
      <c r="AL66" s="274"/>
      <c r="AM66" s="274"/>
      <c r="AN66" s="274"/>
      <c r="AO66" s="274"/>
      <c r="AP66" s="274"/>
      <c r="AQ66" s="274"/>
      <c r="AR66" s="274"/>
      <c r="AS66" s="279">
        <v>0.1</v>
      </c>
      <c r="AT66" s="279"/>
      <c r="AU66" s="279"/>
      <c r="AV66" s="279"/>
      <c r="AW66" s="279"/>
      <c r="AX66" s="279"/>
      <c r="AY66" s="279"/>
      <c r="AZ66" s="279"/>
      <c r="BA66" s="274"/>
      <c r="BB66" s="279">
        <v>0.1</v>
      </c>
      <c r="BC66" s="279">
        <v>0.1</v>
      </c>
      <c r="BD66" s="274"/>
      <c r="BE66" s="274"/>
      <c r="BF66" s="274"/>
      <c r="BG66" s="274"/>
      <c r="BH66" s="274"/>
      <c r="BI66" s="274"/>
    </row>
    <row r="67" spans="1:61" ht="13.8" x14ac:dyDescent="0.25">
      <c r="A67" s="283"/>
      <c r="B67" s="284" t="s">
        <v>137</v>
      </c>
      <c r="C67" s="283"/>
      <c r="D67" s="285"/>
      <c r="E67" s="285"/>
      <c r="F67" s="286">
        <f>'MATERIAL AND LABOR COST FOR WAL'!D43</f>
        <v>0</v>
      </c>
      <c r="G67" s="286">
        <f>'MATERIAL AND LABOR COST FOR WAL'!F43</f>
        <v>0</v>
      </c>
      <c r="H67" s="286"/>
      <c r="I67" s="286"/>
      <c r="J67" s="274"/>
      <c r="K67" s="274"/>
      <c r="L67" s="274"/>
      <c r="M67" s="274"/>
      <c r="N67" s="274"/>
      <c r="O67" s="274"/>
      <c r="P67" s="274"/>
      <c r="Q67" s="281"/>
      <c r="R67" s="32"/>
      <c r="S67" s="32"/>
      <c r="T67" s="30"/>
      <c r="U67" s="289"/>
      <c r="V67" s="30"/>
      <c r="W67" s="30"/>
      <c r="X67" s="30"/>
      <c r="Y67" s="282"/>
      <c r="Z67" s="274"/>
      <c r="AA67" s="274"/>
      <c r="AB67" s="274"/>
      <c r="AC67" s="274"/>
      <c r="AD67" s="274"/>
      <c r="AE67" s="274"/>
      <c r="AF67" s="274"/>
      <c r="AG67" s="274"/>
      <c r="AH67" s="274"/>
      <c r="AI67" s="274"/>
      <c r="AJ67" s="30"/>
      <c r="AK67" s="274"/>
      <c r="AL67" s="274"/>
      <c r="AM67" s="274"/>
      <c r="AN67" s="274"/>
      <c r="AO67" s="274"/>
      <c r="AP67" s="274"/>
      <c r="AQ67" s="274"/>
      <c r="AR67" s="274"/>
      <c r="AS67" s="279"/>
      <c r="AT67" s="279"/>
      <c r="AU67" s="279"/>
      <c r="AV67" s="279"/>
      <c r="AW67" s="279"/>
      <c r="AX67" s="279"/>
      <c r="AY67" s="279"/>
      <c r="AZ67" s="279"/>
      <c r="BA67" s="274"/>
      <c r="BB67" s="279"/>
      <c r="BC67" s="279"/>
      <c r="BD67" s="274"/>
      <c r="BE67" s="274"/>
      <c r="BF67" s="274"/>
      <c r="BG67" s="274"/>
      <c r="BH67" s="274"/>
      <c r="BI67" s="274"/>
    </row>
    <row r="68" spans="1:61" ht="13.8" x14ac:dyDescent="0.25">
      <c r="A68" s="283"/>
      <c r="B68" s="283" t="s">
        <v>222</v>
      </c>
      <c r="C68" s="283">
        <v>37.4</v>
      </c>
      <c r="D68" s="285">
        <f t="shared" ref="D68:D70" si="83">C68*$K$20</f>
        <v>41.14</v>
      </c>
      <c r="E68" s="285" t="s">
        <v>186</v>
      </c>
      <c r="F68" s="286">
        <f>'MATERIAL AND LABOR COST FOR WAL'!$D$44</f>
        <v>350</v>
      </c>
      <c r="G68" s="286">
        <f>'MATERIAL AND LABOR COST FOR WAL'!$F$44</f>
        <v>350</v>
      </c>
      <c r="H68" s="286">
        <f t="shared" ref="H68:H72" si="84">SUM(F68,G68)</f>
        <v>700</v>
      </c>
      <c r="I68" s="286">
        <f t="shared" ref="I68:I69" si="85">H68*D68</f>
        <v>28798</v>
      </c>
      <c r="J68" s="274"/>
      <c r="K68" s="274"/>
      <c r="L68" s="274"/>
      <c r="M68" s="274"/>
      <c r="N68" s="274"/>
      <c r="O68" s="274"/>
      <c r="P68" s="274"/>
      <c r="Q68" s="287">
        <f t="shared" ref="Q68:Q70" si="86">SUM(AA68:AH68)</f>
        <v>4.1139999999999999</v>
      </c>
      <c r="R68" s="288">
        <f t="shared" ref="R68:R70" si="87">Y68*D68</f>
        <v>12.342000000000001</v>
      </c>
      <c r="S68" s="288">
        <f t="shared" ref="S68:S70" si="88">SUM(Q68:R68)</f>
        <v>16.456</v>
      </c>
      <c r="T68" s="289">
        <f t="shared" ref="T68:T70" si="89">D68-S68</f>
        <v>24.684000000000001</v>
      </c>
      <c r="U68" s="289">
        <f t="shared" ref="U68:U70" si="90">SUM(AJ68:AQ68)</f>
        <v>2879.8</v>
      </c>
      <c r="V68" s="289">
        <f t="shared" ref="V68:V70" si="91">Y68*I68</f>
        <v>8639.4</v>
      </c>
      <c r="W68" s="289">
        <f t="shared" ref="W68:W70" si="92">SUM(U68:V68)</f>
        <v>11519.2</v>
      </c>
      <c r="X68" s="289">
        <f t="shared" ref="X68:X70" si="93">I68-W68</f>
        <v>17278.8</v>
      </c>
      <c r="Y68" s="290">
        <f t="shared" ref="Y68:Y70" si="94">SUM(AS68:AZ68)</f>
        <v>0.3</v>
      </c>
      <c r="Z68" s="274"/>
      <c r="AA68" s="274">
        <v>4.1139999999999999</v>
      </c>
      <c r="AB68" s="274"/>
      <c r="AC68" s="274"/>
      <c r="AD68" s="274"/>
      <c r="AE68" s="274"/>
      <c r="AF68" s="274"/>
      <c r="AG68" s="274"/>
      <c r="AH68" s="274"/>
      <c r="AI68" s="274"/>
      <c r="AJ68" s="289">
        <v>2879.8</v>
      </c>
      <c r="AK68" s="274"/>
      <c r="AL68" s="274"/>
      <c r="AM68" s="274"/>
      <c r="AN68" s="274"/>
      <c r="AO68" s="274"/>
      <c r="AP68" s="274"/>
      <c r="AQ68" s="274"/>
      <c r="AR68" s="274"/>
      <c r="AS68" s="279">
        <v>0.3</v>
      </c>
      <c r="AT68" s="279"/>
      <c r="AU68" s="279"/>
      <c r="AV68" s="279"/>
      <c r="AW68" s="279"/>
      <c r="AX68" s="279"/>
      <c r="AY68" s="279"/>
      <c r="AZ68" s="279"/>
      <c r="BA68" s="274"/>
      <c r="BB68" s="279">
        <v>0.1</v>
      </c>
      <c r="BC68" s="279">
        <v>0.1</v>
      </c>
      <c r="BD68" s="274"/>
      <c r="BE68" s="274"/>
      <c r="BF68" s="274"/>
      <c r="BG68" s="274"/>
      <c r="BH68" s="274"/>
      <c r="BI68" s="274"/>
    </row>
    <row r="69" spans="1:61" ht="13.8" x14ac:dyDescent="0.25">
      <c r="A69" s="283"/>
      <c r="B69" s="283" t="s">
        <v>223</v>
      </c>
      <c r="C69" s="283">
        <f>2.6*2</f>
        <v>5.2</v>
      </c>
      <c r="D69" s="285">
        <f t="shared" si="83"/>
        <v>5.7200000000000006</v>
      </c>
      <c r="E69" s="285" t="s">
        <v>186</v>
      </c>
      <c r="F69" s="286">
        <f>'MATERIAL AND LABOR COST FOR WAL'!$D$45</f>
        <v>330</v>
      </c>
      <c r="G69" s="286">
        <f>'MATERIAL AND LABOR COST FOR WAL'!$F$45</f>
        <v>350</v>
      </c>
      <c r="H69" s="286">
        <f t="shared" si="84"/>
        <v>680</v>
      </c>
      <c r="I69" s="286">
        <f t="shared" si="85"/>
        <v>3889.6000000000004</v>
      </c>
      <c r="J69" s="274"/>
      <c r="K69" s="274"/>
      <c r="L69" s="274"/>
      <c r="M69" s="274"/>
      <c r="N69" s="274"/>
      <c r="O69" s="274"/>
      <c r="P69" s="274"/>
      <c r="Q69" s="287">
        <f t="shared" si="86"/>
        <v>0.57200000000000006</v>
      </c>
      <c r="R69" s="288">
        <f t="shared" si="87"/>
        <v>1.7160000000000002</v>
      </c>
      <c r="S69" s="288">
        <f t="shared" si="88"/>
        <v>2.2880000000000003</v>
      </c>
      <c r="T69" s="289">
        <f t="shared" si="89"/>
        <v>3.4320000000000004</v>
      </c>
      <c r="U69" s="289">
        <f t="shared" si="90"/>
        <v>388.96000000000004</v>
      </c>
      <c r="V69" s="289">
        <f t="shared" si="91"/>
        <v>1166.8800000000001</v>
      </c>
      <c r="W69" s="289">
        <f t="shared" si="92"/>
        <v>1555.8400000000001</v>
      </c>
      <c r="X69" s="289">
        <f t="shared" si="93"/>
        <v>2333.7600000000002</v>
      </c>
      <c r="Y69" s="290">
        <f t="shared" si="94"/>
        <v>0.3</v>
      </c>
      <c r="Z69" s="274"/>
      <c r="AA69" s="274">
        <v>0.57200000000000006</v>
      </c>
      <c r="AB69" s="274"/>
      <c r="AC69" s="274"/>
      <c r="AD69" s="274"/>
      <c r="AE69" s="274"/>
      <c r="AF69" s="274"/>
      <c r="AG69" s="274"/>
      <c r="AH69" s="274"/>
      <c r="AI69" s="274"/>
      <c r="AJ69" s="289">
        <v>388.96000000000004</v>
      </c>
      <c r="AK69" s="274"/>
      <c r="AL69" s="274"/>
      <c r="AM69" s="274"/>
      <c r="AN69" s="274"/>
      <c r="AO69" s="274"/>
      <c r="AP69" s="274"/>
      <c r="AQ69" s="274"/>
      <c r="AR69" s="274"/>
      <c r="AS69" s="279">
        <v>0.3</v>
      </c>
      <c r="AT69" s="279"/>
      <c r="AU69" s="279"/>
      <c r="AV69" s="279"/>
      <c r="AW69" s="279"/>
      <c r="AX69" s="279"/>
      <c r="AY69" s="279"/>
      <c r="AZ69" s="279"/>
      <c r="BA69" s="274"/>
      <c r="BB69" s="279">
        <v>0.1</v>
      </c>
      <c r="BC69" s="279">
        <v>0.1</v>
      </c>
      <c r="BD69" s="274"/>
      <c r="BE69" s="274"/>
      <c r="BF69" s="274"/>
      <c r="BG69" s="274"/>
      <c r="BH69" s="274"/>
      <c r="BI69" s="274"/>
    </row>
    <row r="70" spans="1:61" ht="13.8" x14ac:dyDescent="0.25">
      <c r="A70" s="283"/>
      <c r="B70" s="283" t="s">
        <v>221</v>
      </c>
      <c r="C70" s="283">
        <v>3.3</v>
      </c>
      <c r="D70" s="285">
        <f t="shared" si="83"/>
        <v>3.63</v>
      </c>
      <c r="E70" s="285" t="s">
        <v>203</v>
      </c>
      <c r="F70" s="286">
        <f>'MATERIAL AND LABOR COST FOR WAL'!$D$46</f>
        <v>550</v>
      </c>
      <c r="G70" s="286">
        <f>'MATERIAL AND LABOR COST FOR WAL'!$F$46</f>
        <v>330</v>
      </c>
      <c r="H70" s="286">
        <f t="shared" si="84"/>
        <v>880</v>
      </c>
      <c r="I70" s="286">
        <f>D70*H70</f>
        <v>3194.4</v>
      </c>
      <c r="J70" s="274"/>
      <c r="K70" s="274"/>
      <c r="L70" s="274"/>
      <c r="M70" s="274"/>
      <c r="N70" s="274"/>
      <c r="O70" s="274"/>
      <c r="P70" s="274"/>
      <c r="Q70" s="287">
        <f t="shared" si="86"/>
        <v>0.36299999999999999</v>
      </c>
      <c r="R70" s="288">
        <f t="shared" si="87"/>
        <v>1.089</v>
      </c>
      <c r="S70" s="288">
        <f t="shared" si="88"/>
        <v>1.452</v>
      </c>
      <c r="T70" s="289">
        <f t="shared" si="89"/>
        <v>2.1779999999999999</v>
      </c>
      <c r="U70" s="289">
        <f t="shared" si="90"/>
        <v>319.44000000000005</v>
      </c>
      <c r="V70" s="289">
        <f t="shared" si="91"/>
        <v>958.31999999999994</v>
      </c>
      <c r="W70" s="289">
        <f t="shared" si="92"/>
        <v>1277.76</v>
      </c>
      <c r="X70" s="289">
        <f t="shared" si="93"/>
        <v>1916.64</v>
      </c>
      <c r="Y70" s="290">
        <f t="shared" si="94"/>
        <v>0.3</v>
      </c>
      <c r="Z70" s="274"/>
      <c r="AA70" s="274">
        <v>0.36299999999999999</v>
      </c>
      <c r="AB70" s="274"/>
      <c r="AC70" s="274"/>
      <c r="AD70" s="274"/>
      <c r="AE70" s="274"/>
      <c r="AF70" s="274"/>
      <c r="AG70" s="274"/>
      <c r="AH70" s="274"/>
      <c r="AI70" s="274"/>
      <c r="AJ70" s="289">
        <v>319.44000000000005</v>
      </c>
      <c r="AK70" s="274"/>
      <c r="AL70" s="274"/>
      <c r="AM70" s="274"/>
      <c r="AN70" s="274"/>
      <c r="AO70" s="274"/>
      <c r="AP70" s="274"/>
      <c r="AQ70" s="274"/>
      <c r="AR70" s="274"/>
      <c r="AS70" s="279">
        <v>0.3</v>
      </c>
      <c r="AT70" s="279"/>
      <c r="AU70" s="279"/>
      <c r="AV70" s="279"/>
      <c r="AW70" s="279"/>
      <c r="AX70" s="279"/>
      <c r="AY70" s="279"/>
      <c r="AZ70" s="279"/>
      <c r="BA70" s="274"/>
      <c r="BB70" s="279">
        <v>0.1</v>
      </c>
      <c r="BC70" s="279">
        <v>0.1</v>
      </c>
      <c r="BD70" s="274"/>
      <c r="BE70" s="274"/>
      <c r="BF70" s="274"/>
      <c r="BG70" s="274"/>
      <c r="BH70" s="274"/>
      <c r="BI70" s="274"/>
    </row>
    <row r="71" spans="1:61" ht="13.8" x14ac:dyDescent="0.25">
      <c r="A71" s="283"/>
      <c r="B71" s="284" t="s">
        <v>138</v>
      </c>
      <c r="C71" s="283"/>
      <c r="D71" s="285"/>
      <c r="E71" s="285"/>
      <c r="F71" s="286">
        <f>'MATERIAL AND LABOR COST FOR WAL'!D47</f>
        <v>0</v>
      </c>
      <c r="G71" s="286">
        <f>'MATERIAL AND LABOR COST FOR WAL'!$F$47</f>
        <v>0</v>
      </c>
      <c r="H71" s="286">
        <f t="shared" si="84"/>
        <v>0</v>
      </c>
      <c r="I71" s="286">
        <f t="shared" ref="I71:I72" si="95">H71*D71</f>
        <v>0</v>
      </c>
      <c r="J71" s="274"/>
      <c r="K71" s="274"/>
      <c r="L71" s="274"/>
      <c r="M71" s="274"/>
      <c r="N71" s="274"/>
      <c r="O71" s="274"/>
      <c r="P71" s="274"/>
      <c r="Q71" s="281"/>
      <c r="R71" s="32"/>
      <c r="S71" s="32"/>
      <c r="T71" s="30"/>
      <c r="U71" s="289"/>
      <c r="V71" s="30"/>
      <c r="W71" s="30"/>
      <c r="X71" s="30"/>
      <c r="Y71" s="282"/>
      <c r="Z71" s="274"/>
      <c r="AA71" s="274"/>
      <c r="AB71" s="274"/>
      <c r="AC71" s="274"/>
      <c r="AD71" s="274"/>
      <c r="AE71" s="274"/>
      <c r="AF71" s="274"/>
      <c r="AG71" s="274"/>
      <c r="AH71" s="274"/>
      <c r="AI71" s="274"/>
      <c r="AJ71" s="30"/>
      <c r="AK71" s="274"/>
      <c r="AL71" s="274"/>
      <c r="AM71" s="274"/>
      <c r="AN71" s="274"/>
      <c r="AO71" s="274"/>
      <c r="AP71" s="274"/>
      <c r="AQ71" s="274"/>
      <c r="AR71" s="274"/>
      <c r="AS71" s="279"/>
      <c r="AT71" s="279"/>
      <c r="AU71" s="279"/>
      <c r="AV71" s="279"/>
      <c r="AW71" s="279"/>
      <c r="AX71" s="279"/>
      <c r="AY71" s="279"/>
      <c r="AZ71" s="279"/>
      <c r="BA71" s="274"/>
      <c r="BB71" s="279"/>
      <c r="BC71" s="279"/>
      <c r="BD71" s="274"/>
      <c r="BE71" s="274"/>
      <c r="BF71" s="274"/>
      <c r="BG71" s="274"/>
      <c r="BH71" s="274"/>
      <c r="BI71" s="274"/>
    </row>
    <row r="72" spans="1:61" ht="13.8" x14ac:dyDescent="0.25">
      <c r="A72" s="283"/>
      <c r="B72" s="283" t="s">
        <v>224</v>
      </c>
      <c r="C72" s="283">
        <v>50.6</v>
      </c>
      <c r="D72" s="285">
        <f>C72*$K$20</f>
        <v>55.660000000000004</v>
      </c>
      <c r="E72" s="285" t="s">
        <v>186</v>
      </c>
      <c r="F72" s="286">
        <f>'MATERIAL AND LABOR COST FOR WAL'!$D$48</f>
        <v>350</v>
      </c>
      <c r="G72" s="286">
        <f>'MATERIAL AND LABOR COST FOR WAL'!$F$48</f>
        <v>350</v>
      </c>
      <c r="H72" s="286">
        <f t="shared" si="84"/>
        <v>700</v>
      </c>
      <c r="I72" s="286">
        <f t="shared" si="95"/>
        <v>38962</v>
      </c>
      <c r="J72" s="274"/>
      <c r="K72" s="274"/>
      <c r="L72" s="274"/>
      <c r="M72" s="274"/>
      <c r="N72" s="274"/>
      <c r="O72" s="274"/>
      <c r="P72" s="274"/>
      <c r="Q72" s="287">
        <f>SUM(AA72:AH72)</f>
        <v>5.5660000000000007</v>
      </c>
      <c r="R72" s="288">
        <f>Y72*D72</f>
        <v>33.396000000000001</v>
      </c>
      <c r="S72" s="288">
        <f>SUM(Q72:R72)</f>
        <v>38.962000000000003</v>
      </c>
      <c r="T72" s="289">
        <f>D72-S72</f>
        <v>16.698</v>
      </c>
      <c r="U72" s="289">
        <f>SUM(AJ72:AQ72)</f>
        <v>3896.2000000000003</v>
      </c>
      <c r="V72" s="289">
        <f>Y72*I72</f>
        <v>23377.200000000001</v>
      </c>
      <c r="W72" s="289">
        <f>SUM(U72:V72)</f>
        <v>27273.4</v>
      </c>
      <c r="X72" s="289">
        <f>I72-W72</f>
        <v>11688.599999999999</v>
      </c>
      <c r="Y72" s="290">
        <f>SUM(AS72:AZ72)</f>
        <v>0.6</v>
      </c>
      <c r="Z72" s="274"/>
      <c r="AA72" s="274">
        <v>5.5660000000000007</v>
      </c>
      <c r="AB72" s="274"/>
      <c r="AC72" s="274"/>
      <c r="AD72" s="274"/>
      <c r="AE72" s="274"/>
      <c r="AF72" s="274"/>
      <c r="AG72" s="274"/>
      <c r="AH72" s="274"/>
      <c r="AI72" s="274"/>
      <c r="AJ72" s="289">
        <v>3896.2000000000003</v>
      </c>
      <c r="AK72" s="274"/>
      <c r="AL72" s="274"/>
      <c r="AM72" s="274"/>
      <c r="AN72" s="274"/>
      <c r="AO72" s="274"/>
      <c r="AP72" s="274"/>
      <c r="AQ72" s="274"/>
      <c r="AR72" s="274"/>
      <c r="AS72" s="279">
        <v>0.6</v>
      </c>
      <c r="AT72" s="279"/>
      <c r="AU72" s="279"/>
      <c r="AV72" s="279"/>
      <c r="AW72" s="279"/>
      <c r="AX72" s="279"/>
      <c r="AY72" s="279"/>
      <c r="AZ72" s="279"/>
      <c r="BA72" s="274"/>
      <c r="BB72" s="279">
        <v>0.1</v>
      </c>
      <c r="BC72" s="279">
        <v>0.1</v>
      </c>
      <c r="BD72" s="274"/>
      <c r="BE72" s="274"/>
      <c r="BF72" s="274"/>
      <c r="BG72" s="274"/>
      <c r="BH72" s="274"/>
      <c r="BI72" s="274"/>
    </row>
    <row r="73" spans="1:61" ht="13.8" x14ac:dyDescent="0.25">
      <c r="A73" s="283"/>
      <c r="B73" s="284" t="s">
        <v>225</v>
      </c>
      <c r="C73" s="283"/>
      <c r="D73" s="285"/>
      <c r="E73" s="285"/>
      <c r="F73" s="286">
        <f>'MATERIAL AND LABOR COST FOR WAL'!D49</f>
        <v>0</v>
      </c>
      <c r="G73" s="286">
        <f>'MATERIAL AND LABOR COST FOR WAL'!F49</f>
        <v>0</v>
      </c>
      <c r="H73" s="286"/>
      <c r="I73" s="286"/>
      <c r="J73" s="274"/>
      <c r="K73" s="274"/>
      <c r="L73" s="274"/>
      <c r="M73" s="274"/>
      <c r="N73" s="274"/>
      <c r="O73" s="274"/>
      <c r="P73" s="274"/>
      <c r="Q73" s="281"/>
      <c r="R73" s="32"/>
      <c r="S73" s="32"/>
      <c r="T73" s="30"/>
      <c r="U73" s="289"/>
      <c r="V73" s="30"/>
      <c r="W73" s="30"/>
      <c r="X73" s="30"/>
      <c r="Y73" s="282"/>
      <c r="Z73" s="274"/>
      <c r="AA73" s="274"/>
      <c r="AB73" s="274"/>
      <c r="AC73" s="274"/>
      <c r="AD73" s="274"/>
      <c r="AE73" s="274"/>
      <c r="AF73" s="274"/>
      <c r="AG73" s="274"/>
      <c r="AH73" s="274"/>
      <c r="AI73" s="274"/>
      <c r="AJ73" s="30"/>
      <c r="AK73" s="274"/>
      <c r="AL73" s="274"/>
      <c r="AM73" s="274"/>
      <c r="AN73" s="274"/>
      <c r="AO73" s="274"/>
      <c r="AP73" s="274"/>
      <c r="AQ73" s="274"/>
      <c r="AR73" s="274"/>
      <c r="AS73" s="279"/>
      <c r="AT73" s="279"/>
      <c r="AU73" s="279"/>
      <c r="AV73" s="279"/>
      <c r="AW73" s="279"/>
      <c r="AX73" s="279"/>
      <c r="AY73" s="279"/>
      <c r="AZ73" s="279"/>
      <c r="BA73" s="274"/>
      <c r="BB73" s="279"/>
      <c r="BC73" s="279"/>
      <c r="BD73" s="274"/>
      <c r="BE73" s="274"/>
      <c r="BF73" s="274"/>
      <c r="BG73" s="274"/>
      <c r="BH73" s="274"/>
      <c r="BI73" s="274"/>
    </row>
    <row r="74" spans="1:61" ht="13.8" x14ac:dyDescent="0.25">
      <c r="A74" s="283"/>
      <c r="B74" s="283" t="s">
        <v>226</v>
      </c>
      <c r="C74" s="283">
        <v>4</v>
      </c>
      <c r="D74" s="285">
        <f t="shared" ref="D74:D77" si="96">C74*$K$20</f>
        <v>4.4000000000000004</v>
      </c>
      <c r="E74" s="285" t="s">
        <v>186</v>
      </c>
      <c r="F74" s="286">
        <f>'MATERIAL AND LABOR COST FOR WAL'!$D$50</f>
        <v>770.00000000000011</v>
      </c>
      <c r="G74" s="286">
        <f>'MATERIAL AND LABOR COST FOR WAL'!$F$50</f>
        <v>350</v>
      </c>
      <c r="H74" s="286">
        <f t="shared" ref="H74:H77" si="97">SUM(F74,G74)</f>
        <v>1120</v>
      </c>
      <c r="I74" s="286">
        <f t="shared" ref="I74:I76" si="98">H74*D74</f>
        <v>4928</v>
      </c>
      <c r="J74" s="274"/>
      <c r="K74" s="274"/>
      <c r="L74" s="274"/>
      <c r="M74" s="274"/>
      <c r="N74" s="274"/>
      <c r="O74" s="274"/>
      <c r="P74" s="274"/>
      <c r="Q74" s="287">
        <f t="shared" ref="Q74:Q78" si="99">SUM(AA74:AH74)</f>
        <v>0.44000000000000006</v>
      </c>
      <c r="R74" s="288">
        <f t="shared" ref="R74:R78" si="100">Y74*D74</f>
        <v>1.7600000000000002</v>
      </c>
      <c r="S74" s="288">
        <f t="shared" ref="S74:S78" si="101">SUM(Q74:R74)</f>
        <v>2.2000000000000002</v>
      </c>
      <c r="T74" s="289">
        <f t="shared" ref="T74:T78" si="102">D74-S74</f>
        <v>2.2000000000000002</v>
      </c>
      <c r="U74" s="289">
        <f t="shared" ref="U74:U78" si="103">SUM(AJ74:AQ74)</f>
        <v>492.8</v>
      </c>
      <c r="V74" s="289">
        <f t="shared" ref="V74:V78" si="104">Y74*I74</f>
        <v>1971.2</v>
      </c>
      <c r="W74" s="289">
        <f t="shared" ref="W74:W78" si="105">SUM(U74:V74)</f>
        <v>2464</v>
      </c>
      <c r="X74" s="289">
        <f t="shared" ref="X74:X78" si="106">I74-W74</f>
        <v>2464</v>
      </c>
      <c r="Y74" s="290">
        <f t="shared" ref="Y74:Y78" si="107">SUM(AS74:AZ74)</f>
        <v>0.4</v>
      </c>
      <c r="Z74" s="274"/>
      <c r="AA74" s="274">
        <v>0.44000000000000006</v>
      </c>
      <c r="AB74" s="274"/>
      <c r="AC74" s="274"/>
      <c r="AD74" s="274"/>
      <c r="AE74" s="274"/>
      <c r="AF74" s="274"/>
      <c r="AG74" s="274"/>
      <c r="AH74" s="274"/>
      <c r="AI74" s="274"/>
      <c r="AJ74" s="289">
        <v>492.8</v>
      </c>
      <c r="AK74" s="274"/>
      <c r="AL74" s="274"/>
      <c r="AM74" s="274"/>
      <c r="AN74" s="274"/>
      <c r="AO74" s="274"/>
      <c r="AP74" s="274"/>
      <c r="AQ74" s="274"/>
      <c r="AR74" s="274"/>
      <c r="AS74" s="279">
        <v>0.4</v>
      </c>
      <c r="AT74" s="279"/>
      <c r="AU74" s="279"/>
      <c r="AV74" s="279"/>
      <c r="AW74" s="279"/>
      <c r="AX74" s="279"/>
      <c r="AY74" s="279"/>
      <c r="AZ74" s="279"/>
      <c r="BA74" s="274"/>
      <c r="BB74" s="279">
        <v>0.1</v>
      </c>
      <c r="BC74" s="279">
        <v>0.3</v>
      </c>
      <c r="BD74" s="274"/>
      <c r="BE74" s="274"/>
      <c r="BF74" s="274"/>
      <c r="BG74" s="274"/>
      <c r="BH74" s="274"/>
      <c r="BI74" s="274"/>
    </row>
    <row r="75" spans="1:61" ht="13.8" x14ac:dyDescent="0.25">
      <c r="A75" s="283"/>
      <c r="B75" s="283" t="s">
        <v>227</v>
      </c>
      <c r="C75" s="283">
        <v>3.7</v>
      </c>
      <c r="D75" s="285">
        <f t="shared" si="96"/>
        <v>4.07</v>
      </c>
      <c r="E75" s="285" t="s">
        <v>186</v>
      </c>
      <c r="F75" s="286">
        <f>'MATERIAL AND LABOR COST FOR WAL'!$D$51</f>
        <v>650</v>
      </c>
      <c r="G75" s="286">
        <f>'MATERIAL AND LABOR COST FOR WAL'!$F$51</f>
        <v>350</v>
      </c>
      <c r="H75" s="286">
        <f t="shared" si="97"/>
        <v>1000</v>
      </c>
      <c r="I75" s="286">
        <f t="shared" si="98"/>
        <v>4070.0000000000005</v>
      </c>
      <c r="J75" s="274"/>
      <c r="K75" s="274"/>
      <c r="L75" s="274"/>
      <c r="M75" s="274"/>
      <c r="N75" s="274"/>
      <c r="O75" s="274"/>
      <c r="P75" s="274"/>
      <c r="Q75" s="287">
        <f t="shared" si="99"/>
        <v>0.61050000000000004</v>
      </c>
      <c r="R75" s="288">
        <f t="shared" si="100"/>
        <v>1.4245000000000001</v>
      </c>
      <c r="S75" s="288">
        <f t="shared" si="101"/>
        <v>2.0350000000000001</v>
      </c>
      <c r="T75" s="289">
        <f t="shared" si="102"/>
        <v>2.0350000000000001</v>
      </c>
      <c r="U75" s="289">
        <f t="shared" si="103"/>
        <v>610.5</v>
      </c>
      <c r="V75" s="289">
        <f t="shared" si="104"/>
        <v>1424.5</v>
      </c>
      <c r="W75" s="289">
        <f t="shared" si="105"/>
        <v>2035</v>
      </c>
      <c r="X75" s="289">
        <f t="shared" si="106"/>
        <v>2035.0000000000005</v>
      </c>
      <c r="Y75" s="290">
        <f t="shared" si="107"/>
        <v>0.35</v>
      </c>
      <c r="Z75" s="274"/>
      <c r="AA75" s="274">
        <v>0.61050000000000004</v>
      </c>
      <c r="AB75" s="274"/>
      <c r="AC75" s="274"/>
      <c r="AD75" s="274"/>
      <c r="AE75" s="274"/>
      <c r="AF75" s="274"/>
      <c r="AG75" s="274"/>
      <c r="AH75" s="274"/>
      <c r="AI75" s="274"/>
      <c r="AJ75" s="289">
        <v>610.5</v>
      </c>
      <c r="AK75" s="274"/>
      <c r="AL75" s="274"/>
      <c r="AM75" s="274"/>
      <c r="AN75" s="274"/>
      <c r="AO75" s="274"/>
      <c r="AP75" s="274"/>
      <c r="AQ75" s="274"/>
      <c r="AR75" s="274"/>
      <c r="AS75" s="279">
        <v>0.35</v>
      </c>
      <c r="AT75" s="279"/>
      <c r="AU75" s="279"/>
      <c r="AV75" s="279"/>
      <c r="AW75" s="279"/>
      <c r="AX75" s="279"/>
      <c r="AY75" s="279"/>
      <c r="AZ75" s="279"/>
      <c r="BA75" s="274"/>
      <c r="BB75" s="279">
        <v>0.15</v>
      </c>
      <c r="BC75" s="279">
        <v>0.3</v>
      </c>
      <c r="BD75" s="274"/>
      <c r="BE75" s="274"/>
      <c r="BF75" s="274"/>
      <c r="BG75" s="274"/>
      <c r="BH75" s="274"/>
      <c r="BI75" s="274"/>
    </row>
    <row r="76" spans="1:61" ht="13.8" x14ac:dyDescent="0.25">
      <c r="A76" s="283"/>
      <c r="B76" s="283" t="s">
        <v>228</v>
      </c>
      <c r="C76" s="283">
        <v>18.8</v>
      </c>
      <c r="D76" s="285">
        <f t="shared" si="96"/>
        <v>20.680000000000003</v>
      </c>
      <c r="E76" s="285" t="s">
        <v>186</v>
      </c>
      <c r="F76" s="286">
        <f>'MATERIAL AND LABOR COST FOR WAL'!$D$52</f>
        <v>1320</v>
      </c>
      <c r="G76" s="286">
        <f>'MATERIAL AND LABOR COST FOR WAL'!$F$52</f>
        <v>700</v>
      </c>
      <c r="H76" s="286">
        <f t="shared" si="97"/>
        <v>2020</v>
      </c>
      <c r="I76" s="286">
        <f t="shared" si="98"/>
        <v>41773.600000000006</v>
      </c>
      <c r="J76" s="274"/>
      <c r="K76" s="274"/>
      <c r="L76" s="274"/>
      <c r="M76" s="274"/>
      <c r="N76" s="274"/>
      <c r="O76" s="274"/>
      <c r="P76" s="274"/>
      <c r="Q76" s="287">
        <f t="shared" si="99"/>
        <v>3.1020000000000003</v>
      </c>
      <c r="R76" s="288">
        <f t="shared" si="100"/>
        <v>8.272000000000002</v>
      </c>
      <c r="S76" s="288">
        <f t="shared" si="101"/>
        <v>11.374000000000002</v>
      </c>
      <c r="T76" s="289">
        <f t="shared" si="102"/>
        <v>9.3060000000000009</v>
      </c>
      <c r="U76" s="289">
        <f t="shared" si="103"/>
        <v>6266.0400000000009</v>
      </c>
      <c r="V76" s="289">
        <f t="shared" si="104"/>
        <v>16709.440000000002</v>
      </c>
      <c r="W76" s="289">
        <f t="shared" si="105"/>
        <v>22975.480000000003</v>
      </c>
      <c r="X76" s="289">
        <f t="shared" si="106"/>
        <v>18798.120000000003</v>
      </c>
      <c r="Y76" s="290">
        <f t="shared" si="107"/>
        <v>0.4</v>
      </c>
      <c r="Z76" s="274"/>
      <c r="AA76" s="274">
        <v>3.1020000000000003</v>
      </c>
      <c r="AB76" s="274"/>
      <c r="AC76" s="274"/>
      <c r="AD76" s="274"/>
      <c r="AE76" s="274"/>
      <c r="AF76" s="274"/>
      <c r="AG76" s="274"/>
      <c r="AH76" s="274"/>
      <c r="AI76" s="274"/>
      <c r="AJ76" s="289">
        <v>6266.0400000000009</v>
      </c>
      <c r="AK76" s="274"/>
      <c r="AL76" s="274"/>
      <c r="AM76" s="274"/>
      <c r="AN76" s="274"/>
      <c r="AO76" s="274"/>
      <c r="AP76" s="274"/>
      <c r="AQ76" s="274"/>
      <c r="AR76" s="274"/>
      <c r="AS76" s="279">
        <v>0.4</v>
      </c>
      <c r="AT76" s="279"/>
      <c r="AU76" s="279"/>
      <c r="AV76" s="279"/>
      <c r="AW76" s="279"/>
      <c r="AX76" s="279"/>
      <c r="AY76" s="279"/>
      <c r="AZ76" s="279"/>
      <c r="BA76" s="274"/>
      <c r="BB76" s="279">
        <v>0.15</v>
      </c>
      <c r="BC76" s="279">
        <v>0.15</v>
      </c>
      <c r="BD76" s="274"/>
      <c r="BE76" s="274"/>
      <c r="BF76" s="274"/>
      <c r="BG76" s="274"/>
      <c r="BH76" s="274"/>
      <c r="BI76" s="274"/>
    </row>
    <row r="77" spans="1:61" ht="13.8" x14ac:dyDescent="0.25">
      <c r="A77" s="283"/>
      <c r="B77" s="283" t="s">
        <v>229</v>
      </c>
      <c r="C77" s="283">
        <v>1.5</v>
      </c>
      <c r="D77" s="285">
        <f t="shared" si="96"/>
        <v>1.6500000000000001</v>
      </c>
      <c r="E77" s="285" t="s">
        <v>186</v>
      </c>
      <c r="F77" s="286">
        <f>'MATERIAL AND LABOR COST FOR WAL'!$D$53</f>
        <v>6600.0000000000009</v>
      </c>
      <c r="G77" s="286">
        <f>'MATERIAL AND LABOR COST FOR WAL'!$F$53</f>
        <v>3300.0000000000005</v>
      </c>
      <c r="H77" s="286">
        <f t="shared" si="97"/>
        <v>9900.0000000000018</v>
      </c>
      <c r="I77" s="286">
        <f>D77*H77</f>
        <v>16335.000000000004</v>
      </c>
      <c r="J77" s="274"/>
      <c r="K77" s="274"/>
      <c r="L77" s="274"/>
      <c r="M77" s="274"/>
      <c r="N77" s="274"/>
      <c r="O77" s="274"/>
      <c r="P77" s="274"/>
      <c r="Q77" s="287">
        <f t="shared" si="99"/>
        <v>0.2475</v>
      </c>
      <c r="R77" s="288">
        <f t="shared" si="100"/>
        <v>0.41250000000000003</v>
      </c>
      <c r="S77" s="288">
        <f t="shared" si="101"/>
        <v>0.66</v>
      </c>
      <c r="T77" s="289">
        <f t="shared" si="102"/>
        <v>0.9900000000000001</v>
      </c>
      <c r="U77" s="289">
        <f t="shared" si="103"/>
        <v>2450.2500000000005</v>
      </c>
      <c r="V77" s="289">
        <f t="shared" si="104"/>
        <v>4083.7500000000009</v>
      </c>
      <c r="W77" s="289">
        <f t="shared" si="105"/>
        <v>6534.0000000000018</v>
      </c>
      <c r="X77" s="289">
        <f t="shared" si="106"/>
        <v>9801.0000000000018</v>
      </c>
      <c r="Y77" s="290">
        <f t="shared" si="107"/>
        <v>0.25</v>
      </c>
      <c r="Z77" s="274"/>
      <c r="AA77" s="274">
        <v>0.2475</v>
      </c>
      <c r="AB77" s="274"/>
      <c r="AC77" s="274"/>
      <c r="AD77" s="274"/>
      <c r="AE77" s="274"/>
      <c r="AF77" s="274"/>
      <c r="AG77" s="274"/>
      <c r="AH77" s="274"/>
      <c r="AI77" s="274"/>
      <c r="AJ77" s="289">
        <v>2450.2500000000005</v>
      </c>
      <c r="AK77" s="274"/>
      <c r="AL77" s="274"/>
      <c r="AM77" s="274"/>
      <c r="AN77" s="274"/>
      <c r="AO77" s="274"/>
      <c r="AP77" s="274"/>
      <c r="AQ77" s="274"/>
      <c r="AR77" s="274"/>
      <c r="AS77" s="279">
        <v>0.25</v>
      </c>
      <c r="AT77" s="279"/>
      <c r="AU77" s="279"/>
      <c r="AV77" s="279"/>
      <c r="AW77" s="279"/>
      <c r="AX77" s="279"/>
      <c r="AY77" s="279"/>
      <c r="AZ77" s="279"/>
      <c r="BA77" s="274"/>
      <c r="BB77" s="279">
        <v>0.15</v>
      </c>
      <c r="BC77" s="279">
        <v>0.15</v>
      </c>
      <c r="BD77" s="274"/>
      <c r="BE77" s="274"/>
      <c r="BF77" s="274"/>
      <c r="BG77" s="274"/>
      <c r="BH77" s="274"/>
      <c r="BI77" s="274"/>
    </row>
    <row r="78" spans="1:61" ht="13.8" x14ac:dyDescent="0.25">
      <c r="A78" s="283"/>
      <c r="B78" s="284" t="s">
        <v>129</v>
      </c>
      <c r="C78" s="283"/>
      <c r="D78" s="285">
        <v>1</v>
      </c>
      <c r="E78" s="285" t="s">
        <v>94</v>
      </c>
      <c r="F78" s="286"/>
      <c r="G78" s="286"/>
      <c r="H78" s="286"/>
      <c r="I78" s="286">
        <f>SUM(I52:I77)*$K$22</f>
        <v>30791.860000000004</v>
      </c>
      <c r="J78" s="274"/>
      <c r="K78" s="274"/>
      <c r="L78" s="274"/>
      <c r="M78" s="274"/>
      <c r="N78" s="274"/>
      <c r="O78" s="274"/>
      <c r="P78" s="274"/>
      <c r="Q78" s="287">
        <f t="shared" si="99"/>
        <v>0.15</v>
      </c>
      <c r="R78" s="288">
        <f t="shared" si="100"/>
        <v>0.6</v>
      </c>
      <c r="S78" s="288">
        <f t="shared" si="101"/>
        <v>0.75</v>
      </c>
      <c r="T78" s="289">
        <f t="shared" si="102"/>
        <v>0.25</v>
      </c>
      <c r="U78" s="289">
        <f t="shared" si="103"/>
        <v>4618.7790000000005</v>
      </c>
      <c r="V78" s="289">
        <f t="shared" si="104"/>
        <v>18475.116000000002</v>
      </c>
      <c r="W78" s="289">
        <f t="shared" si="105"/>
        <v>23093.895000000004</v>
      </c>
      <c r="X78" s="289">
        <f t="shared" si="106"/>
        <v>7697.9650000000001</v>
      </c>
      <c r="Y78" s="290">
        <f t="shared" si="107"/>
        <v>0.6</v>
      </c>
      <c r="Z78" s="274"/>
      <c r="AA78" s="274">
        <v>0.15</v>
      </c>
      <c r="AB78" s="274"/>
      <c r="AC78" s="274"/>
      <c r="AD78" s="274"/>
      <c r="AE78" s="274"/>
      <c r="AF78" s="274"/>
      <c r="AG78" s="274"/>
      <c r="AH78" s="274"/>
      <c r="AI78" s="274"/>
      <c r="AJ78" s="289">
        <v>4618.7790000000005</v>
      </c>
      <c r="AK78" s="274"/>
      <c r="AL78" s="274"/>
      <c r="AM78" s="274"/>
      <c r="AN78" s="274"/>
      <c r="AO78" s="274"/>
      <c r="AP78" s="274"/>
      <c r="AQ78" s="274"/>
      <c r="AR78" s="274"/>
      <c r="AS78" s="279">
        <v>0.6</v>
      </c>
      <c r="AT78" s="279"/>
      <c r="AU78" s="279"/>
      <c r="AV78" s="279"/>
      <c r="AW78" s="279"/>
      <c r="AX78" s="279"/>
      <c r="AY78" s="279"/>
      <c r="AZ78" s="279"/>
      <c r="BA78" s="274"/>
      <c r="BB78" s="279">
        <v>0.15</v>
      </c>
      <c r="BC78" s="279">
        <v>0.15</v>
      </c>
      <c r="BD78" s="274"/>
      <c r="BE78" s="274"/>
      <c r="BF78" s="274"/>
      <c r="BG78" s="274"/>
      <c r="BH78" s="274"/>
      <c r="BI78" s="274"/>
    </row>
    <row r="79" spans="1:61" x14ac:dyDescent="0.25">
      <c r="A79" s="294"/>
      <c r="B79" s="521" t="s">
        <v>230</v>
      </c>
      <c r="C79" s="501"/>
      <c r="D79" s="501"/>
      <c r="E79" s="501"/>
      <c r="F79" s="501"/>
      <c r="G79" s="501"/>
      <c r="H79" s="502"/>
      <c r="I79" s="295">
        <f>SUM(I53:I78)</f>
        <v>338710.46</v>
      </c>
      <c r="J79" s="296"/>
      <c r="K79" s="296"/>
      <c r="L79" s="296"/>
      <c r="M79" s="296"/>
      <c r="N79" s="296"/>
      <c r="O79" s="296"/>
      <c r="P79" s="296"/>
      <c r="Q79" s="297">
        <f t="shared" ref="Q79:X79" si="108">SUM(Q53:Q78)</f>
        <v>34.62510000000001</v>
      </c>
      <c r="R79" s="298">
        <f t="shared" si="108"/>
        <v>135.12449999999998</v>
      </c>
      <c r="S79" s="298">
        <f t="shared" si="108"/>
        <v>169.74960000000002</v>
      </c>
      <c r="T79" s="299">
        <f t="shared" si="108"/>
        <v>162.8014</v>
      </c>
      <c r="U79" s="299">
        <f t="shared" si="108"/>
        <v>38519.569000000003</v>
      </c>
      <c r="V79" s="299">
        <f t="shared" si="108"/>
        <v>140662.67600000001</v>
      </c>
      <c r="W79" s="299">
        <f t="shared" si="108"/>
        <v>179182.245</v>
      </c>
      <c r="X79" s="299">
        <f t="shared" si="108"/>
        <v>159528.21499999997</v>
      </c>
      <c r="Y79" s="300">
        <f>SUM(Y53:Y78)/COUNT(Y53:Y78)</f>
        <v>0.34523809523809523</v>
      </c>
      <c r="Z79" s="296"/>
      <c r="AA79" s="296">
        <v>34.62510000000001</v>
      </c>
      <c r="AB79" s="296"/>
      <c r="AC79" s="296"/>
      <c r="AD79" s="296"/>
      <c r="AE79" s="296"/>
      <c r="AF79" s="296"/>
      <c r="AG79" s="296"/>
      <c r="AH79" s="296"/>
      <c r="AI79" s="296"/>
      <c r="AJ79" s="299">
        <v>38519.569000000003</v>
      </c>
      <c r="AK79" s="296"/>
      <c r="AL79" s="296"/>
      <c r="AM79" s="296"/>
      <c r="AN79" s="296"/>
      <c r="AO79" s="296"/>
      <c r="AP79" s="296"/>
      <c r="AQ79" s="296"/>
      <c r="AR79" s="296"/>
      <c r="AS79" s="301"/>
      <c r="AT79" s="301"/>
      <c r="AU79" s="301"/>
      <c r="AV79" s="301"/>
      <c r="AW79" s="301"/>
      <c r="AX79" s="301"/>
      <c r="AY79" s="301"/>
      <c r="AZ79" s="301"/>
      <c r="BA79" s="296"/>
      <c r="BB79" s="300">
        <f>SUM(BB53:BB78)/COUNT(BB53:BB78)</f>
        <v>0.10952380952380954</v>
      </c>
      <c r="BC79" s="300">
        <f>SUM(BC53:BC78)/COUNT(BC53:BC78)</f>
        <v>0.14523809523809525</v>
      </c>
      <c r="BD79" s="296"/>
      <c r="BE79" s="296"/>
      <c r="BF79" s="296"/>
      <c r="BG79" s="296"/>
      <c r="BH79" s="296"/>
      <c r="BI79" s="296"/>
    </row>
    <row r="80" spans="1:61" ht="13.8" x14ac:dyDescent="0.25">
      <c r="A80" s="283"/>
      <c r="B80" s="284"/>
      <c r="C80" s="283"/>
      <c r="D80" s="285"/>
      <c r="E80" s="285"/>
      <c r="F80" s="286"/>
      <c r="G80" s="286"/>
      <c r="H80" s="286"/>
      <c r="I80" s="286"/>
      <c r="J80" s="274"/>
      <c r="K80" s="274"/>
      <c r="L80" s="274"/>
      <c r="M80" s="274"/>
      <c r="N80" s="274"/>
      <c r="O80" s="274"/>
      <c r="P80" s="274"/>
      <c r="Q80" s="281"/>
      <c r="R80" s="32"/>
      <c r="S80" s="32"/>
      <c r="T80" s="30"/>
      <c r="U80" s="289"/>
      <c r="V80" s="30"/>
      <c r="W80" s="30"/>
      <c r="X80" s="30"/>
      <c r="Y80" s="282"/>
      <c r="Z80" s="274"/>
      <c r="AA80" s="274"/>
      <c r="AB80" s="274"/>
      <c r="AC80" s="274"/>
      <c r="AD80" s="274"/>
      <c r="AE80" s="274"/>
      <c r="AF80" s="274"/>
      <c r="AG80" s="274"/>
      <c r="AH80" s="274"/>
      <c r="AI80" s="274"/>
      <c r="AJ80" s="30"/>
      <c r="AK80" s="274"/>
      <c r="AL80" s="274"/>
      <c r="AM80" s="274"/>
      <c r="AN80" s="274"/>
      <c r="AO80" s="274"/>
      <c r="AP80" s="274"/>
      <c r="AQ80" s="274"/>
      <c r="AR80" s="274"/>
      <c r="AS80" s="279"/>
      <c r="AT80" s="279"/>
      <c r="AU80" s="279"/>
      <c r="AV80" s="279"/>
      <c r="AW80" s="279"/>
      <c r="AX80" s="279"/>
      <c r="AY80" s="279"/>
      <c r="AZ80" s="279"/>
      <c r="BA80" s="274"/>
      <c r="BB80" s="274"/>
      <c r="BC80" s="279"/>
      <c r="BD80" s="274"/>
      <c r="BE80" s="274"/>
      <c r="BF80" s="274"/>
      <c r="BG80" s="274"/>
      <c r="BH80" s="274"/>
      <c r="BI80" s="274"/>
    </row>
    <row r="81" spans="1:61" ht="13.8" x14ac:dyDescent="0.25">
      <c r="A81" s="270"/>
      <c r="B81" s="271" t="s">
        <v>231</v>
      </c>
      <c r="C81" s="270"/>
      <c r="D81" s="272"/>
      <c r="E81" s="272"/>
      <c r="F81" s="273"/>
      <c r="G81" s="273"/>
      <c r="H81" s="273"/>
      <c r="I81" s="273"/>
      <c r="J81" s="274"/>
      <c r="K81" s="274"/>
      <c r="L81" s="274"/>
      <c r="M81" s="274"/>
      <c r="N81" s="274"/>
      <c r="O81" s="274"/>
      <c r="P81" s="274"/>
      <c r="Q81" s="281"/>
      <c r="R81" s="32"/>
      <c r="S81" s="32"/>
      <c r="T81" s="30"/>
      <c r="U81" s="289"/>
      <c r="V81" s="30"/>
      <c r="W81" s="30"/>
      <c r="X81" s="30"/>
      <c r="Y81" s="282"/>
      <c r="Z81" s="274"/>
      <c r="AA81" s="274"/>
      <c r="AB81" s="274"/>
      <c r="AC81" s="274"/>
      <c r="AD81" s="274"/>
      <c r="AE81" s="274"/>
      <c r="AF81" s="274"/>
      <c r="AG81" s="274"/>
      <c r="AH81" s="274"/>
      <c r="AI81" s="274"/>
      <c r="AJ81" s="30"/>
      <c r="AK81" s="274"/>
      <c r="AL81" s="274"/>
      <c r="AM81" s="274"/>
      <c r="AN81" s="274"/>
      <c r="AO81" s="274"/>
      <c r="AP81" s="274"/>
      <c r="AQ81" s="274"/>
      <c r="AR81" s="274"/>
      <c r="AS81" s="279"/>
      <c r="AT81" s="279"/>
      <c r="AU81" s="279"/>
      <c r="AV81" s="279"/>
      <c r="AW81" s="279"/>
      <c r="AX81" s="279"/>
      <c r="AY81" s="279"/>
      <c r="AZ81" s="279"/>
      <c r="BA81" s="274"/>
      <c r="BB81" s="274"/>
      <c r="BC81" s="279"/>
      <c r="BD81" s="274"/>
      <c r="BE81" s="274"/>
      <c r="BF81" s="274"/>
      <c r="BG81" s="274"/>
      <c r="BH81" s="274"/>
      <c r="BI81" s="274"/>
    </row>
    <row r="82" spans="1:61" ht="13.8" x14ac:dyDescent="0.25">
      <c r="A82" s="283"/>
      <c r="B82" s="284" t="s">
        <v>232</v>
      </c>
      <c r="C82" s="283"/>
      <c r="D82" s="285"/>
      <c r="E82" s="285"/>
      <c r="F82" s="286"/>
      <c r="G82" s="286"/>
      <c r="H82" s="286"/>
      <c r="I82" s="286"/>
      <c r="J82" s="274"/>
      <c r="K82" s="274"/>
      <c r="L82" s="274"/>
      <c r="M82" s="274"/>
      <c r="N82" s="274"/>
      <c r="O82" s="274"/>
      <c r="P82" s="274"/>
      <c r="Q82" s="281"/>
      <c r="R82" s="32"/>
      <c r="S82" s="32"/>
      <c r="T82" s="30"/>
      <c r="U82" s="289"/>
      <c r="V82" s="30"/>
      <c r="W82" s="30"/>
      <c r="X82" s="30"/>
      <c r="Y82" s="282"/>
      <c r="Z82" s="274"/>
      <c r="AA82" s="274"/>
      <c r="AB82" s="274"/>
      <c r="AC82" s="274"/>
      <c r="AD82" s="274"/>
      <c r="AE82" s="274"/>
      <c r="AF82" s="274"/>
      <c r="AG82" s="274"/>
      <c r="AH82" s="274"/>
      <c r="AI82" s="274"/>
      <c r="AJ82" s="30"/>
      <c r="AK82" s="274"/>
      <c r="AL82" s="274"/>
      <c r="AM82" s="274"/>
      <c r="AN82" s="274"/>
      <c r="AO82" s="274"/>
      <c r="AP82" s="274"/>
      <c r="AQ82" s="274"/>
      <c r="AR82" s="274"/>
      <c r="AS82" s="279"/>
      <c r="AT82" s="279"/>
      <c r="AU82" s="279"/>
      <c r="AV82" s="279"/>
      <c r="AW82" s="279"/>
      <c r="AX82" s="279"/>
      <c r="AY82" s="279"/>
      <c r="AZ82" s="279"/>
      <c r="BA82" s="274"/>
      <c r="BB82" s="274"/>
      <c r="BC82" s="279"/>
      <c r="BD82" s="274"/>
      <c r="BE82" s="274"/>
      <c r="BF82" s="274"/>
      <c r="BG82" s="274"/>
      <c r="BH82" s="274"/>
      <c r="BI82" s="274"/>
    </row>
    <row r="83" spans="1:61" ht="13.8" x14ac:dyDescent="0.25">
      <c r="A83" s="283"/>
      <c r="B83" s="283" t="s">
        <v>233</v>
      </c>
      <c r="C83" s="283">
        <v>4.4000000000000004</v>
      </c>
      <c r="D83" s="285">
        <f t="shared" ref="D83:D88" si="109">C83*$K$20</f>
        <v>4.8400000000000007</v>
      </c>
      <c r="E83" s="285" t="s">
        <v>186</v>
      </c>
      <c r="F83" s="286">
        <f>'MATERIAL AND LABOR COST FOR WAL'!$D$56</f>
        <v>350</v>
      </c>
      <c r="G83" s="286">
        <f>'MATERIAL AND LABOR COST FOR WAL'!$F$56</f>
        <v>350</v>
      </c>
      <c r="H83" s="286">
        <f t="shared" ref="H83:H88" si="110">SUM(F83,G83)</f>
        <v>700</v>
      </c>
      <c r="I83" s="286">
        <f t="shared" ref="I83:I87" si="111">H83*D83</f>
        <v>3388.0000000000005</v>
      </c>
      <c r="J83" s="274"/>
      <c r="K83" s="274"/>
      <c r="L83" s="274"/>
      <c r="M83" s="274"/>
      <c r="N83" s="274"/>
      <c r="O83" s="274"/>
      <c r="P83" s="274"/>
      <c r="Q83" s="287">
        <f t="shared" ref="Q83:Q89" si="112">SUM(AA83:AH83)</f>
        <v>0.4840000000000001</v>
      </c>
      <c r="R83" s="288">
        <f t="shared" ref="R83:R89" si="113">Y83*D83</f>
        <v>2.9040000000000004</v>
      </c>
      <c r="S83" s="288">
        <f t="shared" ref="S83:S89" si="114">SUM(Q83:R83)</f>
        <v>3.3880000000000003</v>
      </c>
      <c r="T83" s="289">
        <f t="shared" ref="T83:T89" si="115">D83-S83</f>
        <v>1.4520000000000004</v>
      </c>
      <c r="U83" s="289">
        <f t="shared" ref="U83:U89" si="116">SUM(AJ83:AQ83)</f>
        <v>338.80000000000007</v>
      </c>
      <c r="V83" s="289">
        <f t="shared" ref="V83:V89" si="117">Y83*I83</f>
        <v>2032.8000000000002</v>
      </c>
      <c r="W83" s="289">
        <f t="shared" ref="W83:W89" si="118">SUM(U83:V83)</f>
        <v>2371.6000000000004</v>
      </c>
      <c r="X83" s="289">
        <f t="shared" ref="X83:X89" si="119">I83-W83</f>
        <v>1016.4000000000001</v>
      </c>
      <c r="Y83" s="290">
        <f t="shared" ref="Y83:Y89" si="120">SUM(AS83:AZ83)</f>
        <v>0.6</v>
      </c>
      <c r="Z83" s="274"/>
      <c r="AA83" s="274">
        <v>0.4840000000000001</v>
      </c>
      <c r="AB83" s="274"/>
      <c r="AC83" s="274"/>
      <c r="AD83" s="274"/>
      <c r="AE83" s="274"/>
      <c r="AF83" s="274"/>
      <c r="AG83" s="274"/>
      <c r="AH83" s="274"/>
      <c r="AI83" s="274"/>
      <c r="AJ83" s="289">
        <v>338.80000000000007</v>
      </c>
      <c r="AK83" s="274"/>
      <c r="AL83" s="274"/>
      <c r="AM83" s="274"/>
      <c r="AN83" s="274"/>
      <c r="AO83" s="274"/>
      <c r="AP83" s="274"/>
      <c r="AQ83" s="274"/>
      <c r="AR83" s="274"/>
      <c r="AS83" s="279">
        <v>0.6</v>
      </c>
      <c r="AT83" s="279"/>
      <c r="AU83" s="279"/>
      <c r="AV83" s="279"/>
      <c r="AW83" s="279"/>
      <c r="AX83" s="279"/>
      <c r="AY83" s="279"/>
      <c r="AZ83" s="279"/>
      <c r="BA83" s="274"/>
      <c r="BB83" s="279">
        <v>0.1</v>
      </c>
      <c r="BC83" s="279">
        <v>0.1</v>
      </c>
      <c r="BD83" s="274"/>
      <c r="BE83" s="274"/>
      <c r="BF83" s="274"/>
      <c r="BG83" s="274"/>
      <c r="BH83" s="274"/>
      <c r="BI83" s="274"/>
    </row>
    <row r="84" spans="1:61" ht="13.8" x14ac:dyDescent="0.25">
      <c r="A84" s="283"/>
      <c r="B84" s="283" t="s">
        <v>234</v>
      </c>
      <c r="C84" s="283">
        <v>18.2</v>
      </c>
      <c r="D84" s="285">
        <f t="shared" si="109"/>
        <v>20.02</v>
      </c>
      <c r="E84" s="285" t="s">
        <v>186</v>
      </c>
      <c r="F84" s="286">
        <f>'MATERIAL AND LABOR COST FOR WAL'!$D$57</f>
        <v>960.00000000000011</v>
      </c>
      <c r="G84" s="286">
        <f>'MATERIAL AND LABOR COST FOR WAL'!$F$57</f>
        <v>350</v>
      </c>
      <c r="H84" s="286">
        <f t="shared" si="110"/>
        <v>1310</v>
      </c>
      <c r="I84" s="286">
        <f t="shared" si="111"/>
        <v>26226.2</v>
      </c>
      <c r="J84" s="274"/>
      <c r="K84" s="274"/>
      <c r="L84" s="274"/>
      <c r="M84" s="274"/>
      <c r="N84" s="274"/>
      <c r="O84" s="274"/>
      <c r="P84" s="274"/>
      <c r="Q84" s="287">
        <f t="shared" si="112"/>
        <v>2.0020000000000002</v>
      </c>
      <c r="R84" s="288">
        <f t="shared" si="113"/>
        <v>0</v>
      </c>
      <c r="S84" s="288">
        <f t="shared" si="114"/>
        <v>2.0020000000000002</v>
      </c>
      <c r="T84" s="289">
        <f t="shared" si="115"/>
        <v>18.018000000000001</v>
      </c>
      <c r="U84" s="289">
        <f t="shared" si="116"/>
        <v>2622.6200000000003</v>
      </c>
      <c r="V84" s="289">
        <f t="shared" si="117"/>
        <v>0</v>
      </c>
      <c r="W84" s="289">
        <f t="shared" si="118"/>
        <v>2622.6200000000003</v>
      </c>
      <c r="X84" s="289">
        <f t="shared" si="119"/>
        <v>23603.58</v>
      </c>
      <c r="Y84" s="290">
        <f t="shared" si="120"/>
        <v>0</v>
      </c>
      <c r="Z84" s="274"/>
      <c r="AA84" s="274">
        <v>2.0020000000000002</v>
      </c>
      <c r="AB84" s="274"/>
      <c r="AC84" s="274"/>
      <c r="AD84" s="274"/>
      <c r="AE84" s="274"/>
      <c r="AF84" s="274"/>
      <c r="AG84" s="274"/>
      <c r="AH84" s="274"/>
      <c r="AI84" s="274"/>
      <c r="AJ84" s="289">
        <v>2622.6200000000003</v>
      </c>
      <c r="AK84" s="274"/>
      <c r="AL84" s="274"/>
      <c r="AM84" s="274"/>
      <c r="AN84" s="274"/>
      <c r="AO84" s="274"/>
      <c r="AP84" s="274"/>
      <c r="AQ84" s="274"/>
      <c r="AR84" s="274"/>
      <c r="AS84" s="279">
        <v>0</v>
      </c>
      <c r="AT84" s="279"/>
      <c r="AU84" s="279"/>
      <c r="AV84" s="279"/>
      <c r="AW84" s="279"/>
      <c r="AX84" s="279"/>
      <c r="AY84" s="279"/>
      <c r="AZ84" s="279"/>
      <c r="BA84" s="274"/>
      <c r="BB84" s="279">
        <v>0.1</v>
      </c>
      <c r="BC84" s="279">
        <v>0.9</v>
      </c>
      <c r="BD84" s="274"/>
      <c r="BE84" s="274"/>
      <c r="BF84" s="274"/>
      <c r="BG84" s="274"/>
      <c r="BH84" s="274"/>
      <c r="BI84" s="274"/>
    </row>
    <row r="85" spans="1:61" ht="13.8" x14ac:dyDescent="0.25">
      <c r="A85" s="283"/>
      <c r="B85" s="283" t="s">
        <v>204</v>
      </c>
      <c r="C85" s="283">
        <v>52.75</v>
      </c>
      <c r="D85" s="285">
        <f t="shared" si="109"/>
        <v>58.025000000000006</v>
      </c>
      <c r="E85" s="285" t="s">
        <v>186</v>
      </c>
      <c r="F85" s="286">
        <f>'MATERIAL AND LABOR COST FOR WAL'!$D$58</f>
        <v>350</v>
      </c>
      <c r="G85" s="286">
        <f>'MATERIAL AND LABOR COST FOR WAL'!$F$58</f>
        <v>350</v>
      </c>
      <c r="H85" s="286">
        <f t="shared" si="110"/>
        <v>700</v>
      </c>
      <c r="I85" s="286">
        <f t="shared" si="111"/>
        <v>40617.500000000007</v>
      </c>
      <c r="J85" s="274"/>
      <c r="K85" s="274"/>
      <c r="L85" s="274"/>
      <c r="M85" s="274"/>
      <c r="N85" s="274"/>
      <c r="O85" s="274"/>
      <c r="P85" s="274"/>
      <c r="Q85" s="287">
        <f t="shared" si="112"/>
        <v>5.8025000000000011</v>
      </c>
      <c r="R85" s="288">
        <f t="shared" si="113"/>
        <v>31.913750000000007</v>
      </c>
      <c r="S85" s="288">
        <f t="shared" si="114"/>
        <v>37.716250000000009</v>
      </c>
      <c r="T85" s="289">
        <f t="shared" si="115"/>
        <v>20.308749999999996</v>
      </c>
      <c r="U85" s="289">
        <f t="shared" si="116"/>
        <v>4061.7500000000009</v>
      </c>
      <c r="V85" s="289">
        <f t="shared" si="117"/>
        <v>22339.625000000007</v>
      </c>
      <c r="W85" s="289">
        <f t="shared" si="118"/>
        <v>26401.375000000007</v>
      </c>
      <c r="X85" s="289">
        <f t="shared" si="119"/>
        <v>14216.125</v>
      </c>
      <c r="Y85" s="290">
        <f t="shared" si="120"/>
        <v>0.55000000000000004</v>
      </c>
      <c r="Z85" s="274"/>
      <c r="AA85" s="274">
        <v>5.8025000000000011</v>
      </c>
      <c r="AB85" s="274"/>
      <c r="AC85" s="274"/>
      <c r="AD85" s="274"/>
      <c r="AE85" s="274"/>
      <c r="AF85" s="274"/>
      <c r="AG85" s="274"/>
      <c r="AH85" s="274"/>
      <c r="AI85" s="274"/>
      <c r="AJ85" s="289">
        <v>4061.7500000000009</v>
      </c>
      <c r="AK85" s="274"/>
      <c r="AL85" s="274"/>
      <c r="AM85" s="274"/>
      <c r="AN85" s="274"/>
      <c r="AO85" s="274"/>
      <c r="AP85" s="274"/>
      <c r="AQ85" s="274"/>
      <c r="AR85" s="274"/>
      <c r="AS85" s="279">
        <v>0.55000000000000004</v>
      </c>
      <c r="AT85" s="279"/>
      <c r="AU85" s="279"/>
      <c r="AV85" s="279"/>
      <c r="AW85" s="279"/>
      <c r="AX85" s="279"/>
      <c r="AY85" s="279"/>
      <c r="AZ85" s="279"/>
      <c r="BA85" s="274"/>
      <c r="BB85" s="279">
        <v>0.1</v>
      </c>
      <c r="BC85" s="279">
        <v>0.1</v>
      </c>
      <c r="BD85" s="274"/>
      <c r="BE85" s="274"/>
      <c r="BF85" s="274"/>
      <c r="BG85" s="274"/>
      <c r="BH85" s="274"/>
      <c r="BI85" s="274"/>
    </row>
    <row r="86" spans="1:61" ht="13.8" x14ac:dyDescent="0.25">
      <c r="A86" s="283"/>
      <c r="B86" s="283" t="s">
        <v>235</v>
      </c>
      <c r="C86" s="283">
        <v>50</v>
      </c>
      <c r="D86" s="285">
        <f t="shared" si="109"/>
        <v>55.000000000000007</v>
      </c>
      <c r="E86" s="285" t="s">
        <v>114</v>
      </c>
      <c r="F86" s="286">
        <f>'MATERIAL AND LABOR COST FOR WAL'!$D$59</f>
        <v>550</v>
      </c>
      <c r="G86" s="286">
        <f>'MATERIAL AND LABOR COST FOR WAL'!$F$59</f>
        <v>350</v>
      </c>
      <c r="H86" s="286">
        <f t="shared" si="110"/>
        <v>900</v>
      </c>
      <c r="I86" s="286">
        <f t="shared" si="111"/>
        <v>49500.000000000007</v>
      </c>
      <c r="J86" s="274"/>
      <c r="K86" s="274"/>
      <c r="L86" s="274"/>
      <c r="M86" s="274"/>
      <c r="N86" s="274"/>
      <c r="O86" s="274"/>
      <c r="P86" s="274"/>
      <c r="Q86" s="287">
        <f t="shared" si="112"/>
        <v>5.5000000000000009</v>
      </c>
      <c r="R86" s="288">
        <f t="shared" si="113"/>
        <v>22.000000000000004</v>
      </c>
      <c r="S86" s="288">
        <f t="shared" si="114"/>
        <v>27.500000000000004</v>
      </c>
      <c r="T86" s="289">
        <f t="shared" si="115"/>
        <v>27.500000000000004</v>
      </c>
      <c r="U86" s="289">
        <f t="shared" si="116"/>
        <v>4950.0000000000009</v>
      </c>
      <c r="V86" s="289">
        <f t="shared" si="117"/>
        <v>19800.000000000004</v>
      </c>
      <c r="W86" s="289">
        <f t="shared" si="118"/>
        <v>24750.000000000004</v>
      </c>
      <c r="X86" s="289">
        <f t="shared" si="119"/>
        <v>24750.000000000004</v>
      </c>
      <c r="Y86" s="290">
        <f t="shared" si="120"/>
        <v>0.4</v>
      </c>
      <c r="Z86" s="274"/>
      <c r="AA86" s="274">
        <v>5.5000000000000009</v>
      </c>
      <c r="AB86" s="274"/>
      <c r="AC86" s="274"/>
      <c r="AD86" s="274"/>
      <c r="AE86" s="274"/>
      <c r="AF86" s="274"/>
      <c r="AG86" s="274"/>
      <c r="AH86" s="274"/>
      <c r="AI86" s="274"/>
      <c r="AJ86" s="289">
        <v>4950.0000000000009</v>
      </c>
      <c r="AK86" s="274"/>
      <c r="AL86" s="274"/>
      <c r="AM86" s="274"/>
      <c r="AN86" s="274"/>
      <c r="AO86" s="274"/>
      <c r="AP86" s="274"/>
      <c r="AQ86" s="274"/>
      <c r="AR86" s="274"/>
      <c r="AS86" s="279">
        <v>0.4</v>
      </c>
      <c r="AT86" s="279"/>
      <c r="AU86" s="279"/>
      <c r="AV86" s="279"/>
      <c r="AW86" s="279"/>
      <c r="AX86" s="279"/>
      <c r="AY86" s="279"/>
      <c r="AZ86" s="279"/>
      <c r="BA86" s="274"/>
      <c r="BB86" s="279">
        <v>0.1</v>
      </c>
      <c r="BC86" s="279">
        <v>0.5</v>
      </c>
      <c r="BD86" s="274"/>
      <c r="BE86" s="274"/>
      <c r="BF86" s="274"/>
      <c r="BG86" s="274"/>
      <c r="BH86" s="274"/>
      <c r="BI86" s="274"/>
    </row>
    <row r="87" spans="1:61" ht="13.8" x14ac:dyDescent="0.25">
      <c r="A87" s="291"/>
      <c r="B87" s="291" t="s">
        <v>205</v>
      </c>
      <c r="C87" s="291">
        <v>12.22</v>
      </c>
      <c r="D87" s="292">
        <f t="shared" si="109"/>
        <v>13.442000000000002</v>
      </c>
      <c r="E87" s="292" t="s">
        <v>186</v>
      </c>
      <c r="F87" s="286">
        <f>'MATERIAL AND LABOR COST FOR WAL'!$D$60</f>
        <v>950.00000000000011</v>
      </c>
      <c r="G87" s="286">
        <f>'MATERIAL AND LABOR COST FOR WAL'!$F$60</f>
        <v>350</v>
      </c>
      <c r="H87" s="286">
        <f t="shared" si="110"/>
        <v>1300</v>
      </c>
      <c r="I87" s="286">
        <f t="shared" si="111"/>
        <v>17474.600000000002</v>
      </c>
      <c r="J87" s="263"/>
      <c r="K87" s="263"/>
      <c r="L87" s="263"/>
      <c r="M87" s="263"/>
      <c r="N87" s="263"/>
      <c r="O87" s="263"/>
      <c r="P87" s="263"/>
      <c r="Q87" s="287">
        <f t="shared" si="112"/>
        <v>1.3442000000000003</v>
      </c>
      <c r="R87" s="288">
        <f t="shared" si="113"/>
        <v>4.0326000000000004</v>
      </c>
      <c r="S87" s="288">
        <f t="shared" si="114"/>
        <v>5.3768000000000011</v>
      </c>
      <c r="T87" s="289">
        <f t="shared" si="115"/>
        <v>8.0652000000000008</v>
      </c>
      <c r="U87" s="289">
        <f t="shared" si="116"/>
        <v>1747.4600000000003</v>
      </c>
      <c r="V87" s="289">
        <f t="shared" si="117"/>
        <v>5242.38</v>
      </c>
      <c r="W87" s="289">
        <f t="shared" si="118"/>
        <v>6989.84</v>
      </c>
      <c r="X87" s="289">
        <f t="shared" si="119"/>
        <v>10484.760000000002</v>
      </c>
      <c r="Y87" s="290">
        <f t="shared" si="120"/>
        <v>0.3</v>
      </c>
      <c r="Z87" s="263"/>
      <c r="AA87" s="263">
        <v>1.3442000000000003</v>
      </c>
      <c r="AB87" s="263"/>
      <c r="AC87" s="263"/>
      <c r="AD87" s="263"/>
      <c r="AE87" s="263"/>
      <c r="AF87" s="263"/>
      <c r="AG87" s="263"/>
      <c r="AH87" s="263"/>
      <c r="AI87" s="263"/>
      <c r="AJ87" s="289">
        <v>1747.4600000000003</v>
      </c>
      <c r="AK87" s="263"/>
      <c r="AL87" s="263"/>
      <c r="AM87" s="263"/>
      <c r="AN87" s="263"/>
      <c r="AO87" s="263"/>
      <c r="AP87" s="263"/>
      <c r="AQ87" s="263"/>
      <c r="AR87" s="263"/>
      <c r="AS87" s="279">
        <v>0.3</v>
      </c>
      <c r="AT87" s="293"/>
      <c r="AU87" s="293"/>
      <c r="AV87" s="293"/>
      <c r="AW87" s="293"/>
      <c r="AX87" s="293"/>
      <c r="AY87" s="293"/>
      <c r="AZ87" s="293"/>
      <c r="BA87" s="263"/>
      <c r="BB87" s="279">
        <v>0.1</v>
      </c>
      <c r="BC87" s="279">
        <v>0.4</v>
      </c>
      <c r="BD87" s="263"/>
      <c r="BE87" s="263"/>
      <c r="BF87" s="263"/>
      <c r="BG87" s="263"/>
      <c r="BH87" s="263"/>
      <c r="BI87" s="263"/>
    </row>
    <row r="88" spans="1:61" ht="13.8" x14ac:dyDescent="0.25">
      <c r="A88" s="291"/>
      <c r="B88" s="291" t="s">
        <v>236</v>
      </c>
      <c r="C88" s="291">
        <v>25.26</v>
      </c>
      <c r="D88" s="292">
        <f t="shared" si="109"/>
        <v>27.786000000000005</v>
      </c>
      <c r="E88" s="292" t="s">
        <v>237</v>
      </c>
      <c r="F88" s="286">
        <f>'MATERIAL AND LABOR COST FOR WAL'!$D$87</f>
        <v>6300.0000000000009</v>
      </c>
      <c r="G88" s="286">
        <f>'MATERIAL AND LABOR COST FOR WAL'!$F$87</f>
        <v>1260</v>
      </c>
      <c r="H88" s="286">
        <f t="shared" si="110"/>
        <v>7560.0000000000009</v>
      </c>
      <c r="I88" s="286">
        <f>D88*H88</f>
        <v>210062.16000000006</v>
      </c>
      <c r="J88" s="263"/>
      <c r="K88" s="263"/>
      <c r="L88" s="263"/>
      <c r="M88" s="263"/>
      <c r="N88" s="263"/>
      <c r="O88" s="263"/>
      <c r="P88" s="263"/>
      <c r="Q88" s="287">
        <f t="shared" si="112"/>
        <v>2.7786000000000008</v>
      </c>
      <c r="R88" s="288">
        <f t="shared" si="113"/>
        <v>2.7786000000000008</v>
      </c>
      <c r="S88" s="288">
        <f t="shared" si="114"/>
        <v>5.5572000000000017</v>
      </c>
      <c r="T88" s="289">
        <f t="shared" si="115"/>
        <v>22.228800000000003</v>
      </c>
      <c r="U88" s="289">
        <f t="shared" si="116"/>
        <v>21006.216000000008</v>
      </c>
      <c r="V88" s="289">
        <f t="shared" si="117"/>
        <v>21006.216000000008</v>
      </c>
      <c r="W88" s="289">
        <f t="shared" si="118"/>
        <v>42012.432000000015</v>
      </c>
      <c r="X88" s="289">
        <f t="shared" si="119"/>
        <v>168049.72800000006</v>
      </c>
      <c r="Y88" s="290">
        <f t="shared" si="120"/>
        <v>0.1</v>
      </c>
      <c r="Z88" s="263"/>
      <c r="AA88" s="263">
        <v>2.7786000000000008</v>
      </c>
      <c r="AB88" s="263"/>
      <c r="AC88" s="263"/>
      <c r="AD88" s="263"/>
      <c r="AE88" s="263"/>
      <c r="AF88" s="263"/>
      <c r="AG88" s="263"/>
      <c r="AH88" s="263"/>
      <c r="AI88" s="263"/>
      <c r="AJ88" s="289">
        <v>21006.216000000008</v>
      </c>
      <c r="AK88" s="263"/>
      <c r="AL88" s="263"/>
      <c r="AM88" s="263"/>
      <c r="AN88" s="263"/>
      <c r="AO88" s="263"/>
      <c r="AP88" s="263"/>
      <c r="AQ88" s="263"/>
      <c r="AR88" s="263"/>
      <c r="AS88" s="279">
        <v>0.1</v>
      </c>
      <c r="AT88" s="293"/>
      <c r="AU88" s="293"/>
      <c r="AV88" s="293"/>
      <c r="AW88" s="293"/>
      <c r="AX88" s="293"/>
      <c r="AY88" s="293"/>
      <c r="AZ88" s="293"/>
      <c r="BA88" s="263"/>
      <c r="BB88" s="279">
        <v>0.1</v>
      </c>
      <c r="BC88" s="279">
        <v>0.1</v>
      </c>
      <c r="BD88" s="263"/>
      <c r="BE88" s="263"/>
      <c r="BF88" s="263"/>
      <c r="BG88" s="263"/>
      <c r="BH88" s="263"/>
      <c r="BI88" s="263"/>
    </row>
    <row r="89" spans="1:61" ht="13.8" x14ac:dyDescent="0.25">
      <c r="A89" s="283"/>
      <c r="B89" s="283" t="s">
        <v>129</v>
      </c>
      <c r="C89" s="283"/>
      <c r="D89" s="285">
        <v>1</v>
      </c>
      <c r="E89" s="285" t="s">
        <v>94</v>
      </c>
      <c r="F89" s="286"/>
      <c r="G89" s="286"/>
      <c r="H89" s="286"/>
      <c r="I89" s="286">
        <f>SUM(I83:I88)*$K$22</f>
        <v>34726.846000000012</v>
      </c>
      <c r="J89" s="274"/>
      <c r="K89" s="274"/>
      <c r="L89" s="274"/>
      <c r="M89" s="274"/>
      <c r="N89" s="274"/>
      <c r="O89" s="274"/>
      <c r="P89" s="274"/>
      <c r="Q89" s="287">
        <f t="shared" si="112"/>
        <v>0.1</v>
      </c>
      <c r="R89" s="288">
        <f t="shared" si="113"/>
        <v>0.6</v>
      </c>
      <c r="S89" s="288">
        <f t="shared" si="114"/>
        <v>0.7</v>
      </c>
      <c r="T89" s="289">
        <f t="shared" si="115"/>
        <v>0.30000000000000004</v>
      </c>
      <c r="U89" s="289">
        <f t="shared" si="116"/>
        <v>3472.6846000000014</v>
      </c>
      <c r="V89" s="289">
        <f t="shared" si="117"/>
        <v>20836.107600000007</v>
      </c>
      <c r="W89" s="289">
        <f t="shared" si="118"/>
        <v>24308.792200000007</v>
      </c>
      <c r="X89" s="289">
        <f t="shared" si="119"/>
        <v>10418.053800000005</v>
      </c>
      <c r="Y89" s="290">
        <f t="shared" si="120"/>
        <v>0.6</v>
      </c>
      <c r="Z89" s="274"/>
      <c r="AA89" s="274">
        <v>0.1</v>
      </c>
      <c r="AB89" s="274"/>
      <c r="AC89" s="274"/>
      <c r="AD89" s="274"/>
      <c r="AE89" s="274"/>
      <c r="AF89" s="274"/>
      <c r="AG89" s="274"/>
      <c r="AH89" s="274"/>
      <c r="AI89" s="274"/>
      <c r="AJ89" s="289">
        <v>3472.6846000000014</v>
      </c>
      <c r="AK89" s="274"/>
      <c r="AL89" s="274"/>
      <c r="AM89" s="274"/>
      <c r="AN89" s="274"/>
      <c r="AO89" s="274"/>
      <c r="AP89" s="274"/>
      <c r="AQ89" s="274"/>
      <c r="AR89" s="274"/>
      <c r="AS89" s="279">
        <v>0.6</v>
      </c>
      <c r="AT89" s="279"/>
      <c r="AU89" s="279"/>
      <c r="AV89" s="279"/>
      <c r="AW89" s="279"/>
      <c r="AX89" s="279"/>
      <c r="AY89" s="279"/>
      <c r="AZ89" s="279"/>
      <c r="BA89" s="274"/>
      <c r="BB89" s="279">
        <v>0.1</v>
      </c>
      <c r="BC89" s="279">
        <v>0.2</v>
      </c>
      <c r="BD89" s="274"/>
      <c r="BE89" s="274"/>
      <c r="BF89" s="274"/>
      <c r="BG89" s="274"/>
      <c r="BH89" s="274"/>
      <c r="BI89" s="274"/>
    </row>
    <row r="90" spans="1:61" x14ac:dyDescent="0.25">
      <c r="A90" s="294"/>
      <c r="B90" s="521" t="s">
        <v>238</v>
      </c>
      <c r="C90" s="501"/>
      <c r="D90" s="501"/>
      <c r="E90" s="501"/>
      <c r="F90" s="501"/>
      <c r="G90" s="501"/>
      <c r="H90" s="502"/>
      <c r="I90" s="295">
        <f>SUM(I83:I89)</f>
        <v>381995.3060000001</v>
      </c>
      <c r="J90" s="274"/>
      <c r="K90" s="274"/>
      <c r="L90" s="274"/>
      <c r="M90" s="274"/>
      <c r="N90" s="274"/>
      <c r="O90" s="274"/>
      <c r="P90" s="274"/>
      <c r="Q90" s="297">
        <f t="shared" ref="Q90:X90" si="121">SUM(Q83:Q89)</f>
        <v>18.011300000000006</v>
      </c>
      <c r="R90" s="298">
        <f t="shared" si="121"/>
        <v>64.228950000000012</v>
      </c>
      <c r="S90" s="298">
        <f t="shared" si="121"/>
        <v>82.240250000000017</v>
      </c>
      <c r="T90" s="299">
        <f t="shared" si="121"/>
        <v>97.872750000000011</v>
      </c>
      <c r="U90" s="299">
        <f t="shared" si="121"/>
        <v>38199.530600000013</v>
      </c>
      <c r="V90" s="299">
        <f t="shared" si="121"/>
        <v>91257.128600000011</v>
      </c>
      <c r="W90" s="299">
        <f t="shared" si="121"/>
        <v>129456.65920000004</v>
      </c>
      <c r="X90" s="299">
        <f t="shared" si="121"/>
        <v>252538.64680000008</v>
      </c>
      <c r="Y90" s="300">
        <f>SUM(Y83:Y89)/COUNT(Y83:Y89)</f>
        <v>0.36428571428571427</v>
      </c>
      <c r="Z90" s="274"/>
      <c r="AA90" s="274">
        <v>18.011300000000006</v>
      </c>
      <c r="AB90" s="274"/>
      <c r="AC90" s="274"/>
      <c r="AD90" s="274"/>
      <c r="AE90" s="274"/>
      <c r="AF90" s="274"/>
      <c r="AG90" s="274"/>
      <c r="AH90" s="274"/>
      <c r="AI90" s="274"/>
      <c r="AJ90" s="299">
        <v>38199.530600000013</v>
      </c>
      <c r="AK90" s="274"/>
      <c r="AL90" s="274"/>
      <c r="AM90" s="274"/>
      <c r="AN90" s="274"/>
      <c r="AO90" s="274"/>
      <c r="AP90" s="274"/>
      <c r="AQ90" s="274"/>
      <c r="AR90" s="274"/>
      <c r="AS90" s="279"/>
      <c r="AT90" s="279"/>
      <c r="AU90" s="279"/>
      <c r="AV90" s="279"/>
      <c r="AW90" s="279"/>
      <c r="AX90" s="279"/>
      <c r="AY90" s="279"/>
      <c r="AZ90" s="279"/>
      <c r="BA90" s="274"/>
      <c r="BB90" s="300">
        <f>SUM(BB83:BB89)/COUNT(BB83:BB89)</f>
        <v>9.9999999999999992E-2</v>
      </c>
      <c r="BC90" s="300">
        <f>SUM(BC83:BC89)/COUNT(BC83:BC89)</f>
        <v>0.32857142857142863</v>
      </c>
      <c r="BD90" s="274"/>
      <c r="BE90" s="274"/>
      <c r="BF90" s="274"/>
      <c r="BG90" s="274"/>
      <c r="BH90" s="274"/>
      <c r="BI90" s="274"/>
    </row>
    <row r="91" spans="1:61" ht="13.8" x14ac:dyDescent="0.25">
      <c r="A91" s="283"/>
      <c r="B91" s="283"/>
      <c r="C91" s="283"/>
      <c r="D91" s="285"/>
      <c r="E91" s="285"/>
      <c r="F91" s="286"/>
      <c r="G91" s="286"/>
      <c r="H91" s="286"/>
      <c r="I91" s="286"/>
      <c r="J91" s="274"/>
      <c r="K91" s="274"/>
      <c r="L91" s="274"/>
      <c r="M91" s="274"/>
      <c r="N91" s="274"/>
      <c r="O91" s="274"/>
      <c r="P91" s="274"/>
      <c r="Q91" s="281"/>
      <c r="R91" s="32"/>
      <c r="S91" s="32"/>
      <c r="T91" s="30"/>
      <c r="U91" s="289"/>
      <c r="V91" s="30"/>
      <c r="W91" s="30"/>
      <c r="X91" s="30"/>
      <c r="Y91" s="282"/>
      <c r="Z91" s="274"/>
      <c r="AA91" s="274"/>
      <c r="AB91" s="274"/>
      <c r="AC91" s="274"/>
      <c r="AD91" s="274"/>
      <c r="AE91" s="274"/>
      <c r="AF91" s="274"/>
      <c r="AG91" s="274"/>
      <c r="AH91" s="274"/>
      <c r="AI91" s="274"/>
      <c r="AJ91" s="30"/>
      <c r="AK91" s="274"/>
      <c r="AL91" s="274"/>
      <c r="AM91" s="274"/>
      <c r="AN91" s="274"/>
      <c r="AO91" s="274"/>
      <c r="AP91" s="274"/>
      <c r="AQ91" s="274"/>
      <c r="AR91" s="274"/>
      <c r="AS91" s="279"/>
      <c r="AT91" s="279"/>
      <c r="AU91" s="279"/>
      <c r="AV91" s="279"/>
      <c r="AW91" s="279"/>
      <c r="AX91" s="279"/>
      <c r="AY91" s="279"/>
      <c r="AZ91" s="279"/>
      <c r="BA91" s="274"/>
      <c r="BB91" s="274"/>
      <c r="BC91" s="279"/>
      <c r="BD91" s="274"/>
      <c r="BE91" s="274"/>
      <c r="BF91" s="274"/>
      <c r="BG91" s="274"/>
      <c r="BH91" s="274"/>
      <c r="BI91" s="274"/>
    </row>
    <row r="92" spans="1:61" ht="13.8" x14ac:dyDescent="0.25">
      <c r="A92" s="270"/>
      <c r="B92" s="271" t="s">
        <v>239</v>
      </c>
      <c r="C92" s="270"/>
      <c r="D92" s="272"/>
      <c r="E92" s="272"/>
      <c r="F92" s="273"/>
      <c r="G92" s="273"/>
      <c r="H92" s="273"/>
      <c r="I92" s="273"/>
      <c r="J92" s="274"/>
      <c r="K92" s="274"/>
      <c r="L92" s="274"/>
      <c r="M92" s="274"/>
      <c r="N92" s="274"/>
      <c r="O92" s="274"/>
      <c r="P92" s="274"/>
      <c r="Q92" s="281"/>
      <c r="R92" s="32"/>
      <c r="S92" s="32"/>
      <c r="T92" s="30"/>
      <c r="U92" s="289"/>
      <c r="V92" s="30"/>
      <c r="W92" s="30"/>
      <c r="X92" s="30"/>
      <c r="Y92" s="282"/>
      <c r="Z92" s="274"/>
      <c r="AA92" s="274"/>
      <c r="AB92" s="274"/>
      <c r="AC92" s="274"/>
      <c r="AD92" s="274"/>
      <c r="AE92" s="274"/>
      <c r="AF92" s="274"/>
      <c r="AG92" s="274"/>
      <c r="AH92" s="274"/>
      <c r="AI92" s="274"/>
      <c r="AJ92" s="30"/>
      <c r="AK92" s="274"/>
      <c r="AL92" s="274"/>
      <c r="AM92" s="274"/>
      <c r="AN92" s="274"/>
      <c r="AO92" s="274"/>
      <c r="AP92" s="274"/>
      <c r="AQ92" s="274"/>
      <c r="AR92" s="274"/>
      <c r="AS92" s="279"/>
      <c r="AT92" s="279"/>
      <c r="AU92" s="279"/>
      <c r="AV92" s="279"/>
      <c r="AW92" s="279"/>
      <c r="AX92" s="279"/>
      <c r="AY92" s="279"/>
      <c r="AZ92" s="279"/>
      <c r="BA92" s="274"/>
      <c r="BB92" s="274"/>
      <c r="BC92" s="279"/>
      <c r="BD92" s="274"/>
      <c r="BE92" s="274"/>
      <c r="BF92" s="274"/>
      <c r="BG92" s="274"/>
      <c r="BH92" s="274"/>
      <c r="BI92" s="274"/>
    </row>
    <row r="93" spans="1:61" ht="13.8" x14ac:dyDescent="0.25">
      <c r="A93" s="283"/>
      <c r="B93" s="284" t="s">
        <v>240</v>
      </c>
      <c r="C93" s="283"/>
      <c r="D93" s="285"/>
      <c r="E93" s="285"/>
      <c r="F93" s="286"/>
      <c r="G93" s="286"/>
      <c r="H93" s="286"/>
      <c r="I93" s="286"/>
      <c r="J93" s="274"/>
      <c r="K93" s="274"/>
      <c r="L93" s="274"/>
      <c r="M93" s="274"/>
      <c r="N93" s="274"/>
      <c r="O93" s="274"/>
      <c r="P93" s="274"/>
      <c r="Q93" s="281"/>
      <c r="R93" s="32"/>
      <c r="S93" s="32"/>
      <c r="T93" s="30"/>
      <c r="U93" s="289"/>
      <c r="V93" s="30"/>
      <c r="W93" s="30"/>
      <c r="X93" s="30"/>
      <c r="Y93" s="282"/>
      <c r="Z93" s="274"/>
      <c r="AA93" s="274"/>
      <c r="AB93" s="274"/>
      <c r="AC93" s="274"/>
      <c r="AD93" s="274"/>
      <c r="AE93" s="274"/>
      <c r="AF93" s="274"/>
      <c r="AG93" s="274"/>
      <c r="AH93" s="274"/>
      <c r="AI93" s="274"/>
      <c r="AJ93" s="30"/>
      <c r="AK93" s="274"/>
      <c r="AL93" s="274"/>
      <c r="AM93" s="274"/>
      <c r="AN93" s="274"/>
      <c r="AO93" s="274"/>
      <c r="AP93" s="274"/>
      <c r="AQ93" s="274"/>
      <c r="AR93" s="274"/>
      <c r="AS93" s="279"/>
      <c r="AT93" s="279"/>
      <c r="AU93" s="279"/>
      <c r="AV93" s="279"/>
      <c r="AW93" s="279"/>
      <c r="AX93" s="279"/>
      <c r="AY93" s="279"/>
      <c r="AZ93" s="279"/>
      <c r="BA93" s="274"/>
      <c r="BB93" s="274"/>
      <c r="BC93" s="279"/>
      <c r="BD93" s="274"/>
      <c r="BE93" s="274"/>
      <c r="BF93" s="274"/>
      <c r="BG93" s="274"/>
      <c r="BH93" s="274"/>
      <c r="BI93" s="274"/>
    </row>
    <row r="94" spans="1:61" ht="13.8" x14ac:dyDescent="0.25">
      <c r="A94" s="283"/>
      <c r="B94" s="283" t="s">
        <v>241</v>
      </c>
      <c r="C94" s="283">
        <v>40.5</v>
      </c>
      <c r="D94" s="285">
        <f>C94*$K$20</f>
        <v>44.550000000000004</v>
      </c>
      <c r="E94" s="285" t="s">
        <v>186</v>
      </c>
      <c r="F94" s="286">
        <f>'MATERIAL AND LABOR COST FOR WAL'!$D$64</f>
        <v>350</v>
      </c>
      <c r="G94" s="286">
        <f>'MATERIAL AND LABOR COST FOR WAL'!$F$64</f>
        <v>350</v>
      </c>
      <c r="H94" s="286">
        <f t="shared" ref="H94:H105" si="122">SUM(F94,G94)</f>
        <v>700</v>
      </c>
      <c r="I94" s="286">
        <f t="shared" ref="I94:I105" si="123">D94*H94</f>
        <v>31185.000000000004</v>
      </c>
      <c r="J94" s="274"/>
      <c r="K94" s="274"/>
      <c r="L94" s="274"/>
      <c r="M94" s="274"/>
      <c r="N94" s="274"/>
      <c r="O94" s="274"/>
      <c r="P94" s="274"/>
      <c r="Q94" s="287">
        <f t="shared" ref="Q94:Q108" si="124">SUM(AA94:AH94)</f>
        <v>4.455000000000001</v>
      </c>
      <c r="R94" s="288">
        <f t="shared" ref="R94:R108" si="125">Y94*D94</f>
        <v>13.365</v>
      </c>
      <c r="S94" s="288">
        <f t="shared" ref="S94:S108" si="126">SUM(Q94:R94)</f>
        <v>17.82</v>
      </c>
      <c r="T94" s="289">
        <f t="shared" ref="T94:T108" si="127">D94-S94</f>
        <v>26.730000000000004</v>
      </c>
      <c r="U94" s="289">
        <f t="shared" ref="U94:U108" si="128">SUM(AJ94:AQ94)</f>
        <v>3118.5000000000005</v>
      </c>
      <c r="V94" s="289">
        <f t="shared" ref="V94:V108" si="129">Y94*I94</f>
        <v>9355.5</v>
      </c>
      <c r="W94" s="289">
        <f t="shared" ref="W94:W108" si="130">SUM(U94:V94)</f>
        <v>12474</v>
      </c>
      <c r="X94" s="289">
        <f t="shared" ref="X94:X108" si="131">I94-W94</f>
        <v>18711.000000000004</v>
      </c>
      <c r="Y94" s="290">
        <f t="shared" ref="Y94:Y108" si="132">SUM(AS94:AZ94)</f>
        <v>0.3</v>
      </c>
      <c r="Z94" s="274"/>
      <c r="AA94" s="274">
        <v>4.455000000000001</v>
      </c>
      <c r="AB94" s="274"/>
      <c r="AC94" s="274"/>
      <c r="AD94" s="274"/>
      <c r="AE94" s="274"/>
      <c r="AF94" s="274"/>
      <c r="AG94" s="274"/>
      <c r="AH94" s="274"/>
      <c r="AI94" s="274"/>
      <c r="AJ94" s="289">
        <v>3118.5000000000005</v>
      </c>
      <c r="AK94" s="274"/>
      <c r="AL94" s="274"/>
      <c r="AM94" s="274"/>
      <c r="AN94" s="274"/>
      <c r="AO94" s="274"/>
      <c r="AP94" s="274"/>
      <c r="AQ94" s="274"/>
      <c r="AR94" s="274"/>
      <c r="AS94" s="279">
        <v>0.3</v>
      </c>
      <c r="AT94" s="279"/>
      <c r="AU94" s="279"/>
      <c r="AV94" s="279"/>
      <c r="AW94" s="279"/>
      <c r="AX94" s="279"/>
      <c r="AY94" s="279"/>
      <c r="AZ94" s="279"/>
      <c r="BA94" s="274"/>
      <c r="BB94" s="279">
        <v>0.1</v>
      </c>
      <c r="BC94" s="279">
        <v>0.4</v>
      </c>
      <c r="BD94" s="274"/>
      <c r="BE94" s="274"/>
      <c r="BF94" s="274"/>
      <c r="BG94" s="274"/>
      <c r="BH94" s="274"/>
      <c r="BI94" s="274"/>
    </row>
    <row r="95" spans="1:61" ht="13.8" x14ac:dyDescent="0.25">
      <c r="A95" s="283"/>
      <c r="B95" s="284" t="s">
        <v>242</v>
      </c>
      <c r="C95" s="283"/>
      <c r="D95" s="285"/>
      <c r="E95" s="285"/>
      <c r="F95" s="286">
        <f>'MATERIAL AND LABOR COST FOR WAL'!D65</f>
        <v>0</v>
      </c>
      <c r="G95" s="286">
        <f>'MATERIAL AND LABOR COST FOR WAL'!F65</f>
        <v>0</v>
      </c>
      <c r="H95" s="286">
        <f t="shared" si="122"/>
        <v>0</v>
      </c>
      <c r="I95" s="286">
        <f t="shared" si="123"/>
        <v>0</v>
      </c>
      <c r="J95" s="274"/>
      <c r="K95" s="274"/>
      <c r="L95" s="274"/>
      <c r="M95" s="274"/>
      <c r="N95" s="274"/>
      <c r="O95" s="274"/>
      <c r="P95" s="274"/>
      <c r="Q95" s="287">
        <f t="shared" si="124"/>
        <v>0</v>
      </c>
      <c r="R95" s="288">
        <f t="shared" si="125"/>
        <v>0</v>
      </c>
      <c r="S95" s="288">
        <f t="shared" si="126"/>
        <v>0</v>
      </c>
      <c r="T95" s="289">
        <f t="shared" si="127"/>
        <v>0</v>
      </c>
      <c r="U95" s="289">
        <f t="shared" si="128"/>
        <v>0</v>
      </c>
      <c r="V95" s="289">
        <f t="shared" si="129"/>
        <v>0</v>
      </c>
      <c r="W95" s="289">
        <f t="shared" si="130"/>
        <v>0</v>
      </c>
      <c r="X95" s="289">
        <f t="shared" si="131"/>
        <v>0</v>
      </c>
      <c r="Y95" s="290">
        <f t="shared" si="132"/>
        <v>0.3</v>
      </c>
      <c r="Z95" s="274"/>
      <c r="AA95" s="274">
        <v>0</v>
      </c>
      <c r="AB95" s="274"/>
      <c r="AC95" s="274"/>
      <c r="AD95" s="274"/>
      <c r="AE95" s="274"/>
      <c r="AF95" s="274"/>
      <c r="AG95" s="274"/>
      <c r="AH95" s="274"/>
      <c r="AI95" s="274"/>
      <c r="AJ95" s="289">
        <v>0</v>
      </c>
      <c r="AK95" s="274"/>
      <c r="AL95" s="274"/>
      <c r="AM95" s="274"/>
      <c r="AN95" s="274"/>
      <c r="AO95" s="274"/>
      <c r="AP95" s="274"/>
      <c r="AQ95" s="274"/>
      <c r="AR95" s="274"/>
      <c r="AS95" s="279">
        <v>0.3</v>
      </c>
      <c r="AT95" s="279"/>
      <c r="AU95" s="279"/>
      <c r="AV95" s="279"/>
      <c r="AW95" s="279"/>
      <c r="AX95" s="279"/>
      <c r="AY95" s="279"/>
      <c r="AZ95" s="279"/>
      <c r="BA95" s="274"/>
      <c r="BB95" s="279">
        <v>0.15</v>
      </c>
      <c r="BC95" s="279">
        <v>0.3</v>
      </c>
      <c r="BD95" s="274"/>
      <c r="BE95" s="274"/>
      <c r="BF95" s="274"/>
      <c r="BG95" s="274"/>
      <c r="BH95" s="274"/>
      <c r="BI95" s="274"/>
    </row>
    <row r="96" spans="1:61" ht="13.8" x14ac:dyDescent="0.25">
      <c r="A96" s="283"/>
      <c r="B96" s="283" t="s">
        <v>243</v>
      </c>
      <c r="C96" s="283">
        <v>41.6</v>
      </c>
      <c r="D96" s="285">
        <f t="shared" ref="D96:D97" si="133">C96*$K$20</f>
        <v>45.760000000000005</v>
      </c>
      <c r="E96" s="285" t="s">
        <v>186</v>
      </c>
      <c r="F96" s="286">
        <f>'MATERIAL AND LABOR COST FOR WAL'!$D$66</f>
        <v>350</v>
      </c>
      <c r="G96" s="286">
        <f>'MATERIAL AND LABOR COST FOR WAL'!$F$66</f>
        <v>350</v>
      </c>
      <c r="H96" s="286">
        <f t="shared" si="122"/>
        <v>700</v>
      </c>
      <c r="I96" s="286">
        <f t="shared" si="123"/>
        <v>32032.000000000004</v>
      </c>
      <c r="J96" s="274"/>
      <c r="K96" s="274"/>
      <c r="L96" s="274"/>
      <c r="M96" s="274"/>
      <c r="N96" s="274"/>
      <c r="O96" s="274"/>
      <c r="P96" s="274"/>
      <c r="Q96" s="287">
        <f t="shared" si="124"/>
        <v>6.8640000000000008</v>
      </c>
      <c r="R96" s="288">
        <f t="shared" si="125"/>
        <v>18.304000000000002</v>
      </c>
      <c r="S96" s="288">
        <f t="shared" si="126"/>
        <v>25.168000000000003</v>
      </c>
      <c r="T96" s="289">
        <f t="shared" si="127"/>
        <v>20.592000000000002</v>
      </c>
      <c r="U96" s="289">
        <f t="shared" si="128"/>
        <v>4804.8</v>
      </c>
      <c r="V96" s="289">
        <f t="shared" si="129"/>
        <v>12812.800000000003</v>
      </c>
      <c r="W96" s="289">
        <f t="shared" si="130"/>
        <v>17617.600000000002</v>
      </c>
      <c r="X96" s="289">
        <f t="shared" si="131"/>
        <v>14414.400000000001</v>
      </c>
      <c r="Y96" s="290">
        <f t="shared" si="132"/>
        <v>0.4</v>
      </c>
      <c r="Z96" s="274"/>
      <c r="AA96" s="274">
        <v>6.8640000000000008</v>
      </c>
      <c r="AB96" s="274"/>
      <c r="AC96" s="274"/>
      <c r="AD96" s="274"/>
      <c r="AE96" s="274"/>
      <c r="AF96" s="274"/>
      <c r="AG96" s="274"/>
      <c r="AH96" s="274"/>
      <c r="AI96" s="274"/>
      <c r="AJ96" s="289">
        <v>4804.8</v>
      </c>
      <c r="AK96" s="274"/>
      <c r="AL96" s="274"/>
      <c r="AM96" s="274"/>
      <c r="AN96" s="274"/>
      <c r="AO96" s="274"/>
      <c r="AP96" s="274"/>
      <c r="AQ96" s="274"/>
      <c r="AR96" s="274"/>
      <c r="AS96" s="279">
        <v>0.4</v>
      </c>
      <c r="AT96" s="279"/>
      <c r="AU96" s="279"/>
      <c r="AV96" s="279"/>
      <c r="AW96" s="279"/>
      <c r="AX96" s="279"/>
      <c r="AY96" s="279"/>
      <c r="AZ96" s="279"/>
      <c r="BA96" s="274"/>
      <c r="BB96" s="279">
        <v>0.15</v>
      </c>
      <c r="BC96" s="279">
        <v>0.15</v>
      </c>
      <c r="BD96" s="274"/>
      <c r="BE96" s="274"/>
      <c r="BF96" s="274"/>
      <c r="BG96" s="274"/>
      <c r="BH96" s="274"/>
      <c r="BI96" s="274"/>
    </row>
    <row r="97" spans="1:61" ht="13.8" x14ac:dyDescent="0.25">
      <c r="A97" s="283"/>
      <c r="B97" s="283" t="s">
        <v>244</v>
      </c>
      <c r="C97" s="283">
        <v>6.1</v>
      </c>
      <c r="D97" s="285">
        <f t="shared" si="133"/>
        <v>6.71</v>
      </c>
      <c r="E97" s="285" t="s">
        <v>186</v>
      </c>
      <c r="F97" s="286">
        <f>'MATERIAL AND LABOR COST FOR WAL'!$D$67</f>
        <v>1100</v>
      </c>
      <c r="G97" s="286">
        <f>'MATERIAL AND LABOR COST FOR WAL'!$F$67</f>
        <v>330</v>
      </c>
      <c r="H97" s="286">
        <f t="shared" si="122"/>
        <v>1430</v>
      </c>
      <c r="I97" s="286">
        <f t="shared" si="123"/>
        <v>9595.2999999999993</v>
      </c>
      <c r="J97" s="274"/>
      <c r="K97" s="274"/>
      <c r="L97" s="274"/>
      <c r="M97" s="274"/>
      <c r="N97" s="274"/>
      <c r="O97" s="274"/>
      <c r="P97" s="274"/>
      <c r="Q97" s="287">
        <f t="shared" si="124"/>
        <v>1.0065</v>
      </c>
      <c r="R97" s="288">
        <f t="shared" si="125"/>
        <v>2.6840000000000002</v>
      </c>
      <c r="S97" s="288">
        <f t="shared" si="126"/>
        <v>3.6905000000000001</v>
      </c>
      <c r="T97" s="289">
        <f t="shared" si="127"/>
        <v>3.0194999999999999</v>
      </c>
      <c r="U97" s="289">
        <f t="shared" si="128"/>
        <v>1439.2949999999998</v>
      </c>
      <c r="V97" s="289">
        <f t="shared" si="129"/>
        <v>3838.12</v>
      </c>
      <c r="W97" s="289">
        <f t="shared" si="130"/>
        <v>5277.415</v>
      </c>
      <c r="X97" s="289">
        <f t="shared" si="131"/>
        <v>4317.8849999999993</v>
      </c>
      <c r="Y97" s="290">
        <f t="shared" si="132"/>
        <v>0.4</v>
      </c>
      <c r="Z97" s="274"/>
      <c r="AA97" s="274">
        <v>1.0065</v>
      </c>
      <c r="AB97" s="274"/>
      <c r="AC97" s="274"/>
      <c r="AD97" s="274"/>
      <c r="AE97" s="274"/>
      <c r="AF97" s="274"/>
      <c r="AG97" s="274"/>
      <c r="AH97" s="274"/>
      <c r="AI97" s="274"/>
      <c r="AJ97" s="289">
        <v>1439.2949999999998</v>
      </c>
      <c r="AK97" s="274"/>
      <c r="AL97" s="274"/>
      <c r="AM97" s="274"/>
      <c r="AN97" s="274"/>
      <c r="AO97" s="274"/>
      <c r="AP97" s="274"/>
      <c r="AQ97" s="274"/>
      <c r="AR97" s="274"/>
      <c r="AS97" s="279">
        <v>0.4</v>
      </c>
      <c r="AT97" s="279"/>
      <c r="AU97" s="279"/>
      <c r="AV97" s="279"/>
      <c r="AW97" s="279"/>
      <c r="AX97" s="279"/>
      <c r="AY97" s="279"/>
      <c r="AZ97" s="279"/>
      <c r="BA97" s="274"/>
      <c r="BB97" s="279">
        <v>0.15</v>
      </c>
      <c r="BC97" s="279">
        <v>0.15</v>
      </c>
      <c r="BD97" s="274"/>
      <c r="BE97" s="274"/>
      <c r="BF97" s="274"/>
      <c r="BG97" s="274"/>
      <c r="BH97" s="274"/>
      <c r="BI97" s="274"/>
    </row>
    <row r="98" spans="1:61" ht="13.8" x14ac:dyDescent="0.25">
      <c r="A98" s="283"/>
      <c r="B98" s="284" t="s">
        <v>245</v>
      </c>
      <c r="C98" s="283"/>
      <c r="D98" s="285"/>
      <c r="E98" s="285"/>
      <c r="F98" s="286">
        <f>'MATERIAL AND LABOR COST FOR WAL'!D68</f>
        <v>0</v>
      </c>
      <c r="G98" s="286">
        <f>'MATERIAL AND LABOR COST FOR WAL'!F68</f>
        <v>0</v>
      </c>
      <c r="H98" s="286">
        <f t="shared" si="122"/>
        <v>0</v>
      </c>
      <c r="I98" s="286">
        <f t="shared" si="123"/>
        <v>0</v>
      </c>
      <c r="J98" s="274"/>
      <c r="K98" s="274"/>
      <c r="L98" s="274"/>
      <c r="M98" s="274"/>
      <c r="N98" s="274"/>
      <c r="O98" s="274"/>
      <c r="P98" s="274"/>
      <c r="Q98" s="287">
        <f t="shared" si="124"/>
        <v>0</v>
      </c>
      <c r="R98" s="288">
        <f t="shared" si="125"/>
        <v>0</v>
      </c>
      <c r="S98" s="288">
        <f t="shared" si="126"/>
        <v>0</v>
      </c>
      <c r="T98" s="289">
        <f t="shared" si="127"/>
        <v>0</v>
      </c>
      <c r="U98" s="289">
        <f t="shared" si="128"/>
        <v>0</v>
      </c>
      <c r="V98" s="289">
        <f t="shared" si="129"/>
        <v>0</v>
      </c>
      <c r="W98" s="289">
        <f t="shared" si="130"/>
        <v>0</v>
      </c>
      <c r="X98" s="289">
        <f t="shared" si="131"/>
        <v>0</v>
      </c>
      <c r="Y98" s="290">
        <f t="shared" si="132"/>
        <v>0.4</v>
      </c>
      <c r="Z98" s="274"/>
      <c r="AA98" s="274">
        <v>0</v>
      </c>
      <c r="AB98" s="274"/>
      <c r="AC98" s="274"/>
      <c r="AD98" s="274"/>
      <c r="AE98" s="274"/>
      <c r="AF98" s="274"/>
      <c r="AG98" s="274"/>
      <c r="AH98" s="274"/>
      <c r="AI98" s="274"/>
      <c r="AJ98" s="289">
        <v>0</v>
      </c>
      <c r="AK98" s="274"/>
      <c r="AL98" s="274"/>
      <c r="AM98" s="274"/>
      <c r="AN98" s="274"/>
      <c r="AO98" s="274"/>
      <c r="AP98" s="274"/>
      <c r="AQ98" s="274"/>
      <c r="AR98" s="274"/>
      <c r="AS98" s="279">
        <v>0.4</v>
      </c>
      <c r="AT98" s="279"/>
      <c r="AU98" s="279"/>
      <c r="AV98" s="279"/>
      <c r="AW98" s="279"/>
      <c r="AX98" s="279"/>
      <c r="AY98" s="279"/>
      <c r="AZ98" s="279"/>
      <c r="BA98" s="274"/>
      <c r="BB98" s="279">
        <v>0.15</v>
      </c>
      <c r="BC98" s="279">
        <v>0.15</v>
      </c>
      <c r="BD98" s="274"/>
      <c r="BE98" s="274"/>
      <c r="BF98" s="274"/>
      <c r="BG98" s="274"/>
      <c r="BH98" s="274"/>
      <c r="BI98" s="274"/>
    </row>
    <row r="99" spans="1:61" ht="13.8" x14ac:dyDescent="0.25">
      <c r="A99" s="283"/>
      <c r="B99" s="283" t="s">
        <v>246</v>
      </c>
      <c r="C99" s="283">
        <v>30.6</v>
      </c>
      <c r="D99" s="285">
        <f t="shared" ref="D99:D100" si="134">C99*$K$20</f>
        <v>33.660000000000004</v>
      </c>
      <c r="E99" s="285" t="s">
        <v>186</v>
      </c>
      <c r="F99" s="286">
        <f>'MATERIAL AND LABOR COST FOR WAL'!$D$69</f>
        <v>450.00000000000006</v>
      </c>
      <c r="G99" s="286">
        <f>'MATERIAL AND LABOR COST FOR WAL'!$F$69</f>
        <v>350</v>
      </c>
      <c r="H99" s="286">
        <f t="shared" si="122"/>
        <v>800</v>
      </c>
      <c r="I99" s="286">
        <f t="shared" si="123"/>
        <v>26928.000000000004</v>
      </c>
      <c r="J99" s="274"/>
      <c r="K99" s="274"/>
      <c r="L99" s="274"/>
      <c r="M99" s="274"/>
      <c r="N99" s="274"/>
      <c r="O99" s="274"/>
      <c r="P99" s="274"/>
      <c r="Q99" s="287">
        <f t="shared" si="124"/>
        <v>5.0490000000000004</v>
      </c>
      <c r="R99" s="288">
        <f t="shared" si="125"/>
        <v>15.147000000000002</v>
      </c>
      <c r="S99" s="288">
        <f t="shared" si="126"/>
        <v>20.196000000000002</v>
      </c>
      <c r="T99" s="289">
        <f t="shared" si="127"/>
        <v>13.464000000000002</v>
      </c>
      <c r="U99" s="289">
        <f t="shared" si="128"/>
        <v>4039.2000000000003</v>
      </c>
      <c r="V99" s="289">
        <f t="shared" si="129"/>
        <v>12117.600000000002</v>
      </c>
      <c r="W99" s="289">
        <f t="shared" si="130"/>
        <v>16156.800000000003</v>
      </c>
      <c r="X99" s="289">
        <f t="shared" si="131"/>
        <v>10771.2</v>
      </c>
      <c r="Y99" s="290">
        <f t="shared" si="132"/>
        <v>0.45</v>
      </c>
      <c r="Z99" s="274"/>
      <c r="AA99" s="274">
        <v>5.0490000000000004</v>
      </c>
      <c r="AB99" s="274"/>
      <c r="AC99" s="274"/>
      <c r="AD99" s="274"/>
      <c r="AE99" s="274"/>
      <c r="AF99" s="274"/>
      <c r="AG99" s="274"/>
      <c r="AH99" s="274"/>
      <c r="AI99" s="274"/>
      <c r="AJ99" s="289">
        <v>4039.2000000000003</v>
      </c>
      <c r="AK99" s="274"/>
      <c r="AL99" s="274"/>
      <c r="AM99" s="274"/>
      <c r="AN99" s="274"/>
      <c r="AO99" s="274"/>
      <c r="AP99" s="274"/>
      <c r="AQ99" s="274"/>
      <c r="AR99" s="274"/>
      <c r="AS99" s="279">
        <v>0.45</v>
      </c>
      <c r="AT99" s="279"/>
      <c r="AU99" s="279"/>
      <c r="AV99" s="279"/>
      <c r="AW99" s="279"/>
      <c r="AX99" s="279"/>
      <c r="AY99" s="279"/>
      <c r="AZ99" s="279"/>
      <c r="BA99" s="274"/>
      <c r="BB99" s="279">
        <v>0.15</v>
      </c>
      <c r="BC99" s="279">
        <v>0.3</v>
      </c>
      <c r="BD99" s="274"/>
      <c r="BE99" s="274"/>
      <c r="BF99" s="274"/>
      <c r="BG99" s="274"/>
      <c r="BH99" s="274"/>
      <c r="BI99" s="274"/>
    </row>
    <row r="100" spans="1:61" ht="13.8" x14ac:dyDescent="0.25">
      <c r="A100" s="283"/>
      <c r="B100" s="302" t="s">
        <v>247</v>
      </c>
      <c r="C100" s="283">
        <v>1</v>
      </c>
      <c r="D100" s="285">
        <f t="shared" si="134"/>
        <v>1.1000000000000001</v>
      </c>
      <c r="E100" s="285" t="s">
        <v>186</v>
      </c>
      <c r="F100" s="286">
        <f>'MATERIAL AND LABOR COST FOR WAL'!$D$70</f>
        <v>330</v>
      </c>
      <c r="G100" s="286">
        <f>'MATERIAL AND LABOR COST FOR WAL'!$F$70</f>
        <v>350</v>
      </c>
      <c r="H100" s="286">
        <f t="shared" si="122"/>
        <v>680</v>
      </c>
      <c r="I100" s="286">
        <f t="shared" si="123"/>
        <v>748.00000000000011</v>
      </c>
      <c r="J100" s="274"/>
      <c r="K100" s="274"/>
      <c r="L100" s="274"/>
      <c r="M100" s="274"/>
      <c r="N100" s="274"/>
      <c r="O100" s="274"/>
      <c r="P100" s="274"/>
      <c r="Q100" s="287">
        <f t="shared" si="124"/>
        <v>0.16500000000000001</v>
      </c>
      <c r="R100" s="288">
        <f t="shared" si="125"/>
        <v>0.49500000000000005</v>
      </c>
      <c r="S100" s="288">
        <f t="shared" si="126"/>
        <v>0.66</v>
      </c>
      <c r="T100" s="289">
        <f t="shared" si="127"/>
        <v>0.44000000000000006</v>
      </c>
      <c r="U100" s="289">
        <f t="shared" si="128"/>
        <v>112.20000000000002</v>
      </c>
      <c r="V100" s="289">
        <f t="shared" si="129"/>
        <v>336.60000000000008</v>
      </c>
      <c r="W100" s="289">
        <f t="shared" si="130"/>
        <v>448.80000000000007</v>
      </c>
      <c r="X100" s="289">
        <f t="shared" si="131"/>
        <v>299.20000000000005</v>
      </c>
      <c r="Y100" s="290">
        <f t="shared" si="132"/>
        <v>0.45</v>
      </c>
      <c r="Z100" s="274"/>
      <c r="AA100" s="274">
        <v>0.16500000000000001</v>
      </c>
      <c r="AB100" s="274"/>
      <c r="AC100" s="274"/>
      <c r="AD100" s="274"/>
      <c r="AE100" s="274"/>
      <c r="AF100" s="274"/>
      <c r="AG100" s="274"/>
      <c r="AH100" s="274"/>
      <c r="AI100" s="274"/>
      <c r="AJ100" s="289">
        <v>112.20000000000002</v>
      </c>
      <c r="AK100" s="274"/>
      <c r="AL100" s="274"/>
      <c r="AM100" s="274"/>
      <c r="AN100" s="274"/>
      <c r="AO100" s="274"/>
      <c r="AP100" s="274"/>
      <c r="AQ100" s="274"/>
      <c r="AR100" s="274"/>
      <c r="AS100" s="279">
        <v>0.45</v>
      </c>
      <c r="AT100" s="279"/>
      <c r="AU100" s="279"/>
      <c r="AV100" s="279"/>
      <c r="AW100" s="279"/>
      <c r="AX100" s="279"/>
      <c r="AY100" s="279"/>
      <c r="AZ100" s="279"/>
      <c r="BA100" s="274"/>
      <c r="BB100" s="279">
        <v>0.15</v>
      </c>
      <c r="BC100" s="279">
        <v>0.3</v>
      </c>
      <c r="BD100" s="274"/>
      <c r="BE100" s="274"/>
      <c r="BF100" s="274"/>
      <c r="BG100" s="274"/>
      <c r="BH100" s="274"/>
      <c r="BI100" s="274"/>
    </row>
    <row r="101" spans="1:61" ht="13.8" x14ac:dyDescent="0.25">
      <c r="A101" s="283"/>
      <c r="B101" s="284" t="s">
        <v>248</v>
      </c>
      <c r="C101" s="283"/>
      <c r="D101" s="285"/>
      <c r="E101" s="285"/>
      <c r="F101" s="286">
        <f>'MATERIAL AND LABOR COST FOR WAL'!D71</f>
        <v>0</v>
      </c>
      <c r="G101" s="286">
        <f>'MATERIAL AND LABOR COST FOR WAL'!F71</f>
        <v>0</v>
      </c>
      <c r="H101" s="286">
        <f t="shared" si="122"/>
        <v>0</v>
      </c>
      <c r="I101" s="286">
        <f t="shared" si="123"/>
        <v>0</v>
      </c>
      <c r="J101" s="274"/>
      <c r="K101" s="274"/>
      <c r="L101" s="274"/>
      <c r="M101" s="274"/>
      <c r="N101" s="274"/>
      <c r="O101" s="274"/>
      <c r="P101" s="274"/>
      <c r="Q101" s="287">
        <f t="shared" si="124"/>
        <v>0</v>
      </c>
      <c r="R101" s="288">
        <f t="shared" si="125"/>
        <v>0</v>
      </c>
      <c r="S101" s="288">
        <f t="shared" si="126"/>
        <v>0</v>
      </c>
      <c r="T101" s="289">
        <f t="shared" si="127"/>
        <v>0</v>
      </c>
      <c r="U101" s="289">
        <f t="shared" si="128"/>
        <v>0</v>
      </c>
      <c r="V101" s="289">
        <f t="shared" si="129"/>
        <v>0</v>
      </c>
      <c r="W101" s="289">
        <f t="shared" si="130"/>
        <v>0</v>
      </c>
      <c r="X101" s="289">
        <f t="shared" si="131"/>
        <v>0</v>
      </c>
      <c r="Y101" s="290">
        <f t="shared" si="132"/>
        <v>0.15</v>
      </c>
      <c r="Z101" s="274"/>
      <c r="AA101" s="274">
        <v>0</v>
      </c>
      <c r="AB101" s="274"/>
      <c r="AC101" s="274"/>
      <c r="AD101" s="274"/>
      <c r="AE101" s="274"/>
      <c r="AF101" s="274"/>
      <c r="AG101" s="274"/>
      <c r="AH101" s="274"/>
      <c r="AI101" s="274"/>
      <c r="AJ101" s="289">
        <v>0</v>
      </c>
      <c r="AK101" s="274"/>
      <c r="AL101" s="274"/>
      <c r="AM101" s="274"/>
      <c r="AN101" s="274"/>
      <c r="AO101" s="274"/>
      <c r="AP101" s="274"/>
      <c r="AQ101" s="274"/>
      <c r="AR101" s="274"/>
      <c r="AS101" s="279">
        <v>0.15</v>
      </c>
      <c r="AT101" s="279"/>
      <c r="AU101" s="279"/>
      <c r="AV101" s="279"/>
      <c r="AW101" s="279"/>
      <c r="AX101" s="279"/>
      <c r="AY101" s="279"/>
      <c r="AZ101" s="279"/>
      <c r="BA101" s="274"/>
      <c r="BB101" s="279">
        <v>0.15</v>
      </c>
      <c r="BC101" s="279">
        <v>0.15</v>
      </c>
      <c r="BD101" s="274"/>
      <c r="BE101" s="274"/>
      <c r="BF101" s="274"/>
      <c r="BG101" s="274"/>
      <c r="BH101" s="274"/>
      <c r="BI101" s="274"/>
    </row>
    <row r="102" spans="1:61" ht="13.8" x14ac:dyDescent="0.25">
      <c r="A102" s="283"/>
      <c r="B102" s="283" t="s">
        <v>249</v>
      </c>
      <c r="C102" s="283">
        <v>3.6</v>
      </c>
      <c r="D102" s="285">
        <f t="shared" ref="D102:D103" si="135">C102*$K$20</f>
        <v>3.9600000000000004</v>
      </c>
      <c r="E102" s="285" t="s">
        <v>186</v>
      </c>
      <c r="F102" s="286">
        <f>'MATERIAL AND LABOR COST FOR WAL'!$D$72</f>
        <v>1100</v>
      </c>
      <c r="G102" s="286">
        <f>'MATERIAL AND LABOR COST FOR WAL'!$F$72</f>
        <v>350</v>
      </c>
      <c r="H102" s="286">
        <f t="shared" si="122"/>
        <v>1450</v>
      </c>
      <c r="I102" s="286">
        <f t="shared" si="123"/>
        <v>5742.0000000000009</v>
      </c>
      <c r="J102" s="274"/>
      <c r="K102" s="274"/>
      <c r="L102" s="274"/>
      <c r="M102" s="274"/>
      <c r="N102" s="274"/>
      <c r="O102" s="274"/>
      <c r="P102" s="274"/>
      <c r="Q102" s="287">
        <f t="shared" si="124"/>
        <v>0.59400000000000008</v>
      </c>
      <c r="R102" s="288">
        <f t="shared" si="125"/>
        <v>0.79200000000000015</v>
      </c>
      <c r="S102" s="288">
        <f t="shared" si="126"/>
        <v>1.3860000000000001</v>
      </c>
      <c r="T102" s="289">
        <f t="shared" si="127"/>
        <v>2.5740000000000003</v>
      </c>
      <c r="U102" s="289">
        <f t="shared" si="128"/>
        <v>861.30000000000007</v>
      </c>
      <c r="V102" s="289">
        <f t="shared" si="129"/>
        <v>1148.4000000000003</v>
      </c>
      <c r="W102" s="289">
        <f t="shared" si="130"/>
        <v>2009.7000000000003</v>
      </c>
      <c r="X102" s="289">
        <f t="shared" si="131"/>
        <v>3732.3000000000006</v>
      </c>
      <c r="Y102" s="290">
        <f t="shared" si="132"/>
        <v>0.2</v>
      </c>
      <c r="Z102" s="274"/>
      <c r="AA102" s="274">
        <v>0.59400000000000008</v>
      </c>
      <c r="AB102" s="274"/>
      <c r="AC102" s="274"/>
      <c r="AD102" s="274"/>
      <c r="AE102" s="274"/>
      <c r="AF102" s="274"/>
      <c r="AG102" s="274"/>
      <c r="AH102" s="274"/>
      <c r="AI102" s="274"/>
      <c r="AJ102" s="289">
        <v>861.30000000000007</v>
      </c>
      <c r="AK102" s="274"/>
      <c r="AL102" s="274"/>
      <c r="AM102" s="274"/>
      <c r="AN102" s="274"/>
      <c r="AO102" s="274"/>
      <c r="AP102" s="274"/>
      <c r="AQ102" s="274"/>
      <c r="AR102" s="274"/>
      <c r="AS102" s="279">
        <v>0.2</v>
      </c>
      <c r="AT102" s="279"/>
      <c r="AU102" s="279"/>
      <c r="AV102" s="279"/>
      <c r="AW102" s="279"/>
      <c r="AX102" s="279"/>
      <c r="AY102" s="279"/>
      <c r="AZ102" s="279"/>
      <c r="BA102" s="274"/>
      <c r="BB102" s="279">
        <v>0.15</v>
      </c>
      <c r="BC102" s="279">
        <v>0.15</v>
      </c>
      <c r="BD102" s="274"/>
      <c r="BE102" s="274"/>
      <c r="BF102" s="274"/>
      <c r="BG102" s="274"/>
      <c r="BH102" s="274"/>
      <c r="BI102" s="274"/>
    </row>
    <row r="103" spans="1:61" ht="13.8" x14ac:dyDescent="0.25">
      <c r="A103" s="283"/>
      <c r="B103" s="283" t="s">
        <v>250</v>
      </c>
      <c r="C103" s="283">
        <v>24.2</v>
      </c>
      <c r="D103" s="285">
        <f t="shared" si="135"/>
        <v>26.62</v>
      </c>
      <c r="E103" s="285" t="s">
        <v>186</v>
      </c>
      <c r="F103" s="286">
        <f>'MATERIAL AND LABOR COST FOR WAL'!$D$73</f>
        <v>350</v>
      </c>
      <c r="G103" s="286">
        <f>'MATERIAL AND LABOR COST FOR WAL'!$F$73</f>
        <v>350</v>
      </c>
      <c r="H103" s="286">
        <f t="shared" si="122"/>
        <v>700</v>
      </c>
      <c r="I103" s="286">
        <f t="shared" si="123"/>
        <v>18634</v>
      </c>
      <c r="J103" s="274"/>
      <c r="K103" s="274"/>
      <c r="L103" s="274"/>
      <c r="M103" s="274"/>
      <c r="N103" s="274"/>
      <c r="O103" s="274"/>
      <c r="P103" s="274"/>
      <c r="Q103" s="287">
        <f t="shared" si="124"/>
        <v>3.9929999999999999</v>
      </c>
      <c r="R103" s="288">
        <f t="shared" si="125"/>
        <v>13.31</v>
      </c>
      <c r="S103" s="288">
        <f t="shared" si="126"/>
        <v>17.303000000000001</v>
      </c>
      <c r="T103" s="289">
        <f t="shared" si="127"/>
        <v>9.3170000000000002</v>
      </c>
      <c r="U103" s="289">
        <f t="shared" si="128"/>
        <v>2795.1</v>
      </c>
      <c r="V103" s="289">
        <f t="shared" si="129"/>
        <v>9317</v>
      </c>
      <c r="W103" s="289">
        <f t="shared" si="130"/>
        <v>12112.1</v>
      </c>
      <c r="X103" s="289">
        <f t="shared" si="131"/>
        <v>6521.9</v>
      </c>
      <c r="Y103" s="290">
        <f t="shared" si="132"/>
        <v>0.5</v>
      </c>
      <c r="Z103" s="274"/>
      <c r="AA103" s="274">
        <v>3.9929999999999999</v>
      </c>
      <c r="AB103" s="274"/>
      <c r="AC103" s="274"/>
      <c r="AD103" s="274"/>
      <c r="AE103" s="274"/>
      <c r="AF103" s="274"/>
      <c r="AG103" s="274"/>
      <c r="AH103" s="274"/>
      <c r="AI103" s="274"/>
      <c r="AJ103" s="289">
        <v>2795.1</v>
      </c>
      <c r="AK103" s="274"/>
      <c r="AL103" s="274"/>
      <c r="AM103" s="274"/>
      <c r="AN103" s="274"/>
      <c r="AO103" s="274"/>
      <c r="AP103" s="274"/>
      <c r="AQ103" s="274"/>
      <c r="AR103" s="274"/>
      <c r="AS103" s="279">
        <v>0.5</v>
      </c>
      <c r="AT103" s="279"/>
      <c r="AU103" s="279"/>
      <c r="AV103" s="279"/>
      <c r="AW103" s="279"/>
      <c r="AX103" s="279"/>
      <c r="AY103" s="279"/>
      <c r="AZ103" s="279"/>
      <c r="BA103" s="274"/>
      <c r="BB103" s="279">
        <v>0.15</v>
      </c>
      <c r="BC103" s="279">
        <v>0.1</v>
      </c>
      <c r="BD103" s="274"/>
      <c r="BE103" s="274"/>
      <c r="BF103" s="274"/>
      <c r="BG103" s="274"/>
      <c r="BH103" s="274"/>
      <c r="BI103" s="274"/>
    </row>
    <row r="104" spans="1:61" ht="13.8" x14ac:dyDescent="0.25">
      <c r="A104" s="283"/>
      <c r="B104" s="284" t="s">
        <v>138</v>
      </c>
      <c r="C104" s="283"/>
      <c r="D104" s="285"/>
      <c r="E104" s="285"/>
      <c r="F104" s="286">
        <f>'MATERIAL AND LABOR COST FOR WAL'!D74</f>
        <v>0</v>
      </c>
      <c r="G104" s="286">
        <f>'MATERIAL AND LABOR COST FOR WAL'!F74</f>
        <v>0</v>
      </c>
      <c r="H104" s="286">
        <f t="shared" si="122"/>
        <v>0</v>
      </c>
      <c r="I104" s="286">
        <f t="shared" si="123"/>
        <v>0</v>
      </c>
      <c r="J104" s="274"/>
      <c r="K104" s="274"/>
      <c r="L104" s="274"/>
      <c r="M104" s="274"/>
      <c r="N104" s="274"/>
      <c r="O104" s="274"/>
      <c r="P104" s="274"/>
      <c r="Q104" s="287">
        <f t="shared" si="124"/>
        <v>0</v>
      </c>
      <c r="R104" s="288">
        <f t="shared" si="125"/>
        <v>0</v>
      </c>
      <c r="S104" s="288">
        <f t="shared" si="126"/>
        <v>0</v>
      </c>
      <c r="T104" s="289">
        <f t="shared" si="127"/>
        <v>0</v>
      </c>
      <c r="U104" s="289">
        <f t="shared" si="128"/>
        <v>0</v>
      </c>
      <c r="V104" s="289">
        <f t="shared" si="129"/>
        <v>0</v>
      </c>
      <c r="W104" s="289">
        <f t="shared" si="130"/>
        <v>0</v>
      </c>
      <c r="X104" s="289">
        <f t="shared" si="131"/>
        <v>0</v>
      </c>
      <c r="Y104" s="290">
        <f t="shared" si="132"/>
        <v>0.15</v>
      </c>
      <c r="Z104" s="274"/>
      <c r="AA104" s="274">
        <v>0</v>
      </c>
      <c r="AB104" s="274"/>
      <c r="AC104" s="274"/>
      <c r="AD104" s="274"/>
      <c r="AE104" s="274"/>
      <c r="AF104" s="274"/>
      <c r="AG104" s="274"/>
      <c r="AH104" s="274"/>
      <c r="AI104" s="274"/>
      <c r="AJ104" s="289">
        <v>0</v>
      </c>
      <c r="AK104" s="274"/>
      <c r="AL104" s="274"/>
      <c r="AM104" s="274"/>
      <c r="AN104" s="274"/>
      <c r="AO104" s="274"/>
      <c r="AP104" s="274"/>
      <c r="AQ104" s="274"/>
      <c r="AR104" s="274"/>
      <c r="AS104" s="279">
        <v>0.15</v>
      </c>
      <c r="AT104" s="279"/>
      <c r="AU104" s="279"/>
      <c r="AV104" s="279"/>
      <c r="AW104" s="279"/>
      <c r="AX104" s="279"/>
      <c r="AY104" s="279"/>
      <c r="AZ104" s="279"/>
      <c r="BA104" s="274"/>
      <c r="BB104" s="279">
        <v>0.15</v>
      </c>
      <c r="BC104" s="279">
        <v>0.15</v>
      </c>
      <c r="BD104" s="274"/>
      <c r="BE104" s="274"/>
      <c r="BF104" s="274"/>
      <c r="BG104" s="274"/>
      <c r="BH104" s="274"/>
      <c r="BI104" s="274"/>
    </row>
    <row r="105" spans="1:61" ht="13.8" x14ac:dyDescent="0.25">
      <c r="A105" s="283"/>
      <c r="B105" s="283" t="s">
        <v>251</v>
      </c>
      <c r="C105" s="283">
        <v>27.5</v>
      </c>
      <c r="D105" s="285">
        <f>C105*$K$20</f>
        <v>30.250000000000004</v>
      </c>
      <c r="E105" s="285" t="s">
        <v>186</v>
      </c>
      <c r="F105" s="286">
        <f>'MATERIAL AND LABOR COST FOR WAL'!$D$75</f>
        <v>350</v>
      </c>
      <c r="G105" s="286">
        <f>'MATERIAL AND LABOR COST FOR WAL'!$F$75</f>
        <v>350</v>
      </c>
      <c r="H105" s="286">
        <f t="shared" si="122"/>
        <v>700</v>
      </c>
      <c r="I105" s="286">
        <f t="shared" si="123"/>
        <v>21175.000000000004</v>
      </c>
      <c r="J105" s="274"/>
      <c r="K105" s="274"/>
      <c r="L105" s="274"/>
      <c r="M105" s="274"/>
      <c r="N105" s="274"/>
      <c r="O105" s="274"/>
      <c r="P105" s="274"/>
      <c r="Q105" s="287">
        <f t="shared" si="124"/>
        <v>4.5375000000000005</v>
      </c>
      <c r="R105" s="288">
        <f t="shared" si="125"/>
        <v>12.100000000000001</v>
      </c>
      <c r="S105" s="288">
        <f t="shared" si="126"/>
        <v>16.637500000000003</v>
      </c>
      <c r="T105" s="289">
        <f t="shared" si="127"/>
        <v>13.612500000000001</v>
      </c>
      <c r="U105" s="289">
        <f t="shared" si="128"/>
        <v>3176.2500000000005</v>
      </c>
      <c r="V105" s="289">
        <f t="shared" si="129"/>
        <v>8470.0000000000018</v>
      </c>
      <c r="W105" s="289">
        <f t="shared" si="130"/>
        <v>11646.250000000002</v>
      </c>
      <c r="X105" s="289">
        <f t="shared" si="131"/>
        <v>9528.7500000000018</v>
      </c>
      <c r="Y105" s="290">
        <f t="shared" si="132"/>
        <v>0.4</v>
      </c>
      <c r="Z105" s="274"/>
      <c r="AA105" s="274">
        <v>4.5375000000000005</v>
      </c>
      <c r="AB105" s="274"/>
      <c r="AC105" s="274"/>
      <c r="AD105" s="274"/>
      <c r="AE105" s="274"/>
      <c r="AF105" s="274"/>
      <c r="AG105" s="274"/>
      <c r="AH105" s="274"/>
      <c r="AI105" s="274"/>
      <c r="AJ105" s="289">
        <v>3176.2500000000005</v>
      </c>
      <c r="AK105" s="274"/>
      <c r="AL105" s="274"/>
      <c r="AM105" s="274"/>
      <c r="AN105" s="274"/>
      <c r="AO105" s="274"/>
      <c r="AP105" s="274"/>
      <c r="AQ105" s="274"/>
      <c r="AR105" s="274"/>
      <c r="AS105" s="279">
        <v>0.4</v>
      </c>
      <c r="AT105" s="279"/>
      <c r="AU105" s="279"/>
      <c r="AV105" s="279"/>
      <c r="AW105" s="279"/>
      <c r="AX105" s="279"/>
      <c r="AY105" s="279"/>
      <c r="AZ105" s="279"/>
      <c r="BA105" s="274"/>
      <c r="BB105" s="279">
        <v>0.15</v>
      </c>
      <c r="BC105" s="279">
        <v>0.25</v>
      </c>
      <c r="BD105" s="274"/>
      <c r="BE105" s="274"/>
      <c r="BF105" s="274"/>
      <c r="BG105" s="274"/>
      <c r="BH105" s="274"/>
      <c r="BI105" s="274"/>
    </row>
    <row r="106" spans="1:61" ht="13.8" x14ac:dyDescent="0.25">
      <c r="A106" s="283"/>
      <c r="B106" s="284" t="s">
        <v>252</v>
      </c>
      <c r="C106" s="283"/>
      <c r="D106" s="285"/>
      <c r="E106" s="285"/>
      <c r="F106" s="286"/>
      <c r="G106" s="286"/>
      <c r="H106" s="286"/>
      <c r="I106" s="286"/>
      <c r="J106" s="274"/>
      <c r="K106" s="274"/>
      <c r="L106" s="274"/>
      <c r="M106" s="274"/>
      <c r="N106" s="274"/>
      <c r="O106" s="274"/>
      <c r="P106" s="274"/>
      <c r="Q106" s="287">
        <f t="shared" si="124"/>
        <v>0</v>
      </c>
      <c r="R106" s="288">
        <f t="shared" si="125"/>
        <v>0</v>
      </c>
      <c r="S106" s="288">
        <f t="shared" si="126"/>
        <v>0</v>
      </c>
      <c r="T106" s="289">
        <f t="shared" si="127"/>
        <v>0</v>
      </c>
      <c r="U106" s="289">
        <f t="shared" si="128"/>
        <v>0</v>
      </c>
      <c r="V106" s="289">
        <f t="shared" si="129"/>
        <v>0</v>
      </c>
      <c r="W106" s="289">
        <f t="shared" si="130"/>
        <v>0</v>
      </c>
      <c r="X106" s="289">
        <f t="shared" si="131"/>
        <v>0</v>
      </c>
      <c r="Y106" s="290">
        <f t="shared" si="132"/>
        <v>0.4</v>
      </c>
      <c r="Z106" s="274"/>
      <c r="AA106" s="274">
        <v>0</v>
      </c>
      <c r="AB106" s="274"/>
      <c r="AC106" s="274"/>
      <c r="AD106" s="274"/>
      <c r="AE106" s="274"/>
      <c r="AF106" s="274"/>
      <c r="AG106" s="274"/>
      <c r="AH106" s="274"/>
      <c r="AI106" s="274"/>
      <c r="AJ106" s="289">
        <v>0</v>
      </c>
      <c r="AK106" s="274"/>
      <c r="AL106" s="274"/>
      <c r="AM106" s="274"/>
      <c r="AN106" s="274"/>
      <c r="AO106" s="274"/>
      <c r="AP106" s="274"/>
      <c r="AQ106" s="274"/>
      <c r="AR106" s="274"/>
      <c r="AS106" s="279">
        <v>0.4</v>
      </c>
      <c r="AT106" s="279"/>
      <c r="AU106" s="279"/>
      <c r="AV106" s="279"/>
      <c r="AW106" s="279"/>
      <c r="AX106" s="279"/>
      <c r="AY106" s="279"/>
      <c r="AZ106" s="279"/>
      <c r="BA106" s="274"/>
      <c r="BB106" s="279">
        <v>0.15</v>
      </c>
      <c r="BC106" s="279">
        <v>0.15</v>
      </c>
      <c r="BD106" s="274"/>
      <c r="BE106" s="274"/>
      <c r="BF106" s="274"/>
      <c r="BG106" s="274"/>
      <c r="BH106" s="274"/>
      <c r="BI106" s="274"/>
    </row>
    <row r="107" spans="1:61" ht="13.8" x14ac:dyDescent="0.25">
      <c r="A107" s="283"/>
      <c r="B107" s="284" t="s">
        <v>250</v>
      </c>
      <c r="C107" s="283">
        <v>30.26</v>
      </c>
      <c r="D107" s="285">
        <f>C107*$K$20</f>
        <v>33.286000000000001</v>
      </c>
      <c r="E107" s="285" t="s">
        <v>186</v>
      </c>
      <c r="F107" s="286">
        <f>'MATERIAL AND LABOR COST FOR WAL'!$D$76</f>
        <v>330</v>
      </c>
      <c r="G107" s="286">
        <f>'MATERIAL AND LABOR COST FOR WAL'!$F$76</f>
        <v>350</v>
      </c>
      <c r="H107" s="286">
        <f>SUM(F107,G107)</f>
        <v>680</v>
      </c>
      <c r="I107" s="286">
        <f>D107*H107</f>
        <v>22634.48</v>
      </c>
      <c r="J107" s="274"/>
      <c r="K107" s="274"/>
      <c r="L107" s="274"/>
      <c r="M107" s="274"/>
      <c r="N107" s="274"/>
      <c r="O107" s="274"/>
      <c r="P107" s="274"/>
      <c r="Q107" s="287">
        <f t="shared" si="124"/>
        <v>4.9928999999999997</v>
      </c>
      <c r="R107" s="288">
        <f t="shared" si="125"/>
        <v>6.6572000000000005</v>
      </c>
      <c r="S107" s="288">
        <f t="shared" si="126"/>
        <v>11.6501</v>
      </c>
      <c r="T107" s="289">
        <f t="shared" si="127"/>
        <v>21.635899999999999</v>
      </c>
      <c r="U107" s="289">
        <f t="shared" si="128"/>
        <v>3395.172</v>
      </c>
      <c r="V107" s="289">
        <f t="shared" si="129"/>
        <v>4526.8959999999997</v>
      </c>
      <c r="W107" s="289">
        <f t="shared" si="130"/>
        <v>7922.0679999999993</v>
      </c>
      <c r="X107" s="289">
        <f t="shared" si="131"/>
        <v>14712.412</v>
      </c>
      <c r="Y107" s="290">
        <f t="shared" si="132"/>
        <v>0.2</v>
      </c>
      <c r="Z107" s="274"/>
      <c r="AA107" s="274">
        <v>4.9928999999999997</v>
      </c>
      <c r="AB107" s="274"/>
      <c r="AC107" s="274"/>
      <c r="AD107" s="274"/>
      <c r="AE107" s="274"/>
      <c r="AF107" s="274"/>
      <c r="AG107" s="274"/>
      <c r="AH107" s="274"/>
      <c r="AI107" s="274"/>
      <c r="AJ107" s="289">
        <v>3395.172</v>
      </c>
      <c r="AK107" s="274"/>
      <c r="AL107" s="274"/>
      <c r="AM107" s="274"/>
      <c r="AN107" s="274"/>
      <c r="AO107" s="274"/>
      <c r="AP107" s="274"/>
      <c r="AQ107" s="274"/>
      <c r="AR107" s="274"/>
      <c r="AS107" s="279">
        <v>0.2</v>
      </c>
      <c r="AT107" s="279"/>
      <c r="AU107" s="279"/>
      <c r="AV107" s="279"/>
      <c r="AW107" s="279"/>
      <c r="AX107" s="279"/>
      <c r="AY107" s="279"/>
      <c r="AZ107" s="279"/>
      <c r="BA107" s="274"/>
      <c r="BB107" s="279">
        <v>0.15</v>
      </c>
      <c r="BC107" s="279">
        <v>0.15</v>
      </c>
      <c r="BD107" s="274"/>
      <c r="BE107" s="274"/>
      <c r="BF107" s="274"/>
      <c r="BG107" s="274"/>
      <c r="BH107" s="274"/>
      <c r="BI107" s="274"/>
    </row>
    <row r="108" spans="1:61" ht="13.8" x14ac:dyDescent="0.25">
      <c r="A108" s="283"/>
      <c r="B108" s="283" t="s">
        <v>129</v>
      </c>
      <c r="C108" s="283"/>
      <c r="D108" s="285">
        <v>1</v>
      </c>
      <c r="E108" s="285" t="s">
        <v>94</v>
      </c>
      <c r="F108" s="286"/>
      <c r="G108" s="286"/>
      <c r="H108" s="286"/>
      <c r="I108" s="286">
        <f>SUM(I94:I105)*$K$22</f>
        <v>14603.930000000002</v>
      </c>
      <c r="J108" s="274"/>
      <c r="K108" s="274"/>
      <c r="L108" s="274"/>
      <c r="M108" s="274"/>
      <c r="N108" s="274"/>
      <c r="O108" s="274"/>
      <c r="P108" s="274"/>
      <c r="Q108" s="287">
        <f t="shared" si="124"/>
        <v>0.15</v>
      </c>
      <c r="R108" s="288">
        <f t="shared" si="125"/>
        <v>0.5</v>
      </c>
      <c r="S108" s="288">
        <f t="shared" si="126"/>
        <v>0.65</v>
      </c>
      <c r="T108" s="289">
        <f t="shared" si="127"/>
        <v>0.35</v>
      </c>
      <c r="U108" s="289">
        <f t="shared" si="128"/>
        <v>2190.5895</v>
      </c>
      <c r="V108" s="289">
        <f t="shared" si="129"/>
        <v>7301.9650000000011</v>
      </c>
      <c r="W108" s="289">
        <f t="shared" si="130"/>
        <v>9492.554500000002</v>
      </c>
      <c r="X108" s="289">
        <f t="shared" si="131"/>
        <v>5111.3755000000001</v>
      </c>
      <c r="Y108" s="290">
        <f t="shared" si="132"/>
        <v>0.5</v>
      </c>
      <c r="Z108" s="274"/>
      <c r="AA108" s="274">
        <v>0.15</v>
      </c>
      <c r="AB108" s="274"/>
      <c r="AC108" s="274"/>
      <c r="AD108" s="274"/>
      <c r="AE108" s="274"/>
      <c r="AF108" s="274"/>
      <c r="AG108" s="274"/>
      <c r="AH108" s="274"/>
      <c r="AI108" s="274"/>
      <c r="AJ108" s="289">
        <v>2190.5895</v>
      </c>
      <c r="AK108" s="274"/>
      <c r="AL108" s="274"/>
      <c r="AM108" s="274"/>
      <c r="AN108" s="274"/>
      <c r="AO108" s="274"/>
      <c r="AP108" s="274"/>
      <c r="AQ108" s="274"/>
      <c r="AR108" s="274"/>
      <c r="AS108" s="279">
        <v>0.5</v>
      </c>
      <c r="AT108" s="279"/>
      <c r="AU108" s="279"/>
      <c r="AV108" s="279"/>
      <c r="AW108" s="279"/>
      <c r="AX108" s="279"/>
      <c r="AY108" s="279"/>
      <c r="AZ108" s="279"/>
      <c r="BA108" s="274"/>
      <c r="BB108" s="279">
        <v>0.15</v>
      </c>
      <c r="BC108" s="279">
        <v>0.25</v>
      </c>
      <c r="BD108" s="274"/>
      <c r="BE108" s="274"/>
      <c r="BF108" s="274"/>
      <c r="BG108" s="274"/>
      <c r="BH108" s="274"/>
      <c r="BI108" s="274"/>
    </row>
    <row r="109" spans="1:61" x14ac:dyDescent="0.25">
      <c r="A109" s="294"/>
      <c r="B109" s="521" t="s">
        <v>253</v>
      </c>
      <c r="C109" s="501"/>
      <c r="D109" s="501"/>
      <c r="E109" s="501"/>
      <c r="F109" s="501"/>
      <c r="G109" s="501"/>
      <c r="H109" s="502"/>
      <c r="I109" s="295">
        <f>SUM(I94:I108)</f>
        <v>183277.71000000002</v>
      </c>
      <c r="J109" s="296"/>
      <c r="K109" s="296"/>
      <c r="L109" s="296"/>
      <c r="M109" s="296"/>
      <c r="N109" s="296"/>
      <c r="O109" s="296"/>
      <c r="P109" s="296"/>
      <c r="Q109" s="297">
        <f t="shared" ref="Q109:X109" si="136">SUM(Q94:Q108)</f>
        <v>31.806899999999999</v>
      </c>
      <c r="R109" s="298">
        <f t="shared" si="136"/>
        <v>83.354200000000006</v>
      </c>
      <c r="S109" s="298">
        <f t="shared" si="136"/>
        <v>115.16109999999999</v>
      </c>
      <c r="T109" s="299">
        <f t="shared" si="136"/>
        <v>111.73490000000001</v>
      </c>
      <c r="U109" s="299">
        <f t="shared" si="136"/>
        <v>25932.406499999997</v>
      </c>
      <c r="V109" s="299">
        <f t="shared" si="136"/>
        <v>69224.881000000008</v>
      </c>
      <c r="W109" s="299">
        <f t="shared" si="136"/>
        <v>95157.287500000006</v>
      </c>
      <c r="X109" s="299">
        <f t="shared" si="136"/>
        <v>88120.422500000015</v>
      </c>
      <c r="Y109" s="300">
        <f>SUM(Y94:Y108)/COUNT(Y94:Y108)</f>
        <v>0.34666666666666673</v>
      </c>
      <c r="Z109" s="296"/>
      <c r="AA109" s="296">
        <v>31.806899999999999</v>
      </c>
      <c r="AB109" s="296"/>
      <c r="AC109" s="296"/>
      <c r="AD109" s="296"/>
      <c r="AE109" s="296"/>
      <c r="AF109" s="296"/>
      <c r="AG109" s="296"/>
      <c r="AH109" s="296"/>
      <c r="AI109" s="296"/>
      <c r="AJ109" s="299">
        <v>25932.406499999997</v>
      </c>
      <c r="AK109" s="296"/>
      <c r="AL109" s="296"/>
      <c r="AM109" s="296"/>
      <c r="AN109" s="296"/>
      <c r="AO109" s="296"/>
      <c r="AP109" s="296"/>
      <c r="AQ109" s="296"/>
      <c r="AR109" s="296"/>
      <c r="AS109" s="301"/>
      <c r="AT109" s="301"/>
      <c r="AU109" s="301"/>
      <c r="AV109" s="301"/>
      <c r="AW109" s="301"/>
      <c r="AX109" s="301"/>
      <c r="AY109" s="301"/>
      <c r="AZ109" s="301"/>
      <c r="BA109" s="296"/>
      <c r="BB109" s="300">
        <f>SUM(BB94:BB108)/COUNT(BB94:BB108)</f>
        <v>0.14666666666666661</v>
      </c>
      <c r="BC109" s="300">
        <f>SUM(BC94:BC108)/COUNT(BC94:BC108)</f>
        <v>0.20666666666666664</v>
      </c>
      <c r="BD109" s="296"/>
      <c r="BE109" s="296"/>
      <c r="BF109" s="296"/>
      <c r="BG109" s="296"/>
      <c r="BH109" s="296"/>
      <c r="BI109" s="296"/>
    </row>
    <row r="110" spans="1:61" ht="13.8" x14ac:dyDescent="0.25">
      <c r="A110" s="283"/>
      <c r="B110" s="283"/>
      <c r="C110" s="283"/>
      <c r="D110" s="285"/>
      <c r="E110" s="285"/>
      <c r="F110" s="286"/>
      <c r="G110" s="286"/>
      <c r="H110" s="286"/>
      <c r="I110" s="286"/>
      <c r="J110" s="274"/>
      <c r="K110" s="274"/>
      <c r="L110" s="274"/>
      <c r="M110" s="274"/>
      <c r="N110" s="274"/>
      <c r="O110" s="274"/>
      <c r="P110" s="274"/>
      <c r="Q110" s="281"/>
      <c r="R110" s="32"/>
      <c r="S110" s="32"/>
      <c r="T110" s="30"/>
      <c r="U110" s="289"/>
      <c r="V110" s="30"/>
      <c r="W110" s="30"/>
      <c r="X110" s="30"/>
      <c r="Y110" s="282"/>
      <c r="Z110" s="274"/>
      <c r="AA110" s="274"/>
      <c r="AB110" s="274"/>
      <c r="AC110" s="274"/>
      <c r="AD110" s="274"/>
      <c r="AE110" s="274"/>
      <c r="AF110" s="274"/>
      <c r="AG110" s="274"/>
      <c r="AH110" s="274"/>
      <c r="AI110" s="274"/>
      <c r="AJ110" s="30"/>
      <c r="AK110" s="274"/>
      <c r="AL110" s="274"/>
      <c r="AM110" s="274"/>
      <c r="AN110" s="274"/>
      <c r="AO110" s="274"/>
      <c r="AP110" s="274"/>
      <c r="AQ110" s="274"/>
      <c r="AR110" s="274"/>
      <c r="AS110" s="279"/>
      <c r="AT110" s="279"/>
      <c r="AU110" s="279"/>
      <c r="AV110" s="279"/>
      <c r="AW110" s="279"/>
      <c r="AX110" s="279"/>
      <c r="AY110" s="279"/>
      <c r="AZ110" s="279"/>
      <c r="BA110" s="274"/>
      <c r="BB110" s="274"/>
      <c r="BC110" s="279"/>
      <c r="BD110" s="274"/>
      <c r="BE110" s="274"/>
      <c r="BF110" s="274"/>
      <c r="BG110" s="274"/>
      <c r="BH110" s="274"/>
      <c r="BI110" s="274"/>
    </row>
    <row r="111" spans="1:61" ht="13.8" x14ac:dyDescent="0.25">
      <c r="A111" s="270"/>
      <c r="B111" s="271" t="s">
        <v>254</v>
      </c>
      <c r="C111" s="270"/>
      <c r="D111" s="272"/>
      <c r="E111" s="272"/>
      <c r="F111" s="273"/>
      <c r="G111" s="273"/>
      <c r="H111" s="273"/>
      <c r="I111" s="273"/>
      <c r="J111" s="274"/>
      <c r="K111" s="274"/>
      <c r="L111" s="274"/>
      <c r="M111" s="274"/>
      <c r="N111" s="274"/>
      <c r="O111" s="274"/>
      <c r="P111" s="274"/>
      <c r="Q111" s="281"/>
      <c r="R111" s="32"/>
      <c r="S111" s="32"/>
      <c r="T111" s="30"/>
      <c r="U111" s="289"/>
      <c r="V111" s="30"/>
      <c r="W111" s="30"/>
      <c r="X111" s="30"/>
      <c r="Y111" s="282"/>
      <c r="Z111" s="274"/>
      <c r="AA111" s="274"/>
      <c r="AB111" s="274"/>
      <c r="AC111" s="274"/>
      <c r="AD111" s="274"/>
      <c r="AE111" s="274"/>
      <c r="AF111" s="274"/>
      <c r="AG111" s="274"/>
      <c r="AH111" s="274"/>
      <c r="AI111" s="274"/>
      <c r="AJ111" s="30"/>
      <c r="AK111" s="274"/>
      <c r="AL111" s="274"/>
      <c r="AM111" s="274"/>
      <c r="AN111" s="274"/>
      <c r="AO111" s="274"/>
      <c r="AP111" s="274"/>
      <c r="AQ111" s="274"/>
      <c r="AR111" s="274"/>
      <c r="AS111" s="279"/>
      <c r="AT111" s="279"/>
      <c r="AU111" s="279"/>
      <c r="AV111" s="279"/>
      <c r="AW111" s="279"/>
      <c r="AX111" s="279"/>
      <c r="AY111" s="279"/>
      <c r="AZ111" s="279"/>
      <c r="BA111" s="274"/>
      <c r="BB111" s="274"/>
      <c r="BC111" s="279"/>
      <c r="BD111" s="274"/>
      <c r="BE111" s="274"/>
      <c r="BF111" s="274"/>
      <c r="BG111" s="274"/>
      <c r="BH111" s="274"/>
      <c r="BI111" s="274"/>
    </row>
    <row r="112" spans="1:61" ht="13.8" x14ac:dyDescent="0.25">
      <c r="A112" s="283"/>
      <c r="B112" s="284" t="s">
        <v>232</v>
      </c>
      <c r="C112" s="283"/>
      <c r="D112" s="285"/>
      <c r="E112" s="285"/>
      <c r="F112" s="286"/>
      <c r="G112" s="286"/>
      <c r="H112" s="286"/>
      <c r="I112" s="286"/>
      <c r="J112" s="274"/>
      <c r="K112" s="274"/>
      <c r="L112" s="274"/>
      <c r="M112" s="274"/>
      <c r="N112" s="274"/>
      <c r="O112" s="274"/>
      <c r="P112" s="274"/>
      <c r="Q112" s="281"/>
      <c r="R112" s="32"/>
      <c r="S112" s="32"/>
      <c r="T112" s="30"/>
      <c r="U112" s="289"/>
      <c r="V112" s="30"/>
      <c r="W112" s="30"/>
      <c r="X112" s="30"/>
      <c r="Y112" s="282"/>
      <c r="Z112" s="274"/>
      <c r="AA112" s="274"/>
      <c r="AB112" s="274"/>
      <c r="AC112" s="274"/>
      <c r="AD112" s="274"/>
      <c r="AE112" s="274"/>
      <c r="AF112" s="274"/>
      <c r="AG112" s="274"/>
      <c r="AH112" s="274"/>
      <c r="AI112" s="274"/>
      <c r="AJ112" s="30"/>
      <c r="AK112" s="274"/>
      <c r="AL112" s="274"/>
      <c r="AM112" s="274"/>
      <c r="AN112" s="274"/>
      <c r="AO112" s="274"/>
      <c r="AP112" s="274"/>
      <c r="AQ112" s="274"/>
      <c r="AR112" s="274"/>
      <c r="AS112" s="279"/>
      <c r="AT112" s="279"/>
      <c r="AU112" s="279"/>
      <c r="AV112" s="279"/>
      <c r="AW112" s="279"/>
      <c r="AX112" s="279"/>
      <c r="AY112" s="279"/>
      <c r="AZ112" s="279"/>
      <c r="BA112" s="274"/>
      <c r="BB112" s="274"/>
      <c r="BC112" s="279"/>
      <c r="BD112" s="274"/>
      <c r="BE112" s="274"/>
      <c r="BF112" s="274"/>
      <c r="BG112" s="274"/>
      <c r="BH112" s="274"/>
      <c r="BI112" s="274"/>
    </row>
    <row r="113" spans="1:61" ht="13.8" x14ac:dyDescent="0.25">
      <c r="A113" s="283"/>
      <c r="B113" s="283" t="s">
        <v>204</v>
      </c>
      <c r="C113" s="283">
        <v>49.9</v>
      </c>
      <c r="D113" s="285">
        <f t="shared" ref="D113:D116" si="137">C113*$K$20</f>
        <v>54.89</v>
      </c>
      <c r="E113" s="285" t="s">
        <v>186</v>
      </c>
      <c r="F113" s="286">
        <f>'MATERIAL AND LABOR COST FOR WAL'!$D$79</f>
        <v>350</v>
      </c>
      <c r="G113" s="286">
        <f>'MATERIAL AND LABOR COST FOR WAL'!$F$79</f>
        <v>350</v>
      </c>
      <c r="H113" s="286">
        <f t="shared" ref="H113:H116" si="138">SUM(F113,G113)</f>
        <v>700</v>
      </c>
      <c r="I113" s="286">
        <f t="shared" ref="I113:I116" si="139">D113*H113</f>
        <v>38423</v>
      </c>
      <c r="J113" s="274"/>
      <c r="K113" s="274"/>
      <c r="L113" s="274"/>
      <c r="M113" s="274"/>
      <c r="N113" s="274"/>
      <c r="O113" s="274"/>
      <c r="P113" s="274"/>
      <c r="Q113" s="287">
        <f t="shared" ref="Q113:Q117" si="140">SUM(AA113:AH113)</f>
        <v>7.1356999999999999</v>
      </c>
      <c r="R113" s="288">
        <f t="shared" ref="R113:R117" si="141">Y113*D113</f>
        <v>16.466999999999999</v>
      </c>
      <c r="S113" s="288">
        <f t="shared" ref="S113:S117" si="142">SUM(Q113:R113)</f>
        <v>23.602699999999999</v>
      </c>
      <c r="T113" s="289">
        <f t="shared" ref="T113:T117" si="143">D113-S113</f>
        <v>31.287300000000002</v>
      </c>
      <c r="U113" s="289">
        <f t="shared" ref="U113:U117" si="144">SUM(AJ113:AQ113)</f>
        <v>4994.99</v>
      </c>
      <c r="V113" s="289">
        <f t="shared" ref="V113:V117" si="145">Y113*I113</f>
        <v>11526.9</v>
      </c>
      <c r="W113" s="289">
        <f t="shared" ref="W113:W117" si="146">SUM(U113:V113)</f>
        <v>16521.89</v>
      </c>
      <c r="X113" s="289">
        <f t="shared" ref="X113:X117" si="147">I113-W113</f>
        <v>21901.11</v>
      </c>
      <c r="Y113" s="290">
        <f t="shared" ref="Y113:Y117" si="148">SUM(AS113:AZ113)</f>
        <v>0.3</v>
      </c>
      <c r="Z113" s="274"/>
      <c r="AA113" s="274">
        <v>7.1356999999999999</v>
      </c>
      <c r="AB113" s="274"/>
      <c r="AC113" s="274"/>
      <c r="AD113" s="274"/>
      <c r="AE113" s="274"/>
      <c r="AF113" s="274"/>
      <c r="AG113" s="274"/>
      <c r="AH113" s="274"/>
      <c r="AI113" s="274"/>
      <c r="AJ113" s="289">
        <v>4994.99</v>
      </c>
      <c r="AK113" s="274"/>
      <c r="AL113" s="274"/>
      <c r="AM113" s="274"/>
      <c r="AN113" s="274"/>
      <c r="AO113" s="274"/>
      <c r="AP113" s="274"/>
      <c r="AQ113" s="274"/>
      <c r="AR113" s="274"/>
      <c r="AS113" s="279">
        <v>0.3</v>
      </c>
      <c r="AT113" s="279"/>
      <c r="AU113" s="279"/>
      <c r="AV113" s="279"/>
      <c r="AW113" s="279"/>
      <c r="AX113" s="279"/>
      <c r="AY113" s="279"/>
      <c r="AZ113" s="279"/>
      <c r="BA113" s="274"/>
      <c r="BB113" s="279">
        <v>0.13</v>
      </c>
      <c r="BC113" s="279">
        <v>0.17</v>
      </c>
      <c r="BD113" s="274"/>
      <c r="BE113" s="274"/>
      <c r="BF113" s="274"/>
      <c r="BG113" s="274"/>
      <c r="BH113" s="274"/>
      <c r="BI113" s="274"/>
    </row>
    <row r="114" spans="1:61" ht="13.8" x14ac:dyDescent="0.25">
      <c r="A114" s="291"/>
      <c r="B114" s="291" t="s">
        <v>205</v>
      </c>
      <c r="C114" s="291">
        <v>43.76</v>
      </c>
      <c r="D114" s="292">
        <f t="shared" si="137"/>
        <v>48.136000000000003</v>
      </c>
      <c r="E114" s="292" t="s">
        <v>186</v>
      </c>
      <c r="F114" s="286">
        <f>'MATERIAL AND LABOR COST FOR WAL'!$D$80</f>
        <v>950.00000000000011</v>
      </c>
      <c r="G114" s="286">
        <f>'MATERIAL AND LABOR COST FOR WAL'!$F$80</f>
        <v>350</v>
      </c>
      <c r="H114" s="286">
        <f t="shared" si="138"/>
        <v>1300</v>
      </c>
      <c r="I114" s="286">
        <f t="shared" si="139"/>
        <v>62576.800000000003</v>
      </c>
      <c r="J114" s="263"/>
      <c r="K114" s="263"/>
      <c r="L114" s="263"/>
      <c r="M114" s="263"/>
      <c r="N114" s="263"/>
      <c r="O114" s="263"/>
      <c r="P114" s="263"/>
      <c r="Q114" s="287">
        <f t="shared" si="140"/>
        <v>6.2576800000000006</v>
      </c>
      <c r="R114" s="288">
        <f t="shared" si="141"/>
        <v>17.810320000000001</v>
      </c>
      <c r="S114" s="288">
        <f t="shared" si="142"/>
        <v>24.068000000000001</v>
      </c>
      <c r="T114" s="289">
        <f t="shared" si="143"/>
        <v>24.068000000000001</v>
      </c>
      <c r="U114" s="289">
        <f t="shared" si="144"/>
        <v>8134.9840000000004</v>
      </c>
      <c r="V114" s="289">
        <f t="shared" si="145"/>
        <v>23153.416000000001</v>
      </c>
      <c r="W114" s="289">
        <f t="shared" si="146"/>
        <v>31288.400000000001</v>
      </c>
      <c r="X114" s="289">
        <f t="shared" si="147"/>
        <v>31288.400000000001</v>
      </c>
      <c r="Y114" s="290">
        <f t="shared" si="148"/>
        <v>0.37</v>
      </c>
      <c r="Z114" s="263"/>
      <c r="AA114" s="263">
        <v>6.2576800000000006</v>
      </c>
      <c r="AB114" s="263"/>
      <c r="AC114" s="263"/>
      <c r="AD114" s="263"/>
      <c r="AE114" s="263"/>
      <c r="AF114" s="263"/>
      <c r="AG114" s="263"/>
      <c r="AH114" s="263"/>
      <c r="AI114" s="263"/>
      <c r="AJ114" s="289">
        <v>8134.9840000000004</v>
      </c>
      <c r="AK114" s="263"/>
      <c r="AL114" s="263"/>
      <c r="AM114" s="263"/>
      <c r="AN114" s="263"/>
      <c r="AO114" s="263"/>
      <c r="AP114" s="263"/>
      <c r="AQ114" s="263"/>
      <c r="AR114" s="263"/>
      <c r="AS114" s="279">
        <v>0.37</v>
      </c>
      <c r="AT114" s="293"/>
      <c r="AU114" s="293"/>
      <c r="AV114" s="293"/>
      <c r="AW114" s="293"/>
      <c r="AX114" s="293"/>
      <c r="AY114" s="293"/>
      <c r="AZ114" s="293"/>
      <c r="BA114" s="263"/>
      <c r="BB114" s="279">
        <v>0.13</v>
      </c>
      <c r="BC114" s="279">
        <v>0.5</v>
      </c>
      <c r="BD114" s="263"/>
      <c r="BE114" s="263"/>
      <c r="BF114" s="263"/>
      <c r="BG114" s="263"/>
      <c r="BH114" s="263"/>
      <c r="BI114" s="263"/>
    </row>
    <row r="115" spans="1:61" ht="13.8" x14ac:dyDescent="0.25">
      <c r="A115" s="291"/>
      <c r="B115" s="291" t="s">
        <v>255</v>
      </c>
      <c r="C115" s="291">
        <v>67.8</v>
      </c>
      <c r="D115" s="292">
        <f t="shared" si="137"/>
        <v>74.58</v>
      </c>
      <c r="E115" s="292" t="s">
        <v>186</v>
      </c>
      <c r="F115" s="286">
        <f>'MATERIAL AND LABOR COST FOR WAL'!$D$81</f>
        <v>350</v>
      </c>
      <c r="G115" s="286">
        <f>'MATERIAL AND LABOR COST FOR WAL'!$F$81</f>
        <v>350</v>
      </c>
      <c r="H115" s="286">
        <f t="shared" si="138"/>
        <v>700</v>
      </c>
      <c r="I115" s="286">
        <f t="shared" si="139"/>
        <v>52206</v>
      </c>
      <c r="J115" s="263"/>
      <c r="K115" s="263"/>
      <c r="L115" s="263"/>
      <c r="M115" s="263"/>
      <c r="N115" s="263"/>
      <c r="O115" s="263"/>
      <c r="P115" s="263"/>
      <c r="Q115" s="287">
        <f t="shared" si="140"/>
        <v>9.6953999999999994</v>
      </c>
      <c r="R115" s="288">
        <f t="shared" si="141"/>
        <v>14.916</v>
      </c>
      <c r="S115" s="288">
        <f t="shared" si="142"/>
        <v>24.6114</v>
      </c>
      <c r="T115" s="289">
        <f t="shared" si="143"/>
        <v>49.968599999999995</v>
      </c>
      <c r="U115" s="289">
        <f t="shared" si="144"/>
        <v>6786.7800000000007</v>
      </c>
      <c r="V115" s="289">
        <f t="shared" si="145"/>
        <v>10441.200000000001</v>
      </c>
      <c r="W115" s="289">
        <f t="shared" si="146"/>
        <v>17227.980000000003</v>
      </c>
      <c r="X115" s="289">
        <f t="shared" si="147"/>
        <v>34978.019999999997</v>
      </c>
      <c r="Y115" s="290">
        <f t="shared" si="148"/>
        <v>0.2</v>
      </c>
      <c r="Z115" s="263"/>
      <c r="AA115" s="263">
        <v>9.6953999999999994</v>
      </c>
      <c r="AB115" s="263"/>
      <c r="AC115" s="263"/>
      <c r="AD115" s="263"/>
      <c r="AE115" s="263"/>
      <c r="AF115" s="263"/>
      <c r="AG115" s="263"/>
      <c r="AH115" s="263"/>
      <c r="AI115" s="263"/>
      <c r="AJ115" s="289">
        <v>6786.7800000000007</v>
      </c>
      <c r="AK115" s="263"/>
      <c r="AL115" s="263"/>
      <c r="AM115" s="263"/>
      <c r="AN115" s="263"/>
      <c r="AO115" s="263"/>
      <c r="AP115" s="263"/>
      <c r="AQ115" s="263"/>
      <c r="AR115" s="263"/>
      <c r="AS115" s="279">
        <v>0.2</v>
      </c>
      <c r="AT115" s="293"/>
      <c r="AU115" s="293"/>
      <c r="AV115" s="293"/>
      <c r="AW115" s="293"/>
      <c r="AX115" s="293"/>
      <c r="AY115" s="293"/>
      <c r="AZ115" s="293"/>
      <c r="BA115" s="263"/>
      <c r="BB115" s="279">
        <v>0.13</v>
      </c>
      <c r="BC115" s="279">
        <v>0.13</v>
      </c>
      <c r="BD115" s="263"/>
      <c r="BE115" s="263"/>
      <c r="BF115" s="263"/>
      <c r="BG115" s="263"/>
      <c r="BH115" s="263"/>
      <c r="BI115" s="263"/>
    </row>
    <row r="116" spans="1:61" ht="13.8" x14ac:dyDescent="0.25">
      <c r="A116" s="291"/>
      <c r="B116" s="291" t="s">
        <v>236</v>
      </c>
      <c r="C116" s="291">
        <v>37.5</v>
      </c>
      <c r="D116" s="292">
        <f t="shared" si="137"/>
        <v>41.25</v>
      </c>
      <c r="E116" s="292" t="s">
        <v>186</v>
      </c>
      <c r="F116" s="286">
        <f>'MATERIAL AND LABOR COST FOR WAL'!$D$88</f>
        <v>6300.0000000000009</v>
      </c>
      <c r="G116" s="286">
        <f>'MATERIAL AND LABOR COST FOR WAL'!$F$88</f>
        <v>1260</v>
      </c>
      <c r="H116" s="286">
        <f t="shared" si="138"/>
        <v>7560.0000000000009</v>
      </c>
      <c r="I116" s="286">
        <f t="shared" si="139"/>
        <v>311850.00000000006</v>
      </c>
      <c r="J116" s="263"/>
      <c r="K116" s="263"/>
      <c r="L116" s="263"/>
      <c r="M116" s="263"/>
      <c r="N116" s="263"/>
      <c r="O116" s="263"/>
      <c r="P116" s="263"/>
      <c r="Q116" s="287">
        <f t="shared" si="140"/>
        <v>5.3624999999999998</v>
      </c>
      <c r="R116" s="288">
        <f t="shared" si="141"/>
        <v>8.25</v>
      </c>
      <c r="S116" s="288">
        <f t="shared" si="142"/>
        <v>13.612500000000001</v>
      </c>
      <c r="T116" s="289">
        <f t="shared" si="143"/>
        <v>27.637499999999999</v>
      </c>
      <c r="U116" s="289">
        <f t="shared" si="144"/>
        <v>40540.500000000007</v>
      </c>
      <c r="V116" s="289">
        <f t="shared" si="145"/>
        <v>62370.000000000015</v>
      </c>
      <c r="W116" s="289">
        <f t="shared" si="146"/>
        <v>102910.50000000003</v>
      </c>
      <c r="X116" s="289">
        <f t="shared" si="147"/>
        <v>208939.50000000003</v>
      </c>
      <c r="Y116" s="290">
        <f t="shared" si="148"/>
        <v>0.2</v>
      </c>
      <c r="Z116" s="263"/>
      <c r="AA116" s="263">
        <v>5.3624999999999998</v>
      </c>
      <c r="AB116" s="263"/>
      <c r="AC116" s="263"/>
      <c r="AD116" s="263"/>
      <c r="AE116" s="263"/>
      <c r="AF116" s="263"/>
      <c r="AG116" s="263"/>
      <c r="AH116" s="263"/>
      <c r="AI116" s="263"/>
      <c r="AJ116" s="289">
        <v>40540.500000000007</v>
      </c>
      <c r="AK116" s="263"/>
      <c r="AL116" s="263"/>
      <c r="AM116" s="263"/>
      <c r="AN116" s="263"/>
      <c r="AO116" s="263"/>
      <c r="AP116" s="263"/>
      <c r="AQ116" s="263"/>
      <c r="AR116" s="263"/>
      <c r="AS116" s="279">
        <v>0.2</v>
      </c>
      <c r="AT116" s="293"/>
      <c r="AU116" s="293"/>
      <c r="AV116" s="293"/>
      <c r="AW116" s="293"/>
      <c r="AX116" s="293"/>
      <c r="AY116" s="293"/>
      <c r="AZ116" s="293"/>
      <c r="BA116" s="263"/>
      <c r="BB116" s="279">
        <v>0.13</v>
      </c>
      <c r="BC116" s="279">
        <v>0.13</v>
      </c>
      <c r="BD116" s="263"/>
      <c r="BE116" s="263"/>
      <c r="BF116" s="263"/>
      <c r="BG116" s="263"/>
      <c r="BH116" s="263"/>
      <c r="BI116" s="263"/>
    </row>
    <row r="117" spans="1:61" ht="13.8" x14ac:dyDescent="0.25">
      <c r="A117" s="291"/>
      <c r="B117" s="291" t="s">
        <v>129</v>
      </c>
      <c r="C117" s="291"/>
      <c r="D117" s="292"/>
      <c r="E117" s="292"/>
      <c r="F117" s="303"/>
      <c r="G117" s="303"/>
      <c r="H117" s="303"/>
      <c r="I117" s="303">
        <f>SUM(I113:I116)*$K$22</f>
        <v>46505.580000000009</v>
      </c>
      <c r="J117" s="263"/>
      <c r="K117" s="263"/>
      <c r="L117" s="263"/>
      <c r="M117" s="263"/>
      <c r="N117" s="263"/>
      <c r="O117" s="263"/>
      <c r="P117" s="263"/>
      <c r="Q117" s="287">
        <f t="shared" si="140"/>
        <v>0</v>
      </c>
      <c r="R117" s="288">
        <f t="shared" si="141"/>
        <v>0</v>
      </c>
      <c r="S117" s="288">
        <f t="shared" si="142"/>
        <v>0</v>
      </c>
      <c r="T117" s="289">
        <f t="shared" si="143"/>
        <v>0</v>
      </c>
      <c r="U117" s="289">
        <f t="shared" si="144"/>
        <v>6045.7254000000012</v>
      </c>
      <c r="V117" s="289">
        <f t="shared" si="145"/>
        <v>18602.232000000004</v>
      </c>
      <c r="W117" s="289">
        <f t="shared" si="146"/>
        <v>24647.957400000007</v>
      </c>
      <c r="X117" s="289">
        <f t="shared" si="147"/>
        <v>21857.622600000002</v>
      </c>
      <c r="Y117" s="290">
        <f t="shared" si="148"/>
        <v>0.4</v>
      </c>
      <c r="Z117" s="263"/>
      <c r="AA117" s="263">
        <v>0</v>
      </c>
      <c r="AB117" s="263"/>
      <c r="AC117" s="263"/>
      <c r="AD117" s="263"/>
      <c r="AE117" s="263"/>
      <c r="AF117" s="263"/>
      <c r="AG117" s="263"/>
      <c r="AH117" s="263"/>
      <c r="AI117" s="263"/>
      <c r="AJ117" s="289">
        <v>6045.7254000000012</v>
      </c>
      <c r="AK117" s="263"/>
      <c r="AL117" s="263"/>
      <c r="AM117" s="263"/>
      <c r="AN117" s="263"/>
      <c r="AO117" s="263"/>
      <c r="AP117" s="263"/>
      <c r="AQ117" s="263"/>
      <c r="AR117" s="263"/>
      <c r="AS117" s="279">
        <v>0.4</v>
      </c>
      <c r="AT117" s="293"/>
      <c r="AU117" s="293"/>
      <c r="AV117" s="293"/>
      <c r="AW117" s="293"/>
      <c r="AX117" s="293"/>
      <c r="AY117" s="293"/>
      <c r="AZ117" s="293"/>
      <c r="BA117" s="263"/>
      <c r="BB117" s="279">
        <v>0.13</v>
      </c>
      <c r="BC117" s="279">
        <v>0.27</v>
      </c>
      <c r="BD117" s="263"/>
      <c r="BE117" s="263"/>
      <c r="BF117" s="263"/>
      <c r="BG117" s="263"/>
      <c r="BH117" s="263"/>
      <c r="BI117" s="263"/>
    </row>
    <row r="118" spans="1:61" x14ac:dyDescent="0.25">
      <c r="A118" s="304"/>
      <c r="B118" s="523" t="s">
        <v>256</v>
      </c>
      <c r="C118" s="501"/>
      <c r="D118" s="501"/>
      <c r="E118" s="501"/>
      <c r="F118" s="501"/>
      <c r="G118" s="501"/>
      <c r="H118" s="502"/>
      <c r="I118" s="305">
        <f>SUM(I113:I117)</f>
        <v>511561.38000000006</v>
      </c>
      <c r="J118" s="306"/>
      <c r="K118" s="306"/>
      <c r="L118" s="306"/>
      <c r="M118" s="306"/>
      <c r="N118" s="306"/>
      <c r="O118" s="306"/>
      <c r="P118" s="306"/>
      <c r="Q118" s="307">
        <f t="shared" ref="Q118:X118" si="149">SUM(Q113:Q117)</f>
        <v>28.451280000000001</v>
      </c>
      <c r="R118" s="184">
        <f t="shared" si="149"/>
        <v>57.44332</v>
      </c>
      <c r="S118" s="184">
        <f t="shared" si="149"/>
        <v>85.894599999999997</v>
      </c>
      <c r="T118" s="235">
        <f t="shared" si="149"/>
        <v>132.9614</v>
      </c>
      <c r="U118" s="235">
        <f t="shared" si="149"/>
        <v>66502.979400000011</v>
      </c>
      <c r="V118" s="235">
        <f t="shared" si="149"/>
        <v>126093.74800000002</v>
      </c>
      <c r="W118" s="235">
        <f t="shared" si="149"/>
        <v>192596.72740000003</v>
      </c>
      <c r="X118" s="235">
        <f t="shared" si="149"/>
        <v>318964.65260000003</v>
      </c>
      <c r="Y118" s="308">
        <f>SUM(Y113:Y117)/COUNT(Y113:Y117)</f>
        <v>0.29399999999999993</v>
      </c>
      <c r="Z118" s="306"/>
      <c r="AA118" s="306">
        <v>28.451280000000001</v>
      </c>
      <c r="AB118" s="306"/>
      <c r="AC118" s="306"/>
      <c r="AD118" s="306"/>
      <c r="AE118" s="306"/>
      <c r="AF118" s="306"/>
      <c r="AG118" s="306"/>
      <c r="AH118" s="306"/>
      <c r="AI118" s="306"/>
      <c r="AJ118" s="235">
        <v>66502.979400000011</v>
      </c>
      <c r="AK118" s="306"/>
      <c r="AL118" s="306"/>
      <c r="AM118" s="306"/>
      <c r="AN118" s="306"/>
      <c r="AO118" s="306"/>
      <c r="AP118" s="306"/>
      <c r="AQ118" s="306"/>
      <c r="AR118" s="306"/>
      <c r="AS118" s="309"/>
      <c r="AT118" s="309"/>
      <c r="AU118" s="309"/>
      <c r="AV118" s="309"/>
      <c r="AW118" s="309"/>
      <c r="AX118" s="309"/>
      <c r="AY118" s="309"/>
      <c r="AZ118" s="309"/>
      <c r="BA118" s="306"/>
      <c r="BB118" s="308">
        <f>SUM(BB113:BB117)/COUNT(BB113:BB117)</f>
        <v>0.13</v>
      </c>
      <c r="BC118" s="308">
        <f>SUM(BC113:BC117)/COUNT(BC113:BC117)</f>
        <v>0.24000000000000005</v>
      </c>
      <c r="BD118" s="306"/>
      <c r="BE118" s="306"/>
      <c r="BF118" s="306"/>
      <c r="BG118" s="306"/>
      <c r="BH118" s="306"/>
      <c r="BI118" s="306"/>
    </row>
    <row r="119" spans="1:61" ht="13.8" x14ac:dyDescent="0.25">
      <c r="A119" s="291"/>
      <c r="B119" s="291"/>
      <c r="C119" s="291"/>
      <c r="D119" s="292"/>
      <c r="E119" s="292"/>
      <c r="F119" s="303"/>
      <c r="G119" s="303"/>
      <c r="H119" s="303"/>
      <c r="I119" s="303"/>
      <c r="J119" s="263"/>
      <c r="K119" s="263"/>
      <c r="L119" s="263"/>
      <c r="M119" s="263"/>
      <c r="N119" s="263"/>
      <c r="O119" s="263"/>
      <c r="P119" s="263"/>
      <c r="Q119" s="310"/>
      <c r="R119" s="311"/>
      <c r="S119" s="311"/>
      <c r="T119" s="167"/>
      <c r="U119" s="289"/>
      <c r="V119" s="167"/>
      <c r="W119" s="167"/>
      <c r="X119" s="167"/>
      <c r="Y119" s="312"/>
      <c r="Z119" s="263"/>
      <c r="AA119" s="263"/>
      <c r="AB119" s="263"/>
      <c r="AC119" s="263"/>
      <c r="AD119" s="263"/>
      <c r="AE119" s="263"/>
      <c r="AF119" s="263"/>
      <c r="AG119" s="263"/>
      <c r="AH119" s="263"/>
      <c r="AI119" s="263"/>
      <c r="AJ119" s="167"/>
      <c r="AK119" s="263"/>
      <c r="AL119" s="263"/>
      <c r="AM119" s="263"/>
      <c r="AN119" s="263"/>
      <c r="AO119" s="263"/>
      <c r="AP119" s="263"/>
      <c r="AQ119" s="263"/>
      <c r="AR119" s="263"/>
      <c r="AS119" s="293"/>
      <c r="AT119" s="293"/>
      <c r="AU119" s="293"/>
      <c r="AV119" s="293"/>
      <c r="AW119" s="293"/>
      <c r="AX119" s="293"/>
      <c r="AY119" s="293"/>
      <c r="AZ119" s="293"/>
      <c r="BA119" s="263"/>
      <c r="BB119" s="263"/>
      <c r="BC119" s="293"/>
      <c r="BD119" s="263"/>
      <c r="BE119" s="263"/>
      <c r="BF119" s="263"/>
      <c r="BG119" s="263"/>
      <c r="BH119" s="263"/>
      <c r="BI119" s="263"/>
    </row>
    <row r="120" spans="1:61" ht="13.8" x14ac:dyDescent="0.25">
      <c r="A120" s="270"/>
      <c r="B120" s="271" t="s">
        <v>257</v>
      </c>
      <c r="C120" s="270"/>
      <c r="D120" s="272"/>
      <c r="E120" s="272"/>
      <c r="F120" s="273"/>
      <c r="G120" s="273"/>
      <c r="H120" s="273"/>
      <c r="I120" s="273"/>
      <c r="J120" s="274"/>
      <c r="K120" s="274"/>
      <c r="L120" s="274"/>
      <c r="M120" s="274"/>
      <c r="N120" s="274"/>
      <c r="O120" s="274"/>
      <c r="P120" s="274"/>
      <c r="Q120" s="281"/>
      <c r="R120" s="32"/>
      <c r="S120" s="32"/>
      <c r="T120" s="30"/>
      <c r="U120" s="289"/>
      <c r="V120" s="30"/>
      <c r="W120" s="30"/>
      <c r="X120" s="30"/>
      <c r="Y120" s="282"/>
      <c r="Z120" s="274"/>
      <c r="AA120" s="274"/>
      <c r="AB120" s="274"/>
      <c r="AC120" s="274"/>
      <c r="AD120" s="274"/>
      <c r="AE120" s="274"/>
      <c r="AF120" s="274"/>
      <c r="AG120" s="274"/>
      <c r="AH120" s="274"/>
      <c r="AI120" s="274"/>
      <c r="AJ120" s="30"/>
      <c r="AK120" s="274"/>
      <c r="AL120" s="274"/>
      <c r="AM120" s="274"/>
      <c r="AN120" s="274"/>
      <c r="AO120" s="274"/>
      <c r="AP120" s="274"/>
      <c r="AQ120" s="274"/>
      <c r="AR120" s="274"/>
      <c r="AS120" s="279"/>
      <c r="AT120" s="279"/>
      <c r="AU120" s="279"/>
      <c r="AV120" s="279"/>
      <c r="AW120" s="279"/>
      <c r="AX120" s="279"/>
      <c r="AY120" s="279"/>
      <c r="AZ120" s="279"/>
      <c r="BA120" s="274"/>
      <c r="BB120" s="274"/>
      <c r="BC120" s="279"/>
      <c r="BD120" s="274"/>
      <c r="BE120" s="274"/>
      <c r="BF120" s="274"/>
      <c r="BG120" s="274"/>
      <c r="BH120" s="274"/>
      <c r="BI120" s="274"/>
    </row>
    <row r="121" spans="1:61" ht="13.8" x14ac:dyDescent="0.25">
      <c r="A121" s="283"/>
      <c r="B121" s="283" t="s">
        <v>258</v>
      </c>
      <c r="C121" s="283">
        <v>24.6</v>
      </c>
      <c r="D121" s="285">
        <f t="shared" ref="D121:D124" si="150">C121*$K$20</f>
        <v>27.060000000000002</v>
      </c>
      <c r="E121" s="285" t="s">
        <v>186</v>
      </c>
      <c r="F121" s="286">
        <f>'MATERIAL AND LABOR COST FOR WAL'!$D$83</f>
        <v>550</v>
      </c>
      <c r="G121" s="286">
        <f>'MATERIAL AND LABOR COST FOR WAL'!$F$83</f>
        <v>350</v>
      </c>
      <c r="H121" s="286">
        <f t="shared" ref="H121:H124" si="151">SUM(F121,G121)</f>
        <v>900</v>
      </c>
      <c r="I121" s="286">
        <f t="shared" ref="I121:I124" si="152">D121*H121</f>
        <v>24354.000000000004</v>
      </c>
      <c r="J121" s="274"/>
      <c r="K121" s="274"/>
      <c r="L121" s="274"/>
      <c r="M121" s="274"/>
      <c r="N121" s="274"/>
      <c r="O121" s="274"/>
      <c r="P121" s="274"/>
      <c r="Q121" s="287">
        <f t="shared" ref="Q121:Q125" si="153">SUM(AA121:AH121)</f>
        <v>4.0590000000000002</v>
      </c>
      <c r="R121" s="288">
        <f t="shared" ref="R121:R125" si="154">Y121*D121</f>
        <v>4.0590000000000002</v>
      </c>
      <c r="S121" s="288">
        <f t="shared" ref="S121:S125" si="155">SUM(Q121:R121)</f>
        <v>8.1180000000000003</v>
      </c>
      <c r="T121" s="289">
        <f t="shared" ref="T121:T125" si="156">D121-S121</f>
        <v>18.942</v>
      </c>
      <c r="U121" s="289">
        <f t="shared" ref="U121:U125" si="157">SUM(AJ121:AQ121)</f>
        <v>3653.1000000000004</v>
      </c>
      <c r="V121" s="289">
        <f t="shared" ref="V121:V125" si="158">Y121*I121</f>
        <v>3653.1000000000004</v>
      </c>
      <c r="W121" s="289">
        <f t="shared" ref="W121:W125" si="159">SUM(U121:V121)</f>
        <v>7306.2000000000007</v>
      </c>
      <c r="X121" s="289">
        <f t="shared" ref="X121:X125" si="160">I121-W121</f>
        <v>17047.800000000003</v>
      </c>
      <c r="Y121" s="290">
        <f t="shared" ref="Y121:Y125" si="161">SUM(AS121:AZ121)</f>
        <v>0.15</v>
      </c>
      <c r="Z121" s="274"/>
      <c r="AA121" s="274">
        <v>4.0590000000000002</v>
      </c>
      <c r="AB121" s="274"/>
      <c r="AC121" s="274"/>
      <c r="AD121" s="274"/>
      <c r="AE121" s="274"/>
      <c r="AF121" s="274"/>
      <c r="AG121" s="274"/>
      <c r="AH121" s="274"/>
      <c r="AI121" s="274"/>
      <c r="AJ121" s="289">
        <v>3653.1000000000004</v>
      </c>
      <c r="AK121" s="274"/>
      <c r="AL121" s="274"/>
      <c r="AM121" s="274"/>
      <c r="AN121" s="274"/>
      <c r="AO121" s="274"/>
      <c r="AP121" s="274"/>
      <c r="AQ121" s="274"/>
      <c r="AR121" s="274"/>
      <c r="AS121" s="279">
        <v>0.15</v>
      </c>
      <c r="AT121" s="279"/>
      <c r="AU121" s="279"/>
      <c r="AV121" s="279"/>
      <c r="AW121" s="279"/>
      <c r="AX121" s="279"/>
      <c r="AY121" s="279"/>
      <c r="AZ121" s="279"/>
      <c r="BA121" s="274"/>
      <c r="BB121" s="279">
        <v>0.15</v>
      </c>
      <c r="BC121" s="279">
        <v>0.15</v>
      </c>
      <c r="BD121" s="274"/>
      <c r="BE121" s="274"/>
      <c r="BF121" s="274"/>
      <c r="BG121" s="274"/>
      <c r="BH121" s="274"/>
      <c r="BI121" s="274"/>
    </row>
    <row r="122" spans="1:61" ht="13.8" x14ac:dyDescent="0.25">
      <c r="A122" s="283"/>
      <c r="B122" s="283" t="s">
        <v>197</v>
      </c>
      <c r="C122" s="283">
        <v>115.8</v>
      </c>
      <c r="D122" s="285">
        <f t="shared" si="150"/>
        <v>127.38000000000001</v>
      </c>
      <c r="E122" s="285" t="s">
        <v>186</v>
      </c>
      <c r="F122" s="286">
        <f>'MATERIAL AND LABOR COST FOR WAL'!$D$84</f>
        <v>350</v>
      </c>
      <c r="G122" s="286">
        <f>'MATERIAL AND LABOR COST FOR WAL'!$F$84</f>
        <v>350</v>
      </c>
      <c r="H122" s="286">
        <f t="shared" si="151"/>
        <v>700</v>
      </c>
      <c r="I122" s="286">
        <f t="shared" si="152"/>
        <v>89166</v>
      </c>
      <c r="J122" s="274"/>
      <c r="K122" s="274"/>
      <c r="L122" s="274"/>
      <c r="M122" s="274"/>
      <c r="N122" s="274"/>
      <c r="O122" s="274"/>
      <c r="P122" s="274"/>
      <c r="Q122" s="287">
        <f t="shared" si="153"/>
        <v>19.106999999999999</v>
      </c>
      <c r="R122" s="288">
        <f t="shared" si="154"/>
        <v>50.952000000000005</v>
      </c>
      <c r="S122" s="288">
        <f t="shared" si="155"/>
        <v>70.058999999999997</v>
      </c>
      <c r="T122" s="289">
        <f t="shared" si="156"/>
        <v>57.321000000000012</v>
      </c>
      <c r="U122" s="289">
        <f t="shared" si="157"/>
        <v>13374.9</v>
      </c>
      <c r="V122" s="289">
        <f t="shared" si="158"/>
        <v>35666.400000000001</v>
      </c>
      <c r="W122" s="289">
        <f t="shared" si="159"/>
        <v>49041.3</v>
      </c>
      <c r="X122" s="289">
        <f t="shared" si="160"/>
        <v>40124.699999999997</v>
      </c>
      <c r="Y122" s="290">
        <f t="shared" si="161"/>
        <v>0.4</v>
      </c>
      <c r="Z122" s="274"/>
      <c r="AA122" s="274">
        <v>19.106999999999999</v>
      </c>
      <c r="AB122" s="274"/>
      <c r="AC122" s="274"/>
      <c r="AD122" s="274"/>
      <c r="AE122" s="274"/>
      <c r="AF122" s="274"/>
      <c r="AG122" s="274"/>
      <c r="AH122" s="274"/>
      <c r="AI122" s="274"/>
      <c r="AJ122" s="289">
        <v>13374.9</v>
      </c>
      <c r="AK122" s="274"/>
      <c r="AL122" s="274"/>
      <c r="AM122" s="274"/>
      <c r="AN122" s="274"/>
      <c r="AO122" s="274"/>
      <c r="AP122" s="274"/>
      <c r="AQ122" s="274"/>
      <c r="AR122" s="274"/>
      <c r="AS122" s="279">
        <v>0.4</v>
      </c>
      <c r="AT122" s="279"/>
      <c r="AU122" s="279"/>
      <c r="AV122" s="279"/>
      <c r="AW122" s="279"/>
      <c r="AX122" s="279"/>
      <c r="AY122" s="279"/>
      <c r="AZ122" s="279"/>
      <c r="BA122" s="274"/>
      <c r="BB122" s="279">
        <v>0.15</v>
      </c>
      <c r="BC122" s="279">
        <v>0.15</v>
      </c>
      <c r="BD122" s="274"/>
      <c r="BE122" s="274"/>
      <c r="BF122" s="274"/>
      <c r="BG122" s="274"/>
      <c r="BH122" s="274"/>
      <c r="BI122" s="274"/>
    </row>
    <row r="123" spans="1:61" ht="13.8" x14ac:dyDescent="0.25">
      <c r="A123" s="283"/>
      <c r="B123" s="283" t="s">
        <v>236</v>
      </c>
      <c r="C123" s="283">
        <v>9.6999999999999993</v>
      </c>
      <c r="D123" s="285">
        <f t="shared" si="150"/>
        <v>10.67</v>
      </c>
      <c r="E123" s="285" t="s">
        <v>186</v>
      </c>
      <c r="F123" s="286">
        <f>'MATERIAL AND LABOR COST FOR WAL'!$D$86</f>
        <v>6300.0000000000009</v>
      </c>
      <c r="G123" s="286">
        <f>'MATERIAL AND LABOR COST FOR WAL'!$F$86</f>
        <v>1260</v>
      </c>
      <c r="H123" s="286">
        <f t="shared" si="151"/>
        <v>7560.0000000000009</v>
      </c>
      <c r="I123" s="286">
        <f t="shared" si="152"/>
        <v>80665.200000000012</v>
      </c>
      <c r="J123" s="274"/>
      <c r="K123" s="274"/>
      <c r="L123" s="274"/>
      <c r="M123" s="274"/>
      <c r="N123" s="274"/>
      <c r="O123" s="274"/>
      <c r="P123" s="274"/>
      <c r="Q123" s="287">
        <f t="shared" si="153"/>
        <v>1.6005</v>
      </c>
      <c r="R123" s="288">
        <f t="shared" si="154"/>
        <v>1.6005</v>
      </c>
      <c r="S123" s="288">
        <f t="shared" si="155"/>
        <v>3.2010000000000001</v>
      </c>
      <c r="T123" s="289">
        <f t="shared" si="156"/>
        <v>7.4689999999999994</v>
      </c>
      <c r="U123" s="289">
        <f t="shared" si="157"/>
        <v>12099.78</v>
      </c>
      <c r="V123" s="289">
        <f t="shared" si="158"/>
        <v>12099.78</v>
      </c>
      <c r="W123" s="289">
        <f t="shared" si="159"/>
        <v>24199.56</v>
      </c>
      <c r="X123" s="289">
        <f t="shared" si="160"/>
        <v>56465.640000000014</v>
      </c>
      <c r="Y123" s="290">
        <f t="shared" si="161"/>
        <v>0.15</v>
      </c>
      <c r="Z123" s="274"/>
      <c r="AA123" s="274">
        <v>1.6005</v>
      </c>
      <c r="AB123" s="274"/>
      <c r="AC123" s="274"/>
      <c r="AD123" s="274"/>
      <c r="AE123" s="274"/>
      <c r="AF123" s="274"/>
      <c r="AG123" s="274"/>
      <c r="AH123" s="274"/>
      <c r="AI123" s="274"/>
      <c r="AJ123" s="289">
        <v>12099.78</v>
      </c>
      <c r="AK123" s="274"/>
      <c r="AL123" s="274"/>
      <c r="AM123" s="274"/>
      <c r="AN123" s="274"/>
      <c r="AO123" s="274"/>
      <c r="AP123" s="274"/>
      <c r="AQ123" s="274"/>
      <c r="AR123" s="274"/>
      <c r="AS123" s="279">
        <v>0.15</v>
      </c>
      <c r="AT123" s="279"/>
      <c r="AU123" s="279"/>
      <c r="AV123" s="279"/>
      <c r="AW123" s="279"/>
      <c r="AX123" s="279"/>
      <c r="AY123" s="279"/>
      <c r="AZ123" s="279"/>
      <c r="BA123" s="274"/>
      <c r="BB123" s="279">
        <v>0.15</v>
      </c>
      <c r="BC123" s="279">
        <v>0.15</v>
      </c>
      <c r="BD123" s="274"/>
      <c r="BE123" s="274"/>
      <c r="BF123" s="274"/>
      <c r="BG123" s="274"/>
      <c r="BH123" s="274"/>
      <c r="BI123" s="274"/>
    </row>
    <row r="124" spans="1:61" ht="13.8" x14ac:dyDescent="0.25">
      <c r="A124" s="283"/>
      <c r="B124" s="283" t="s">
        <v>259</v>
      </c>
      <c r="C124" s="283">
        <v>12</v>
      </c>
      <c r="D124" s="285">
        <f t="shared" si="150"/>
        <v>13.200000000000001</v>
      </c>
      <c r="E124" s="285" t="s">
        <v>186</v>
      </c>
      <c r="F124" s="286">
        <f>'MATERIAL AND LABOR COST FOR WAL'!$D$89</f>
        <v>1375</v>
      </c>
      <c r="G124" s="286">
        <f>'MATERIAL AND LABOR COST FOR WAL'!$F$89</f>
        <v>700</v>
      </c>
      <c r="H124" s="286">
        <f t="shared" si="151"/>
        <v>2075</v>
      </c>
      <c r="I124" s="286">
        <f t="shared" si="152"/>
        <v>27390.000000000004</v>
      </c>
      <c r="J124" s="274"/>
      <c r="K124" s="274"/>
      <c r="L124" s="274"/>
      <c r="M124" s="274"/>
      <c r="N124" s="274"/>
      <c r="O124" s="274"/>
      <c r="P124" s="274"/>
      <c r="Q124" s="287">
        <f t="shared" si="153"/>
        <v>1.98</v>
      </c>
      <c r="R124" s="288">
        <f t="shared" si="154"/>
        <v>1.98</v>
      </c>
      <c r="S124" s="288">
        <f t="shared" si="155"/>
        <v>3.96</v>
      </c>
      <c r="T124" s="289">
        <f t="shared" si="156"/>
        <v>9.240000000000002</v>
      </c>
      <c r="U124" s="289">
        <f t="shared" si="157"/>
        <v>4108.5</v>
      </c>
      <c r="V124" s="289">
        <f t="shared" si="158"/>
        <v>4108.5</v>
      </c>
      <c r="W124" s="289">
        <f t="shared" si="159"/>
        <v>8217</v>
      </c>
      <c r="X124" s="289">
        <f t="shared" si="160"/>
        <v>19173.000000000004</v>
      </c>
      <c r="Y124" s="290">
        <f t="shared" si="161"/>
        <v>0.15</v>
      </c>
      <c r="Z124" s="274"/>
      <c r="AA124" s="274">
        <v>1.98</v>
      </c>
      <c r="AB124" s="274"/>
      <c r="AC124" s="274"/>
      <c r="AD124" s="274"/>
      <c r="AE124" s="274"/>
      <c r="AF124" s="274"/>
      <c r="AG124" s="274"/>
      <c r="AH124" s="274"/>
      <c r="AI124" s="274"/>
      <c r="AJ124" s="289">
        <v>4108.5</v>
      </c>
      <c r="AK124" s="274"/>
      <c r="AL124" s="274"/>
      <c r="AM124" s="274"/>
      <c r="AN124" s="274"/>
      <c r="AO124" s="274"/>
      <c r="AP124" s="274"/>
      <c r="AQ124" s="274"/>
      <c r="AR124" s="274"/>
      <c r="AS124" s="279">
        <v>0.15</v>
      </c>
      <c r="AT124" s="279"/>
      <c r="AU124" s="279"/>
      <c r="AV124" s="279"/>
      <c r="AW124" s="279"/>
      <c r="AX124" s="279"/>
      <c r="AY124" s="279"/>
      <c r="AZ124" s="279"/>
      <c r="BA124" s="274"/>
      <c r="BB124" s="279">
        <v>0.15</v>
      </c>
      <c r="BC124" s="279">
        <v>0.15</v>
      </c>
      <c r="BD124" s="274"/>
      <c r="BE124" s="274"/>
      <c r="BF124" s="274"/>
      <c r="BG124" s="274"/>
      <c r="BH124" s="274"/>
      <c r="BI124" s="274"/>
    </row>
    <row r="125" spans="1:61" ht="13.8" x14ac:dyDescent="0.25">
      <c r="A125" s="283"/>
      <c r="B125" s="283" t="s">
        <v>129</v>
      </c>
      <c r="C125" s="283"/>
      <c r="D125" s="285"/>
      <c r="E125" s="285"/>
      <c r="F125" s="286"/>
      <c r="G125" s="286"/>
      <c r="H125" s="286"/>
      <c r="I125" s="286">
        <f>SUM(I121:I124)*$K$22</f>
        <v>22157.520000000004</v>
      </c>
      <c r="J125" s="274"/>
      <c r="K125" s="274"/>
      <c r="L125" s="274"/>
      <c r="M125" s="274"/>
      <c r="N125" s="274"/>
      <c r="O125" s="274"/>
      <c r="P125" s="274"/>
      <c r="Q125" s="287">
        <f t="shared" si="153"/>
        <v>0</v>
      </c>
      <c r="R125" s="288">
        <f t="shared" si="154"/>
        <v>0</v>
      </c>
      <c r="S125" s="288">
        <f t="shared" si="155"/>
        <v>0</v>
      </c>
      <c r="T125" s="289">
        <f t="shared" si="156"/>
        <v>0</v>
      </c>
      <c r="U125" s="289">
        <f t="shared" si="157"/>
        <v>3323.6280000000006</v>
      </c>
      <c r="V125" s="289">
        <f t="shared" si="158"/>
        <v>8863.0080000000016</v>
      </c>
      <c r="W125" s="289">
        <f t="shared" si="159"/>
        <v>12186.636000000002</v>
      </c>
      <c r="X125" s="289">
        <f t="shared" si="160"/>
        <v>9970.8840000000018</v>
      </c>
      <c r="Y125" s="290">
        <f t="shared" si="161"/>
        <v>0.4</v>
      </c>
      <c r="Z125" s="274"/>
      <c r="AA125" s="274">
        <v>0</v>
      </c>
      <c r="AB125" s="274"/>
      <c r="AC125" s="274"/>
      <c r="AD125" s="274"/>
      <c r="AE125" s="274"/>
      <c r="AF125" s="274"/>
      <c r="AG125" s="274"/>
      <c r="AH125" s="274"/>
      <c r="AI125" s="274"/>
      <c r="AJ125" s="289">
        <v>3323.6280000000006</v>
      </c>
      <c r="AK125" s="274"/>
      <c r="AL125" s="274"/>
      <c r="AM125" s="274"/>
      <c r="AN125" s="274"/>
      <c r="AO125" s="274"/>
      <c r="AP125" s="274"/>
      <c r="AQ125" s="274"/>
      <c r="AR125" s="274"/>
      <c r="AS125" s="279">
        <v>0.4</v>
      </c>
      <c r="AT125" s="279"/>
      <c r="AU125" s="279"/>
      <c r="AV125" s="279"/>
      <c r="AW125" s="279"/>
      <c r="AX125" s="279"/>
      <c r="AY125" s="279"/>
      <c r="AZ125" s="279"/>
      <c r="BA125" s="274"/>
      <c r="BB125" s="279">
        <v>0.15</v>
      </c>
      <c r="BC125" s="279">
        <v>0.15</v>
      </c>
      <c r="BD125" s="274"/>
      <c r="BE125" s="274"/>
      <c r="BF125" s="274"/>
      <c r="BG125" s="274"/>
      <c r="BH125" s="274"/>
      <c r="BI125" s="274"/>
    </row>
    <row r="126" spans="1:61" x14ac:dyDescent="0.25">
      <c r="A126" s="294"/>
      <c r="B126" s="521" t="s">
        <v>260</v>
      </c>
      <c r="C126" s="501"/>
      <c r="D126" s="501"/>
      <c r="E126" s="501"/>
      <c r="F126" s="501"/>
      <c r="G126" s="501"/>
      <c r="H126" s="502"/>
      <c r="I126" s="295">
        <f>SUM(I121:I125)</f>
        <v>243732.72000000003</v>
      </c>
      <c r="J126" s="274"/>
      <c r="K126" s="274"/>
      <c r="L126" s="274"/>
      <c r="M126" s="274"/>
      <c r="N126" s="274"/>
      <c r="O126" s="274"/>
      <c r="P126" s="274"/>
      <c r="Q126" s="313">
        <f t="shared" ref="Q126:X126" si="162">SUM(Q121:Q125)</f>
        <v>26.746500000000001</v>
      </c>
      <c r="R126" s="314">
        <f t="shared" si="162"/>
        <v>58.591499999999996</v>
      </c>
      <c r="S126" s="314">
        <f t="shared" si="162"/>
        <v>85.33799999999998</v>
      </c>
      <c r="T126" s="315">
        <f t="shared" si="162"/>
        <v>92.972000000000008</v>
      </c>
      <c r="U126" s="315">
        <f t="shared" si="162"/>
        <v>36559.907999999996</v>
      </c>
      <c r="V126" s="315">
        <f t="shared" si="162"/>
        <v>64390.788</v>
      </c>
      <c r="W126" s="315">
        <f t="shared" si="162"/>
        <v>100950.696</v>
      </c>
      <c r="X126" s="315">
        <f t="shared" si="162"/>
        <v>142782.024</v>
      </c>
      <c r="Y126" s="316">
        <f>SUM(Y121:Y125)/COUNT(Y121:Y125)</f>
        <v>0.25</v>
      </c>
      <c r="Z126" s="274"/>
      <c r="AA126" s="274">
        <v>26.746500000000001</v>
      </c>
      <c r="AB126" s="274"/>
      <c r="AC126" s="274"/>
      <c r="AD126" s="274"/>
      <c r="AE126" s="274"/>
      <c r="AF126" s="274"/>
      <c r="AG126" s="274"/>
      <c r="AH126" s="274"/>
      <c r="AI126" s="274"/>
      <c r="AJ126" s="315">
        <v>36559.907999999996</v>
      </c>
      <c r="AK126" s="274"/>
      <c r="AL126" s="274"/>
      <c r="AM126" s="274"/>
      <c r="AN126" s="274"/>
      <c r="AO126" s="274"/>
      <c r="AP126" s="274"/>
      <c r="AQ126" s="274"/>
      <c r="AR126" s="274"/>
      <c r="AS126" s="279"/>
      <c r="AT126" s="279"/>
      <c r="AU126" s="279"/>
      <c r="AV126" s="279"/>
      <c r="AW126" s="279"/>
      <c r="AX126" s="279"/>
      <c r="AY126" s="279"/>
      <c r="AZ126" s="279"/>
      <c r="BA126" s="274"/>
      <c r="BB126" s="316">
        <f>SUM(BB121:BB125)/COUNT(BB121:BB125)</f>
        <v>0.15</v>
      </c>
      <c r="BC126" s="316">
        <f>SUM(BC121:BC125)/COUNT(BC121:BC125)</f>
        <v>0.15</v>
      </c>
      <c r="BD126" s="274"/>
      <c r="BE126" s="274"/>
      <c r="BF126" s="274"/>
      <c r="BG126" s="274"/>
      <c r="BH126" s="274"/>
      <c r="BI126" s="274"/>
    </row>
    <row r="127" spans="1:61" ht="14.4" thickBot="1" x14ac:dyDescent="0.3">
      <c r="A127" s="317"/>
      <c r="B127" s="522" t="s">
        <v>261</v>
      </c>
      <c r="C127" s="508"/>
      <c r="D127" s="508"/>
      <c r="E127" s="508"/>
      <c r="F127" s="508"/>
      <c r="G127" s="508"/>
      <c r="H127" s="491"/>
      <c r="I127" s="318">
        <f>SUM(I40,I49,I79,I90,I109,I118,I126)</f>
        <v>2040984.1760000002</v>
      </c>
      <c r="J127" s="274"/>
      <c r="K127" s="274"/>
      <c r="L127" s="274"/>
      <c r="M127" s="274"/>
      <c r="N127" s="274"/>
      <c r="O127" s="274"/>
      <c r="P127" s="274"/>
      <c r="Q127" s="319">
        <f t="shared" ref="Q127:X127" si="163">SUM(Q126,Q118,Q109,Q90,Q79,Q49,Q40)</f>
        <v>181.17028000000002</v>
      </c>
      <c r="R127" s="319">
        <f t="shared" si="163"/>
        <v>546.02367000000004</v>
      </c>
      <c r="S127" s="319">
        <f t="shared" si="163"/>
        <v>727.19395000000009</v>
      </c>
      <c r="T127" s="320">
        <f t="shared" si="163"/>
        <v>730.00405000000012</v>
      </c>
      <c r="U127" s="320">
        <f t="shared" si="163"/>
        <v>257997.33850000001</v>
      </c>
      <c r="V127" s="320">
        <f t="shared" si="163"/>
        <v>655611.89760000003</v>
      </c>
      <c r="W127" s="320">
        <f t="shared" si="163"/>
        <v>913609.2361000001</v>
      </c>
      <c r="X127" s="320">
        <f t="shared" si="163"/>
        <v>1127374.9399000001</v>
      </c>
      <c r="Y127" s="321">
        <f>SUM(Y126,Y118,Y109,Y90,Y79,Y49,Y40)/7</f>
        <v>0.34305442176870754</v>
      </c>
      <c r="Z127" s="274"/>
      <c r="AA127" s="274">
        <v>181.17028000000002</v>
      </c>
      <c r="AB127" s="274"/>
      <c r="AC127" s="274"/>
      <c r="AD127" s="274"/>
      <c r="AE127" s="274"/>
      <c r="AF127" s="274"/>
      <c r="AG127" s="274"/>
      <c r="AH127" s="274"/>
      <c r="AI127" s="274"/>
      <c r="AJ127" s="320">
        <v>257997.33850000001</v>
      </c>
      <c r="AK127" s="274"/>
      <c r="AL127" s="274"/>
      <c r="AM127" s="274"/>
      <c r="AN127" s="274"/>
      <c r="AO127" s="274"/>
      <c r="AP127" s="274"/>
      <c r="AQ127" s="274"/>
      <c r="AR127" s="274"/>
      <c r="AS127" s="279"/>
      <c r="AT127" s="279"/>
      <c r="AU127" s="279"/>
      <c r="AV127" s="279"/>
      <c r="AW127" s="279"/>
      <c r="AX127" s="279"/>
      <c r="AY127" s="279"/>
      <c r="AZ127" s="279"/>
      <c r="BA127" s="274"/>
      <c r="BB127" s="321">
        <f>SUM(BB126,BB118,BB109,BB90,BB79,BB49,BB40)/7</f>
        <v>0.1276190476190476</v>
      </c>
      <c r="BC127" s="321">
        <f>SUM(BC126,BC118,BC109,BC90,BC79,BC49,BC40)/7</f>
        <v>0.1956122448979592</v>
      </c>
      <c r="BD127" s="274"/>
      <c r="BE127" s="274"/>
      <c r="BF127" s="274"/>
      <c r="BG127" s="274"/>
      <c r="BH127" s="274"/>
      <c r="BI127" s="274"/>
    </row>
    <row r="128" spans="1:61" x14ac:dyDescent="0.25">
      <c r="A128" s="322"/>
      <c r="B128" s="322"/>
      <c r="C128" s="322"/>
      <c r="D128" s="323"/>
      <c r="E128" s="323"/>
      <c r="F128" s="324"/>
      <c r="G128" s="324"/>
      <c r="H128" s="324"/>
      <c r="I128" s="324"/>
      <c r="J128" s="274"/>
      <c r="K128" s="274"/>
      <c r="L128" s="274"/>
      <c r="M128" s="274"/>
      <c r="N128" s="274"/>
      <c r="O128" s="274"/>
      <c r="P128" s="274"/>
      <c r="Q128" s="9"/>
      <c r="R128" s="9"/>
      <c r="S128" s="9"/>
      <c r="T128" s="325"/>
      <c r="U128" s="325"/>
      <c r="V128" s="325"/>
      <c r="W128" s="325"/>
      <c r="X128" s="325"/>
      <c r="Y128" s="9"/>
      <c r="Z128" s="274"/>
      <c r="AA128" s="274"/>
      <c r="AB128" s="274"/>
      <c r="AC128" s="274"/>
      <c r="AD128" s="274"/>
      <c r="AE128" s="274"/>
      <c r="AF128" s="274"/>
      <c r="AG128" s="274"/>
      <c r="AH128" s="274"/>
      <c r="AI128" s="274"/>
      <c r="AJ128" s="274"/>
      <c r="AK128" s="274"/>
      <c r="AL128" s="274"/>
      <c r="AM128" s="274"/>
      <c r="AN128" s="274"/>
      <c r="AO128" s="274"/>
      <c r="AP128" s="274"/>
      <c r="AQ128" s="274"/>
      <c r="AR128" s="274"/>
      <c r="AS128" s="279"/>
      <c r="AT128" s="279"/>
      <c r="AU128" s="279"/>
      <c r="AV128" s="279"/>
      <c r="AW128" s="279"/>
      <c r="AX128" s="279"/>
      <c r="AY128" s="279"/>
      <c r="AZ128" s="279"/>
      <c r="BA128" s="274"/>
      <c r="BB128" s="274"/>
      <c r="BC128" s="274"/>
      <c r="BD128" s="274"/>
      <c r="BE128" s="274"/>
      <c r="BF128" s="274"/>
      <c r="BG128" s="274"/>
      <c r="BH128" s="274"/>
      <c r="BI128" s="274"/>
    </row>
    <row r="129" spans="1:61" x14ac:dyDescent="0.25">
      <c r="A129" s="322"/>
      <c r="B129" s="322"/>
      <c r="C129" s="322"/>
      <c r="D129" s="323"/>
      <c r="E129" s="323"/>
      <c r="F129" s="324"/>
      <c r="G129" s="324"/>
      <c r="H129" s="324"/>
      <c r="I129" s="324"/>
      <c r="J129" s="274"/>
      <c r="K129" s="274"/>
      <c r="L129" s="274"/>
      <c r="M129" s="274"/>
      <c r="N129" s="274"/>
      <c r="O129" s="274"/>
      <c r="P129" s="274"/>
      <c r="Q129" s="9"/>
      <c r="R129" s="9"/>
      <c r="S129" s="9"/>
      <c r="T129" s="325"/>
      <c r="U129" s="325"/>
      <c r="V129" s="325"/>
      <c r="W129" s="325"/>
      <c r="X129" s="325"/>
      <c r="Y129" s="9"/>
      <c r="Z129" s="274"/>
      <c r="AA129" s="274"/>
      <c r="AB129" s="274"/>
      <c r="AC129" s="274"/>
      <c r="AD129" s="274"/>
      <c r="AE129" s="274"/>
      <c r="AF129" s="274"/>
      <c r="AG129" s="274"/>
      <c r="AH129" s="274"/>
      <c r="AI129" s="274"/>
      <c r="AJ129" s="274"/>
      <c r="AK129" s="274"/>
      <c r="AL129" s="274"/>
      <c r="AM129" s="274"/>
      <c r="AN129" s="274"/>
      <c r="AO129" s="274"/>
      <c r="AP129" s="274"/>
      <c r="AQ129" s="274"/>
      <c r="AR129" s="274"/>
      <c r="AS129" s="279"/>
      <c r="AT129" s="279"/>
      <c r="AU129" s="279"/>
      <c r="AV129" s="279"/>
      <c r="AW129" s="279"/>
      <c r="AX129" s="279"/>
      <c r="AY129" s="279"/>
      <c r="AZ129" s="279"/>
      <c r="BA129" s="274"/>
      <c r="BB129" s="274"/>
      <c r="BC129" s="274"/>
      <c r="BD129" s="274"/>
      <c r="BE129" s="274"/>
      <c r="BF129" s="274"/>
      <c r="BG129" s="274"/>
      <c r="BH129" s="274"/>
      <c r="BI129" s="274"/>
    </row>
  </sheetData>
  <mergeCells count="17">
    <mergeCell ref="Q18:T18"/>
    <mergeCell ref="U18:X18"/>
    <mergeCell ref="BB17:BI17"/>
    <mergeCell ref="B126:H126"/>
    <mergeCell ref="B127:H127"/>
    <mergeCell ref="B40:H40"/>
    <mergeCell ref="B49:H49"/>
    <mergeCell ref="B79:H79"/>
    <mergeCell ref="B90:H90"/>
    <mergeCell ref="B109:H109"/>
    <mergeCell ref="B118:H118"/>
    <mergeCell ref="B14:H14"/>
    <mergeCell ref="B15:H15"/>
    <mergeCell ref="AA17:AH17"/>
    <mergeCell ref="AJ17:AQ17"/>
    <mergeCell ref="AS17:AZ17"/>
    <mergeCell ref="B16:H16"/>
  </mergeCells>
  <pageMargins left="0.7" right="0.7" top="0.75" bottom="0.75" header="0" footer="0"/>
  <pageSetup paperSize="5" scale="7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FF"/>
    <outlinePr summaryBelow="0" summaryRight="0"/>
    <pageSetUpPr fitToPage="1"/>
  </sheetPr>
  <dimension ref="A1:BU240"/>
  <sheetViews>
    <sheetView view="pageBreakPreview" topLeftCell="I34" zoomScale="70" zoomScaleNormal="100" workbookViewId="0">
      <selection activeCell="BA66" sqref="BA66"/>
    </sheetView>
  </sheetViews>
  <sheetFormatPr defaultColWidth="12.6640625" defaultRowHeight="15" customHeight="1" x14ac:dyDescent="0.25"/>
  <cols>
    <col min="1" max="1" width="18.109375" customWidth="1"/>
    <col min="2" max="2" width="39.44140625" customWidth="1"/>
    <col min="3" max="3" width="11.33203125" hidden="1" customWidth="1"/>
    <col min="4" max="4" width="13.109375" customWidth="1"/>
    <col min="5" max="5" width="7.44140625" hidden="1" customWidth="1"/>
    <col min="6" max="6" width="24.6640625" hidden="1" customWidth="1"/>
    <col min="7" max="7" width="37.44140625" hidden="1" customWidth="1"/>
    <col min="8" max="8" width="21.44140625" hidden="1" customWidth="1"/>
    <col min="9" max="9" width="12.6640625" bestFit="1" customWidth="1"/>
    <col min="10" max="10" width="12.6640625" hidden="1" customWidth="1"/>
    <col min="11" max="11" width="11.6640625" hidden="1" customWidth="1"/>
    <col min="12" max="12" width="13.77734375" hidden="1" customWidth="1"/>
    <col min="13" max="13" width="5.5546875" hidden="1" customWidth="1"/>
    <col min="14" max="14" width="4.5546875" hidden="1" customWidth="1"/>
    <col min="15" max="16" width="12.6640625" hidden="1" customWidth="1"/>
    <col min="17" max="17" width="3.5546875" hidden="1" customWidth="1"/>
    <col min="18" max="18" width="5.5546875" hidden="1" customWidth="1"/>
    <col min="19" max="19" width="12.6640625" hidden="1" customWidth="1"/>
    <col min="20" max="20" width="5" hidden="1" customWidth="1"/>
    <col min="21" max="21" width="11.6640625" hidden="1" customWidth="1"/>
    <col min="22" max="22" width="6" hidden="1" customWidth="1"/>
    <col min="23" max="24" width="12.6640625" hidden="1" customWidth="1"/>
    <col min="25" max="25" width="10.44140625" bestFit="1" customWidth="1"/>
    <col min="26" max="26" width="10.5546875" bestFit="1" customWidth="1"/>
    <col min="27" max="27" width="9" bestFit="1" customWidth="1"/>
    <col min="28" max="28" width="9.77734375" bestFit="1" customWidth="1"/>
    <col min="29" max="29" width="10.44140625" bestFit="1" customWidth="1"/>
    <col min="30" max="30" width="10.5546875" bestFit="1" customWidth="1"/>
    <col min="31" max="31" width="10.88671875" bestFit="1" customWidth="1"/>
    <col min="32" max="32" width="14.33203125" bestFit="1" customWidth="1"/>
    <col min="33" max="33" width="15.44140625" bestFit="1" customWidth="1"/>
    <col min="34" max="34" width="12.6640625" customWidth="1"/>
    <col min="35" max="51" width="12.6640625" hidden="1" customWidth="1"/>
    <col min="52" max="52" width="12.6640625" customWidth="1"/>
    <col min="53" max="53" width="18.109375" customWidth="1"/>
    <col min="54" max="73" width="12.6640625" customWidth="1"/>
  </cols>
  <sheetData>
    <row r="1" spans="1:73" ht="15.75" customHeight="1" x14ac:dyDescent="0.25">
      <c r="A1" s="252"/>
      <c r="B1" s="252"/>
      <c r="C1" s="252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326"/>
      <c r="AH1" s="327"/>
      <c r="AI1" s="327"/>
      <c r="AJ1" s="327"/>
      <c r="AK1" s="327"/>
      <c r="AL1" s="327"/>
      <c r="AM1" s="327"/>
      <c r="AN1" s="327"/>
      <c r="AO1" s="327"/>
      <c r="AP1" s="327"/>
      <c r="AQ1" s="327"/>
      <c r="AR1" s="327"/>
      <c r="AS1" s="327"/>
      <c r="AT1" s="327"/>
      <c r="AU1" s="327"/>
      <c r="AV1" s="327"/>
      <c r="AW1" s="327"/>
      <c r="AX1" s="327"/>
      <c r="AY1" s="327"/>
      <c r="AZ1" s="327"/>
      <c r="BA1" s="327"/>
      <c r="BB1" s="327"/>
      <c r="BC1" s="327"/>
      <c r="BD1" s="327"/>
      <c r="BE1" s="327"/>
      <c r="BF1" s="327"/>
      <c r="BG1" s="327"/>
      <c r="BH1" s="327"/>
      <c r="BI1" s="327"/>
      <c r="BJ1" s="327"/>
      <c r="BK1" s="327"/>
      <c r="BL1" s="327"/>
      <c r="BM1" s="327"/>
      <c r="BN1" s="327"/>
      <c r="BO1" s="327"/>
      <c r="BP1" s="327"/>
      <c r="BQ1" s="327"/>
      <c r="BR1" s="327"/>
      <c r="BS1" s="327"/>
      <c r="BT1" s="327"/>
      <c r="BU1" s="327"/>
    </row>
    <row r="2" spans="1:73" ht="15.75" customHeight="1" x14ac:dyDescent="0.25">
      <c r="A2" s="132"/>
      <c r="B2" s="133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328"/>
      <c r="AH2" s="327"/>
      <c r="AI2" s="327"/>
      <c r="AJ2" s="327"/>
      <c r="AK2" s="327"/>
      <c r="AL2" s="327"/>
      <c r="AM2" s="327"/>
      <c r="AN2" s="327"/>
      <c r="AO2" s="327"/>
      <c r="AP2" s="327"/>
      <c r="AQ2" s="327"/>
      <c r="AR2" s="327"/>
      <c r="AS2" s="327"/>
      <c r="AT2" s="327"/>
      <c r="AU2" s="327"/>
      <c r="AV2" s="327"/>
      <c r="AW2" s="327"/>
      <c r="AX2" s="327"/>
      <c r="AY2" s="327"/>
      <c r="AZ2" s="327"/>
      <c r="BA2" s="327"/>
      <c r="BB2" s="327"/>
      <c r="BC2" s="327"/>
      <c r="BD2" s="327"/>
      <c r="BE2" s="327"/>
      <c r="BF2" s="327"/>
      <c r="BG2" s="327"/>
      <c r="BH2" s="327"/>
      <c r="BI2" s="327"/>
      <c r="BJ2" s="327"/>
      <c r="BK2" s="327"/>
      <c r="BL2" s="327"/>
      <c r="BM2" s="327"/>
      <c r="BN2" s="327"/>
      <c r="BO2" s="327"/>
      <c r="BP2" s="327"/>
      <c r="BQ2" s="327"/>
      <c r="BR2" s="327"/>
      <c r="BS2" s="327"/>
      <c r="BT2" s="327"/>
      <c r="BU2" s="327"/>
    </row>
    <row r="3" spans="1:73" ht="15.75" customHeight="1" x14ac:dyDescent="0.25">
      <c r="A3" s="132"/>
      <c r="B3" s="133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328"/>
      <c r="AH3" s="327"/>
      <c r="AI3" s="327"/>
      <c r="AJ3" s="327"/>
      <c r="AK3" s="327"/>
      <c r="AL3" s="327"/>
      <c r="AM3" s="327"/>
      <c r="AN3" s="327"/>
      <c r="AO3" s="327"/>
      <c r="AP3" s="327"/>
      <c r="AQ3" s="327"/>
      <c r="AR3" s="327"/>
      <c r="AS3" s="327"/>
      <c r="AT3" s="327"/>
      <c r="AU3" s="327"/>
      <c r="AV3" s="327"/>
      <c r="AW3" s="327"/>
      <c r="AX3" s="327"/>
      <c r="AY3" s="327"/>
      <c r="AZ3" s="327"/>
      <c r="BA3" s="327"/>
      <c r="BB3" s="327"/>
      <c r="BC3" s="327"/>
      <c r="BD3" s="327"/>
      <c r="BE3" s="327"/>
      <c r="BF3" s="327"/>
      <c r="BG3" s="327"/>
      <c r="BH3" s="327"/>
      <c r="BI3" s="327"/>
      <c r="BJ3" s="327"/>
      <c r="BK3" s="327"/>
      <c r="BL3" s="327"/>
      <c r="BM3" s="327"/>
      <c r="BN3" s="327"/>
      <c r="BO3" s="327"/>
      <c r="BP3" s="327"/>
      <c r="BQ3" s="327"/>
      <c r="BR3" s="327"/>
      <c r="BS3" s="327"/>
      <c r="BT3" s="327"/>
      <c r="BU3" s="327"/>
    </row>
    <row r="4" spans="1:73" ht="15.75" customHeight="1" x14ac:dyDescent="0.25">
      <c r="A4" s="132"/>
      <c r="B4" s="133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328"/>
      <c r="AH4" s="327"/>
      <c r="AI4" s="327"/>
      <c r="AJ4" s="327"/>
      <c r="AK4" s="327"/>
      <c r="AL4" s="327"/>
      <c r="AM4" s="327"/>
      <c r="AN4" s="327"/>
      <c r="AO4" s="327"/>
      <c r="AP4" s="327"/>
      <c r="AQ4" s="327"/>
      <c r="AR4" s="327"/>
      <c r="AS4" s="327"/>
      <c r="AT4" s="327"/>
      <c r="AU4" s="327"/>
      <c r="AV4" s="327"/>
      <c r="AW4" s="327"/>
      <c r="AX4" s="327"/>
      <c r="AY4" s="327"/>
      <c r="AZ4" s="327"/>
      <c r="BA4" s="327"/>
      <c r="BB4" s="327"/>
      <c r="BC4" s="327"/>
      <c r="BD4" s="327"/>
      <c r="BE4" s="327"/>
      <c r="BF4" s="327"/>
      <c r="BG4" s="327"/>
      <c r="BH4" s="327"/>
      <c r="BI4" s="327"/>
      <c r="BJ4" s="327"/>
      <c r="BK4" s="327"/>
      <c r="BL4" s="327"/>
      <c r="BM4" s="327"/>
      <c r="BN4" s="327"/>
      <c r="BO4" s="327"/>
      <c r="BP4" s="327"/>
      <c r="BQ4" s="327"/>
      <c r="BR4" s="327"/>
      <c r="BS4" s="327"/>
      <c r="BT4" s="327"/>
      <c r="BU4" s="327"/>
    </row>
    <row r="5" spans="1:73" ht="15.75" customHeight="1" x14ac:dyDescent="0.25">
      <c r="A5" s="132"/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328"/>
      <c r="AH5" s="327"/>
      <c r="AI5" s="327"/>
      <c r="AJ5" s="327"/>
      <c r="AK5" s="327"/>
      <c r="AL5" s="327"/>
      <c r="AM5" s="327"/>
      <c r="AN5" s="327"/>
      <c r="AO5" s="327"/>
      <c r="AP5" s="327"/>
      <c r="AQ5" s="327"/>
      <c r="AR5" s="327"/>
      <c r="AS5" s="327"/>
      <c r="AT5" s="327"/>
      <c r="AU5" s="327"/>
      <c r="AV5" s="327"/>
      <c r="AW5" s="327"/>
      <c r="AX5" s="327"/>
      <c r="AY5" s="327"/>
      <c r="AZ5" s="327"/>
      <c r="BA5" s="327"/>
      <c r="BB5" s="327"/>
      <c r="BC5" s="327"/>
      <c r="BD5" s="327"/>
      <c r="BE5" s="327"/>
      <c r="BF5" s="327"/>
      <c r="BG5" s="327"/>
      <c r="BH5" s="327"/>
      <c r="BI5" s="327"/>
      <c r="BJ5" s="327"/>
      <c r="BK5" s="327"/>
      <c r="BL5" s="327"/>
      <c r="BM5" s="327"/>
      <c r="BN5" s="327"/>
      <c r="BO5" s="327"/>
      <c r="BP5" s="327"/>
      <c r="BQ5" s="327"/>
      <c r="BR5" s="327"/>
      <c r="BS5" s="327"/>
      <c r="BT5" s="327"/>
      <c r="BU5" s="327"/>
    </row>
    <row r="6" spans="1:73" ht="15.75" customHeight="1" x14ac:dyDescent="0.25">
      <c r="A6" s="132"/>
      <c r="B6" s="133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328"/>
      <c r="AH6" s="327"/>
      <c r="AI6" s="327"/>
      <c r="AJ6" s="327"/>
      <c r="AK6" s="327"/>
      <c r="AL6" s="327"/>
      <c r="AM6" s="327"/>
      <c r="AN6" s="327"/>
      <c r="AO6" s="327"/>
      <c r="AP6" s="327"/>
      <c r="AQ6" s="327"/>
      <c r="AR6" s="327"/>
      <c r="AS6" s="327"/>
      <c r="AT6" s="327"/>
      <c r="AU6" s="327"/>
      <c r="AV6" s="327"/>
      <c r="AW6" s="327"/>
      <c r="AX6" s="327"/>
      <c r="AY6" s="327"/>
      <c r="AZ6" s="327"/>
      <c r="BA6" s="327"/>
      <c r="BB6" s="327"/>
      <c r="BC6" s="327"/>
      <c r="BD6" s="327"/>
      <c r="BE6" s="327"/>
      <c r="BF6" s="327"/>
      <c r="BG6" s="327"/>
      <c r="BH6" s="327"/>
      <c r="BI6" s="327"/>
      <c r="BJ6" s="327"/>
      <c r="BK6" s="327"/>
      <c r="BL6" s="327"/>
      <c r="BM6" s="327"/>
      <c r="BN6" s="327"/>
      <c r="BO6" s="327"/>
      <c r="BP6" s="327"/>
      <c r="BQ6" s="327"/>
      <c r="BR6" s="327"/>
      <c r="BS6" s="327"/>
      <c r="BT6" s="327"/>
      <c r="BU6" s="327"/>
    </row>
    <row r="7" spans="1:73" ht="15.75" customHeight="1" x14ac:dyDescent="0.25">
      <c r="A7" s="132"/>
      <c r="B7" s="133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328"/>
      <c r="AH7" s="327"/>
      <c r="AI7" s="327"/>
      <c r="AJ7" s="327"/>
      <c r="AK7" s="327"/>
      <c r="AL7" s="327"/>
      <c r="AM7" s="327"/>
      <c r="AN7" s="327"/>
      <c r="AO7" s="327"/>
      <c r="AP7" s="327"/>
      <c r="AQ7" s="327"/>
      <c r="AR7" s="327"/>
      <c r="AS7" s="327"/>
      <c r="AT7" s="327"/>
      <c r="AU7" s="327"/>
      <c r="AV7" s="327"/>
      <c r="AW7" s="327"/>
      <c r="AX7" s="327"/>
      <c r="AY7" s="327"/>
      <c r="AZ7" s="327"/>
      <c r="BA7" s="327"/>
      <c r="BB7" s="327"/>
      <c r="BC7" s="327"/>
      <c r="BD7" s="327"/>
      <c r="BE7" s="327"/>
      <c r="BF7" s="327"/>
      <c r="BG7" s="327"/>
      <c r="BH7" s="327"/>
      <c r="BI7" s="327"/>
      <c r="BJ7" s="327"/>
      <c r="BK7" s="327"/>
      <c r="BL7" s="327"/>
      <c r="BM7" s="327"/>
      <c r="BN7" s="327"/>
      <c r="BO7" s="327"/>
      <c r="BP7" s="327"/>
      <c r="BQ7" s="327"/>
      <c r="BR7" s="327"/>
      <c r="BS7" s="327"/>
      <c r="BT7" s="327"/>
      <c r="BU7" s="327"/>
    </row>
    <row r="8" spans="1:73" ht="15.75" customHeight="1" x14ac:dyDescent="0.25">
      <c r="A8" s="132"/>
      <c r="B8" s="133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328"/>
      <c r="AH8" s="327"/>
      <c r="AI8" s="327"/>
      <c r="AJ8" s="327"/>
      <c r="AK8" s="327"/>
      <c r="AL8" s="327"/>
      <c r="AM8" s="327"/>
      <c r="AN8" s="327"/>
      <c r="AO8" s="327"/>
      <c r="AP8" s="327"/>
      <c r="AQ8" s="327"/>
      <c r="AR8" s="327"/>
      <c r="AS8" s="327"/>
      <c r="AT8" s="327"/>
      <c r="AU8" s="327"/>
      <c r="AV8" s="327"/>
      <c r="AW8" s="327"/>
      <c r="AX8" s="327"/>
      <c r="AY8" s="327"/>
      <c r="AZ8" s="327"/>
      <c r="BA8" s="327"/>
      <c r="BB8" s="327"/>
      <c r="BC8" s="327"/>
      <c r="BD8" s="327"/>
      <c r="BE8" s="327"/>
      <c r="BF8" s="327"/>
      <c r="BG8" s="327"/>
      <c r="BH8" s="327"/>
      <c r="BI8" s="327"/>
      <c r="BJ8" s="327"/>
      <c r="BK8" s="327"/>
      <c r="BL8" s="327"/>
      <c r="BM8" s="327"/>
      <c r="BN8" s="327"/>
      <c r="BO8" s="327"/>
      <c r="BP8" s="327"/>
      <c r="BQ8" s="327"/>
      <c r="BR8" s="327"/>
      <c r="BS8" s="327"/>
      <c r="BT8" s="327"/>
      <c r="BU8" s="327"/>
    </row>
    <row r="9" spans="1:73" ht="15.75" customHeight="1" x14ac:dyDescent="0.25">
      <c r="A9" s="132"/>
      <c r="B9" s="133"/>
      <c r="C9" s="134"/>
      <c r="D9" s="134" t="s">
        <v>74</v>
      </c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328"/>
      <c r="AH9" s="327"/>
      <c r="AI9" s="327"/>
      <c r="AJ9" s="327"/>
      <c r="AK9" s="327"/>
      <c r="AL9" s="327"/>
      <c r="AM9" s="327"/>
      <c r="AN9" s="327"/>
      <c r="AO9" s="327"/>
      <c r="AP9" s="327"/>
      <c r="AQ9" s="327"/>
      <c r="AR9" s="327"/>
      <c r="AS9" s="327"/>
      <c r="AT9" s="327"/>
      <c r="AU9" s="327"/>
      <c r="AV9" s="327"/>
      <c r="AW9" s="327"/>
      <c r="AX9" s="327"/>
      <c r="AY9" s="327"/>
      <c r="AZ9" s="327"/>
      <c r="BA9" s="327"/>
      <c r="BB9" s="327"/>
      <c r="BC9" s="327"/>
      <c r="BD9" s="327"/>
      <c r="BE9" s="327"/>
      <c r="BF9" s="327"/>
      <c r="BG9" s="327"/>
      <c r="BH9" s="327"/>
      <c r="BI9" s="327"/>
      <c r="BJ9" s="327"/>
      <c r="BK9" s="327"/>
      <c r="BL9" s="327"/>
      <c r="BM9" s="327"/>
      <c r="BN9" s="327"/>
      <c r="BO9" s="327"/>
      <c r="BP9" s="327"/>
      <c r="BQ9" s="327"/>
      <c r="BR9" s="327"/>
      <c r="BS9" s="327"/>
      <c r="BT9" s="327"/>
      <c r="BU9" s="327"/>
    </row>
    <row r="10" spans="1:73" ht="15.75" customHeight="1" x14ac:dyDescent="0.25">
      <c r="A10" s="132"/>
      <c r="B10" s="133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328"/>
      <c r="AH10" s="327"/>
      <c r="AI10" s="327"/>
      <c r="AJ10" s="327"/>
      <c r="AK10" s="327"/>
      <c r="AL10" s="327"/>
      <c r="AM10" s="327"/>
      <c r="AN10" s="327"/>
      <c r="AO10" s="327"/>
      <c r="AP10" s="327"/>
      <c r="AQ10" s="327"/>
      <c r="AR10" s="327"/>
      <c r="AS10" s="327"/>
      <c r="AT10" s="327"/>
      <c r="AU10" s="327"/>
      <c r="AV10" s="327"/>
      <c r="AW10" s="327"/>
      <c r="AX10" s="327"/>
      <c r="AY10" s="327"/>
      <c r="AZ10" s="327"/>
      <c r="BA10" s="327"/>
      <c r="BB10" s="327"/>
      <c r="BC10" s="327"/>
      <c r="BD10" s="327"/>
      <c r="BE10" s="327"/>
      <c r="BF10" s="327"/>
      <c r="BG10" s="327"/>
      <c r="BH10" s="327"/>
      <c r="BI10" s="327"/>
      <c r="BJ10" s="327"/>
      <c r="BK10" s="327"/>
      <c r="BL10" s="327"/>
      <c r="BM10" s="327"/>
      <c r="BN10" s="327"/>
      <c r="BO10" s="327"/>
      <c r="BP10" s="327"/>
      <c r="BQ10" s="327"/>
      <c r="BR10" s="327"/>
      <c r="BS10" s="327"/>
      <c r="BT10" s="327"/>
      <c r="BU10" s="327"/>
    </row>
    <row r="11" spans="1:73" ht="15.75" customHeight="1" x14ac:dyDescent="0.25">
      <c r="A11" s="132"/>
      <c r="B11" s="133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328"/>
      <c r="AH11" s="327"/>
      <c r="AI11" s="327"/>
      <c r="AJ11" s="327"/>
      <c r="AK11" s="327"/>
      <c r="AL11" s="327"/>
      <c r="AM11" s="327"/>
      <c r="AN11" s="327"/>
      <c r="AO11" s="327"/>
      <c r="AP11" s="327"/>
      <c r="AQ11" s="327"/>
      <c r="AR11" s="327"/>
      <c r="AS11" s="327"/>
      <c r="AT11" s="327"/>
      <c r="AU11" s="327"/>
      <c r="AV11" s="327"/>
      <c r="AW11" s="327"/>
      <c r="AX11" s="327"/>
      <c r="AY11" s="327"/>
      <c r="AZ11" s="327"/>
      <c r="BA11" s="327"/>
      <c r="BB11" s="327"/>
      <c r="BC11" s="327"/>
      <c r="BD11" s="327"/>
      <c r="BE11" s="327"/>
      <c r="BF11" s="327"/>
      <c r="BG11" s="327"/>
      <c r="BH11" s="327"/>
      <c r="BI11" s="327"/>
      <c r="BJ11" s="327"/>
      <c r="BK11" s="327"/>
      <c r="BL11" s="327"/>
      <c r="BM11" s="327"/>
      <c r="BN11" s="327"/>
      <c r="BO11" s="327"/>
      <c r="BP11" s="327"/>
      <c r="BQ11" s="327"/>
      <c r="BR11" s="327"/>
      <c r="BS11" s="327"/>
      <c r="BT11" s="327"/>
      <c r="BU11" s="327"/>
    </row>
    <row r="12" spans="1:73" ht="15.75" customHeight="1" x14ac:dyDescent="0.25">
      <c r="A12" s="132"/>
      <c r="B12" s="133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328"/>
      <c r="AH12" s="327"/>
      <c r="AI12" s="327"/>
      <c r="AJ12" s="327"/>
      <c r="AK12" s="327"/>
      <c r="AL12" s="327"/>
      <c r="AM12" s="327"/>
      <c r="AN12" s="327"/>
      <c r="AO12" s="327"/>
      <c r="AP12" s="327"/>
      <c r="AQ12" s="327"/>
      <c r="AR12" s="327"/>
      <c r="AS12" s="327"/>
      <c r="AT12" s="327"/>
      <c r="AU12" s="327"/>
      <c r="AV12" s="327"/>
      <c r="AW12" s="327"/>
      <c r="AX12" s="327"/>
      <c r="AY12" s="327"/>
      <c r="AZ12" s="327"/>
      <c r="BA12" s="327"/>
      <c r="BB12" s="327"/>
      <c r="BC12" s="327"/>
      <c r="BD12" s="327"/>
      <c r="BE12" s="327"/>
      <c r="BF12" s="327"/>
      <c r="BG12" s="327"/>
      <c r="BH12" s="327"/>
      <c r="BI12" s="327"/>
      <c r="BJ12" s="327"/>
      <c r="BK12" s="327"/>
      <c r="BL12" s="327"/>
      <c r="BM12" s="327"/>
      <c r="BN12" s="327"/>
      <c r="BO12" s="327"/>
      <c r="BP12" s="327"/>
      <c r="BQ12" s="327"/>
      <c r="BR12" s="327"/>
      <c r="BS12" s="327"/>
      <c r="BT12" s="327"/>
      <c r="BU12" s="327"/>
    </row>
    <row r="13" spans="1:73" ht="15.75" customHeight="1" x14ac:dyDescent="0.25">
      <c r="A13" s="140" t="s">
        <v>0</v>
      </c>
      <c r="B13" s="504" t="s">
        <v>1</v>
      </c>
      <c r="C13" s="484"/>
      <c r="D13" s="484"/>
      <c r="E13" s="484"/>
      <c r="F13" s="484"/>
      <c r="G13" s="484"/>
      <c r="H13" s="485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328"/>
      <c r="AH13" s="327"/>
      <c r="AI13" s="327"/>
      <c r="AJ13" s="327"/>
      <c r="AK13" s="327"/>
      <c r="AL13" s="327"/>
      <c r="AM13" s="327"/>
      <c r="AN13" s="327"/>
      <c r="AO13" s="327"/>
      <c r="AP13" s="327"/>
      <c r="AQ13" s="327"/>
      <c r="AR13" s="327"/>
      <c r="AS13" s="327"/>
      <c r="AT13" s="327"/>
      <c r="AU13" s="327"/>
      <c r="AV13" s="327"/>
      <c r="AW13" s="327"/>
      <c r="AX13" s="327"/>
      <c r="AY13" s="327"/>
      <c r="AZ13" s="327"/>
      <c r="BA13" s="327"/>
      <c r="BB13" s="327"/>
      <c r="BC13" s="327"/>
      <c r="BD13" s="327"/>
      <c r="BE13" s="327"/>
      <c r="BF13" s="327"/>
      <c r="BG13" s="327"/>
      <c r="BH13" s="327"/>
      <c r="BI13" s="327"/>
      <c r="BJ13" s="327"/>
      <c r="BK13" s="327"/>
      <c r="BL13" s="327"/>
      <c r="BM13" s="327"/>
      <c r="BN13" s="327"/>
      <c r="BO13" s="327"/>
      <c r="BP13" s="327"/>
      <c r="BQ13" s="327"/>
      <c r="BR13" s="327"/>
      <c r="BS13" s="327"/>
      <c r="BT13" s="327"/>
      <c r="BU13" s="327"/>
    </row>
    <row r="14" spans="1:73" ht="15.75" customHeight="1" x14ac:dyDescent="0.25">
      <c r="A14" s="140" t="s">
        <v>2</v>
      </c>
      <c r="B14" s="504" t="s">
        <v>3</v>
      </c>
      <c r="C14" s="484"/>
      <c r="D14" s="484"/>
      <c r="E14" s="484"/>
      <c r="F14" s="484"/>
      <c r="G14" s="484"/>
      <c r="H14" s="485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328"/>
      <c r="AH14" s="327"/>
      <c r="AI14" s="327"/>
      <c r="AJ14" s="327"/>
      <c r="AK14" s="327"/>
      <c r="AL14" s="327"/>
      <c r="AM14" s="327"/>
      <c r="AN14" s="327"/>
      <c r="AO14" s="327"/>
      <c r="AP14" s="327"/>
      <c r="AQ14" s="327"/>
      <c r="AR14" s="327"/>
      <c r="AS14" s="327"/>
      <c r="AT14" s="327"/>
      <c r="AU14" s="327"/>
      <c r="AV14" s="327"/>
      <c r="AW14" s="327"/>
      <c r="AX14" s="327"/>
      <c r="AY14" s="327"/>
      <c r="AZ14" s="327"/>
      <c r="BA14" s="327"/>
      <c r="BB14" s="327"/>
      <c r="BC14" s="327"/>
      <c r="BD14" s="327"/>
      <c r="BE14" s="327"/>
      <c r="BF14" s="327"/>
      <c r="BG14" s="327"/>
      <c r="BH14" s="327"/>
      <c r="BI14" s="327"/>
      <c r="BJ14" s="327"/>
      <c r="BK14" s="327"/>
      <c r="BL14" s="327"/>
      <c r="BM14" s="327"/>
      <c r="BN14" s="327"/>
      <c r="BO14" s="327"/>
      <c r="BP14" s="327"/>
      <c r="BQ14" s="327"/>
      <c r="BR14" s="327"/>
      <c r="BS14" s="327"/>
      <c r="BT14" s="327"/>
      <c r="BU14" s="327"/>
    </row>
    <row r="15" spans="1:73" ht="15.75" customHeight="1" x14ac:dyDescent="0.25">
      <c r="A15" s="140" t="s">
        <v>4</v>
      </c>
      <c r="B15" s="497">
        <f ca="1">TODAY()</f>
        <v>46251</v>
      </c>
      <c r="C15" s="484"/>
      <c r="D15" s="484"/>
      <c r="E15" s="484"/>
      <c r="F15" s="484"/>
      <c r="G15" s="484"/>
      <c r="H15" s="485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328"/>
      <c r="AH15" s="327"/>
      <c r="AI15" s="327"/>
      <c r="AJ15" s="327"/>
      <c r="AK15" s="327"/>
      <c r="AL15" s="327"/>
      <c r="AM15" s="327"/>
      <c r="AN15" s="327"/>
      <c r="AO15" s="327"/>
      <c r="AP15" s="327"/>
      <c r="AQ15" s="327"/>
      <c r="AR15" s="327"/>
      <c r="AS15" s="327"/>
      <c r="AT15" s="327"/>
      <c r="AU15" s="327"/>
      <c r="AV15" s="327"/>
      <c r="AW15" s="327"/>
      <c r="AX15" s="327"/>
      <c r="AY15" s="327"/>
      <c r="AZ15" s="327"/>
      <c r="BA15" s="327"/>
      <c r="BB15" s="327"/>
      <c r="BC15" s="327"/>
      <c r="BD15" s="327"/>
      <c r="BE15" s="327"/>
      <c r="BF15" s="327"/>
      <c r="BG15" s="327"/>
      <c r="BH15" s="327"/>
      <c r="BI15" s="327"/>
      <c r="BJ15" s="327"/>
      <c r="BK15" s="327"/>
      <c r="BL15" s="327"/>
      <c r="BM15" s="327"/>
      <c r="BN15" s="327"/>
      <c r="BO15" s="327"/>
      <c r="BP15" s="327"/>
      <c r="BQ15" s="327"/>
      <c r="BR15" s="327"/>
      <c r="BS15" s="327"/>
      <c r="BT15" s="327"/>
      <c r="BU15" s="327"/>
    </row>
    <row r="16" spans="1:73" ht="12" customHeight="1" x14ac:dyDescent="0.25">
      <c r="A16" s="252"/>
      <c r="B16" s="252"/>
      <c r="C16" s="252"/>
      <c r="D16" s="252"/>
      <c r="E16" s="252"/>
      <c r="F16" s="252"/>
      <c r="G16" s="252"/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  <c r="AA16" s="252"/>
      <c r="AB16" s="252"/>
      <c r="AC16" s="252"/>
      <c r="AD16" s="252"/>
      <c r="AE16" s="252"/>
      <c r="AF16" s="252"/>
      <c r="AG16" s="329"/>
      <c r="AH16" s="330"/>
      <c r="AI16" s="505" t="s">
        <v>75</v>
      </c>
      <c r="AJ16" s="499"/>
      <c r="AK16" s="499"/>
      <c r="AL16" s="499"/>
      <c r="AM16" s="499"/>
      <c r="AN16" s="499"/>
      <c r="AO16" s="499"/>
      <c r="AP16" s="499"/>
      <c r="AQ16" s="137"/>
      <c r="AR16" s="506" t="s">
        <v>13</v>
      </c>
      <c r="AS16" s="499"/>
      <c r="AT16" s="499"/>
      <c r="AU16" s="499"/>
      <c r="AV16" s="499"/>
      <c r="AW16" s="499"/>
      <c r="AX16" s="499"/>
      <c r="AY16" s="499"/>
      <c r="AZ16" s="141"/>
      <c r="BA16" s="331" t="s">
        <v>76</v>
      </c>
      <c r="BB16" s="327"/>
      <c r="BC16" s="525" t="s">
        <v>77</v>
      </c>
      <c r="BD16" s="499"/>
      <c r="BE16" s="499"/>
      <c r="BF16" s="499"/>
      <c r="BG16" s="499"/>
      <c r="BH16" s="499"/>
      <c r="BI16" s="499"/>
      <c r="BJ16" s="499"/>
      <c r="BK16" s="327"/>
      <c r="BL16" s="327"/>
      <c r="BM16" s="327"/>
      <c r="BN16" s="327"/>
      <c r="BO16" s="327"/>
      <c r="BP16" s="327"/>
      <c r="BQ16" s="327"/>
      <c r="BR16" s="327"/>
      <c r="BS16" s="327"/>
      <c r="BT16" s="327"/>
      <c r="BU16" s="327"/>
    </row>
    <row r="17" spans="1:73" ht="12.75" customHeight="1" x14ac:dyDescent="0.25">
      <c r="A17" s="143" t="s">
        <v>8</v>
      </c>
      <c r="B17" s="143" t="s">
        <v>78</v>
      </c>
      <c r="C17" s="332" t="s">
        <v>75</v>
      </c>
      <c r="D17" s="145" t="s">
        <v>75</v>
      </c>
      <c r="E17" s="145" t="s">
        <v>79</v>
      </c>
      <c r="F17" s="145" t="s">
        <v>80</v>
      </c>
      <c r="G17" s="145" t="s">
        <v>81</v>
      </c>
      <c r="H17" s="145" t="s">
        <v>82</v>
      </c>
      <c r="I17" s="145" t="s">
        <v>10</v>
      </c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524" t="s">
        <v>75</v>
      </c>
      <c r="Z17" s="492"/>
      <c r="AA17" s="492"/>
      <c r="AB17" s="512"/>
      <c r="AC17" s="513" t="s">
        <v>13</v>
      </c>
      <c r="AD17" s="492"/>
      <c r="AE17" s="492"/>
      <c r="AF17" s="512"/>
      <c r="AG17" s="147" t="s">
        <v>83</v>
      </c>
      <c r="AH17" s="263"/>
      <c r="AI17" s="148" t="s">
        <v>84</v>
      </c>
      <c r="AJ17" s="148" t="s">
        <v>85</v>
      </c>
      <c r="AK17" s="148" t="s">
        <v>86</v>
      </c>
      <c r="AL17" s="148" t="s">
        <v>87</v>
      </c>
      <c r="AM17" s="148" t="s">
        <v>88</v>
      </c>
      <c r="AN17" s="148" t="s">
        <v>89</v>
      </c>
      <c r="AO17" s="148" t="s">
        <v>90</v>
      </c>
      <c r="AP17" s="148" t="s">
        <v>91</v>
      </c>
      <c r="AQ17" s="149"/>
      <c r="AR17" s="150" t="s">
        <v>84</v>
      </c>
      <c r="AS17" s="150" t="s">
        <v>85</v>
      </c>
      <c r="AT17" s="150" t="s">
        <v>86</v>
      </c>
      <c r="AU17" s="150" t="s">
        <v>87</v>
      </c>
      <c r="AV17" s="150" t="s">
        <v>88</v>
      </c>
      <c r="AW17" s="150" t="s">
        <v>89</v>
      </c>
      <c r="AX17" s="150" t="s">
        <v>90</v>
      </c>
      <c r="AY17" s="150" t="s">
        <v>91</v>
      </c>
      <c r="AZ17" s="149"/>
      <c r="BA17" s="333" t="s">
        <v>262</v>
      </c>
      <c r="BB17" s="137"/>
      <c r="BC17" s="334" t="s">
        <v>84</v>
      </c>
      <c r="BD17" s="334" t="s">
        <v>85</v>
      </c>
      <c r="BE17" s="334" t="s">
        <v>86</v>
      </c>
      <c r="BF17" s="334" t="s">
        <v>87</v>
      </c>
      <c r="BG17" s="334" t="s">
        <v>88</v>
      </c>
      <c r="BH17" s="334" t="s">
        <v>89</v>
      </c>
      <c r="BI17" s="334" t="s">
        <v>90</v>
      </c>
      <c r="BJ17" s="334" t="s">
        <v>91</v>
      </c>
      <c r="BK17" s="137"/>
      <c r="BL17" s="137"/>
      <c r="BM17" s="137"/>
      <c r="BN17" s="137"/>
      <c r="BO17" s="137"/>
      <c r="BP17" s="137"/>
      <c r="BQ17" s="137"/>
      <c r="BR17" s="137"/>
      <c r="BS17" s="137"/>
      <c r="BT17" s="137"/>
      <c r="BU17" s="137"/>
    </row>
    <row r="18" spans="1:73" ht="12.75" customHeight="1" x14ac:dyDescent="0.25">
      <c r="A18" s="186"/>
      <c r="B18" s="526" t="s">
        <v>263</v>
      </c>
      <c r="C18" s="501"/>
      <c r="D18" s="501"/>
      <c r="E18" s="501"/>
      <c r="F18" s="501"/>
      <c r="G18" s="501"/>
      <c r="H18" s="501"/>
      <c r="I18" s="502"/>
      <c r="J18" s="189"/>
      <c r="K18" s="190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91"/>
      <c r="Y18" s="335" t="s">
        <v>20</v>
      </c>
      <c r="Z18" s="336" t="s">
        <v>19</v>
      </c>
      <c r="AA18" s="336" t="s">
        <v>21</v>
      </c>
      <c r="AB18" s="158" t="s">
        <v>50</v>
      </c>
      <c r="AC18" s="158" t="s">
        <v>20</v>
      </c>
      <c r="AD18" s="158" t="s">
        <v>19</v>
      </c>
      <c r="AE18" s="158" t="s">
        <v>21</v>
      </c>
      <c r="AF18" s="158" t="s">
        <v>50</v>
      </c>
      <c r="AG18" s="159" t="s">
        <v>92</v>
      </c>
      <c r="AH18" s="274"/>
      <c r="AI18" s="274"/>
      <c r="AJ18" s="274"/>
      <c r="AK18" s="274"/>
      <c r="AL18" s="274"/>
      <c r="AM18" s="274"/>
      <c r="AN18" s="274"/>
      <c r="AO18" s="274"/>
      <c r="AP18" s="274"/>
      <c r="AQ18" s="274"/>
      <c r="AR18" s="274"/>
      <c r="AS18" s="274"/>
      <c r="AT18" s="274"/>
      <c r="AU18" s="274"/>
      <c r="AV18" s="274"/>
      <c r="AW18" s="274"/>
      <c r="AX18" s="274"/>
      <c r="AY18" s="274"/>
      <c r="AZ18" s="274"/>
      <c r="BA18" s="274"/>
      <c r="BB18" s="189"/>
      <c r="BC18" s="189"/>
      <c r="BD18" s="189"/>
      <c r="BE18" s="189"/>
      <c r="BF18" s="189"/>
      <c r="BG18" s="189"/>
      <c r="BH18" s="189"/>
      <c r="BI18" s="189"/>
      <c r="BJ18" s="189"/>
      <c r="BK18" s="189"/>
      <c r="BL18" s="189"/>
      <c r="BM18" s="189"/>
      <c r="BN18" s="189"/>
      <c r="BO18" s="189"/>
      <c r="BP18" s="189"/>
      <c r="BQ18" s="189"/>
      <c r="BR18" s="189"/>
      <c r="BS18" s="189"/>
      <c r="BT18" s="189"/>
      <c r="BU18" s="189"/>
    </row>
    <row r="19" spans="1:73" ht="12.75" customHeight="1" x14ac:dyDescent="0.25">
      <c r="A19" s="186"/>
      <c r="B19" s="527" t="s">
        <v>264</v>
      </c>
      <c r="C19" s="501"/>
      <c r="D19" s="501"/>
      <c r="E19" s="501"/>
      <c r="F19" s="501"/>
      <c r="G19" s="501"/>
      <c r="H19" s="501"/>
      <c r="I19" s="502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91"/>
      <c r="Y19" s="337"/>
      <c r="Z19" s="338"/>
      <c r="AA19" s="338"/>
      <c r="AB19" s="194"/>
      <c r="AC19" s="194"/>
      <c r="AD19" s="194"/>
      <c r="AE19" s="194"/>
      <c r="AF19" s="194"/>
      <c r="AG19" s="195"/>
      <c r="AH19" s="196"/>
      <c r="AI19" s="338"/>
      <c r="AJ19" s="189"/>
      <c r="AK19" s="189"/>
      <c r="AL19" s="189"/>
      <c r="AM19" s="189"/>
      <c r="AN19" s="189"/>
      <c r="AO19" s="189"/>
      <c r="AP19" s="189"/>
      <c r="AQ19" s="189"/>
      <c r="AR19" s="189"/>
      <c r="AS19" s="189"/>
      <c r="AT19" s="189"/>
      <c r="AU19" s="189"/>
      <c r="AV19" s="189"/>
      <c r="AW19" s="189"/>
      <c r="AX19" s="189"/>
      <c r="AY19" s="189"/>
      <c r="AZ19" s="189"/>
      <c r="BA19" s="189"/>
      <c r="BB19" s="189"/>
      <c r="BC19" s="189"/>
      <c r="BD19" s="189"/>
      <c r="BE19" s="189"/>
      <c r="BF19" s="189"/>
      <c r="BG19" s="189"/>
      <c r="BH19" s="189"/>
      <c r="BI19" s="189"/>
      <c r="BJ19" s="189"/>
      <c r="BK19" s="189"/>
      <c r="BL19" s="189"/>
      <c r="BM19" s="189"/>
      <c r="BN19" s="189"/>
      <c r="BO19" s="189"/>
      <c r="BP19" s="189"/>
      <c r="BQ19" s="189"/>
      <c r="BR19" s="189"/>
      <c r="BS19" s="189"/>
      <c r="BT19" s="189"/>
      <c r="BU19" s="189"/>
    </row>
    <row r="20" spans="1:73" ht="12.75" customHeight="1" x14ac:dyDescent="0.25">
      <c r="A20" s="200"/>
      <c r="B20" s="339" t="s">
        <v>265</v>
      </c>
      <c r="C20" s="340"/>
      <c r="D20" s="203"/>
      <c r="E20" s="203"/>
      <c r="F20" s="203"/>
      <c r="G20" s="203"/>
      <c r="H20" s="203"/>
      <c r="I20" s="203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310"/>
      <c r="Z20" s="311"/>
      <c r="AA20" s="311"/>
      <c r="AB20" s="167"/>
      <c r="AC20" s="167"/>
      <c r="AD20" s="167"/>
      <c r="AE20" s="167"/>
      <c r="AF20" s="167"/>
      <c r="AG20" s="168"/>
      <c r="AH20" s="137"/>
      <c r="AI20" s="311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  <c r="BM20" s="137"/>
      <c r="BN20" s="137"/>
      <c r="BO20" s="137"/>
      <c r="BP20" s="137"/>
      <c r="BQ20" s="137"/>
      <c r="BR20" s="137"/>
      <c r="BS20" s="137"/>
      <c r="BT20" s="137"/>
      <c r="BU20" s="137"/>
    </row>
    <row r="21" spans="1:73" ht="12.75" customHeight="1" x14ac:dyDescent="0.25">
      <c r="A21" s="200"/>
      <c r="B21" s="200" t="s">
        <v>266</v>
      </c>
      <c r="C21" s="340">
        <v>6.7</v>
      </c>
      <c r="D21" s="203">
        <f t="shared" ref="D21:D26" si="0">C21*$L$23</f>
        <v>7.370000000000001</v>
      </c>
      <c r="E21" s="203" t="s">
        <v>6</v>
      </c>
      <c r="F21" s="203">
        <f>'Material and Labor Cost'!$D$20</f>
        <v>555</v>
      </c>
      <c r="G21" s="203">
        <f>'Material and Labor Cost'!$F$20</f>
        <v>300</v>
      </c>
      <c r="H21" s="203">
        <f t="shared" ref="H21:H26" si="1">SUM(F21:G21)</f>
        <v>855</v>
      </c>
      <c r="I21" s="203">
        <f t="shared" ref="I21:I26" si="2">H21*D21</f>
        <v>6301.3500000000013</v>
      </c>
      <c r="J21" s="137"/>
      <c r="K21" s="137"/>
      <c r="L21" s="146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310">
        <f t="shared" ref="Y21:Y27" si="3">SUM(AI21:AP21)</f>
        <v>0</v>
      </c>
      <c r="Z21" s="311">
        <f t="shared" ref="Z21:Z27" si="4">D21*AG21</f>
        <v>2.2110000000000003</v>
      </c>
      <c r="AA21" s="311">
        <f t="shared" ref="AA21:AA27" si="5">SUM(Y21:Z21)</f>
        <v>2.2110000000000003</v>
      </c>
      <c r="AB21" s="167">
        <f t="shared" ref="AB21:AB27" si="6">D21-AA21</f>
        <v>5.1590000000000007</v>
      </c>
      <c r="AC21" s="167">
        <f t="shared" ref="AC21:AC27" si="7">SUM(AR20:AY20)</f>
        <v>0</v>
      </c>
      <c r="AD21" s="167">
        <f t="shared" ref="AD21:AD27" si="8">AG21*I21</f>
        <v>1890.4050000000002</v>
      </c>
      <c r="AE21" s="167">
        <f t="shared" ref="AE21:AE27" si="9">SUM(AC21:AD21)</f>
        <v>1890.4050000000002</v>
      </c>
      <c r="AF21" s="167">
        <f t="shared" ref="AF21:AF27" si="10">I21-AE21</f>
        <v>4410.9450000000015</v>
      </c>
      <c r="AG21" s="168">
        <f>BA21</f>
        <v>0.3</v>
      </c>
      <c r="AH21" s="137"/>
      <c r="AI21" s="311">
        <v>0</v>
      </c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68">
        <v>0.3</v>
      </c>
      <c r="BB21" s="137"/>
      <c r="BC21" s="168">
        <f t="shared" ref="BC21:BJ21" si="11">SUM(BS20:BZ20)</f>
        <v>0</v>
      </c>
      <c r="BD21" s="168">
        <f t="shared" ref="BD21:BD27" si="12">SUM(BN20:BT20)</f>
        <v>0</v>
      </c>
      <c r="BE21" s="168">
        <f t="shared" si="11"/>
        <v>0</v>
      </c>
      <c r="BF21" s="168">
        <f t="shared" si="11"/>
        <v>0</v>
      </c>
      <c r="BG21" s="168">
        <f t="shared" si="11"/>
        <v>0</v>
      </c>
      <c r="BH21" s="168">
        <f t="shared" si="11"/>
        <v>0</v>
      </c>
      <c r="BI21" s="168">
        <f t="shared" si="11"/>
        <v>0</v>
      </c>
      <c r="BJ21" s="168">
        <f t="shared" si="11"/>
        <v>0</v>
      </c>
      <c r="BK21" s="137"/>
      <c r="BL21" s="137"/>
      <c r="BM21" s="137"/>
      <c r="BN21" s="137"/>
      <c r="BO21" s="137"/>
      <c r="BP21" s="137"/>
      <c r="BQ21" s="137"/>
      <c r="BR21" s="137"/>
      <c r="BS21" s="137"/>
      <c r="BT21" s="137"/>
      <c r="BU21" s="137"/>
    </row>
    <row r="22" spans="1:73" ht="12.75" customHeight="1" x14ac:dyDescent="0.25">
      <c r="A22" s="200"/>
      <c r="B22" s="200" t="s">
        <v>267</v>
      </c>
      <c r="C22" s="340">
        <v>45.739999999999995</v>
      </c>
      <c r="D22" s="203">
        <f t="shared" si="0"/>
        <v>50.314</v>
      </c>
      <c r="E22" s="203" t="s">
        <v>6</v>
      </c>
      <c r="F22" s="203">
        <f>'Material and Labor Cost'!$D$21</f>
        <v>576</v>
      </c>
      <c r="G22" s="203">
        <f>'Material and Labor Cost'!$F$21</f>
        <v>300</v>
      </c>
      <c r="H22" s="203">
        <f t="shared" si="1"/>
        <v>876</v>
      </c>
      <c r="I22" s="203">
        <f t="shared" si="2"/>
        <v>44075.063999999998</v>
      </c>
      <c r="J22" s="137"/>
      <c r="K22" s="137"/>
      <c r="L22" s="141" t="s">
        <v>116</v>
      </c>
      <c r="M22" s="327"/>
      <c r="N22" s="141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310">
        <f t="shared" si="3"/>
        <v>0</v>
      </c>
      <c r="Z22" s="311">
        <f t="shared" si="4"/>
        <v>15.094199999999999</v>
      </c>
      <c r="AA22" s="311">
        <f t="shared" si="5"/>
        <v>15.094199999999999</v>
      </c>
      <c r="AB22" s="167">
        <f t="shared" si="6"/>
        <v>35.219799999999999</v>
      </c>
      <c r="AC22" s="167">
        <f t="shared" si="7"/>
        <v>0</v>
      </c>
      <c r="AD22" s="167">
        <f t="shared" si="8"/>
        <v>13222.519199999999</v>
      </c>
      <c r="AE22" s="167">
        <f t="shared" si="9"/>
        <v>13222.519199999999</v>
      </c>
      <c r="AF22" s="167">
        <f t="shared" si="10"/>
        <v>30852.5448</v>
      </c>
      <c r="AG22" s="168">
        <f t="shared" ref="AG22:AG85" si="13">BA22</f>
        <v>0.3</v>
      </c>
      <c r="AH22" s="137"/>
      <c r="AI22" s="311">
        <v>0</v>
      </c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68">
        <v>0.3</v>
      </c>
      <c r="BB22" s="137"/>
      <c r="BC22" s="168">
        <f t="shared" ref="BC22:BJ22" si="14">SUM(BS21:BZ21)</f>
        <v>0</v>
      </c>
      <c r="BD22" s="168">
        <f t="shared" si="12"/>
        <v>0</v>
      </c>
      <c r="BE22" s="168">
        <f t="shared" si="14"/>
        <v>0</v>
      </c>
      <c r="BF22" s="168">
        <f t="shared" si="14"/>
        <v>0</v>
      </c>
      <c r="BG22" s="168">
        <f t="shared" si="14"/>
        <v>0</v>
      </c>
      <c r="BH22" s="168">
        <f t="shared" si="14"/>
        <v>0</v>
      </c>
      <c r="BI22" s="168">
        <f t="shared" si="14"/>
        <v>0</v>
      </c>
      <c r="BJ22" s="168">
        <f t="shared" si="14"/>
        <v>0</v>
      </c>
      <c r="BK22" s="137"/>
      <c r="BL22" s="137"/>
      <c r="BM22" s="137"/>
      <c r="BN22" s="137"/>
      <c r="BO22" s="137"/>
      <c r="BP22" s="137"/>
      <c r="BQ22" s="137"/>
      <c r="BR22" s="137"/>
      <c r="BS22" s="137"/>
      <c r="BT22" s="137"/>
      <c r="BU22" s="137"/>
    </row>
    <row r="23" spans="1:73" ht="12.75" customHeight="1" x14ac:dyDescent="0.25">
      <c r="A23" s="200"/>
      <c r="B23" s="200" t="s">
        <v>268</v>
      </c>
      <c r="C23" s="340">
        <v>5</v>
      </c>
      <c r="D23" s="203">
        <f t="shared" si="0"/>
        <v>5.5</v>
      </c>
      <c r="E23" s="203" t="s">
        <v>6</v>
      </c>
      <c r="F23" s="203">
        <f>'Material and Labor Cost'!$D$22</f>
        <v>880.00000000000011</v>
      </c>
      <c r="G23" s="203">
        <f>'Material and Labor Cost'!$F$22</f>
        <v>450.00000000000006</v>
      </c>
      <c r="H23" s="203">
        <f t="shared" si="1"/>
        <v>1330.0000000000002</v>
      </c>
      <c r="I23" s="203">
        <f t="shared" si="2"/>
        <v>7315.0000000000009</v>
      </c>
      <c r="J23" s="137"/>
      <c r="K23" s="137"/>
      <c r="L23" s="206">
        <v>1.1000000000000001</v>
      </c>
      <c r="M23" s="327"/>
      <c r="N23" s="141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310">
        <f t="shared" si="3"/>
        <v>0</v>
      </c>
      <c r="Z23" s="311">
        <f t="shared" si="4"/>
        <v>0</v>
      </c>
      <c r="AA23" s="311">
        <f t="shared" si="5"/>
        <v>0</v>
      </c>
      <c r="AB23" s="167">
        <f t="shared" si="6"/>
        <v>5.5</v>
      </c>
      <c r="AC23" s="167">
        <f t="shared" si="7"/>
        <v>0</v>
      </c>
      <c r="AD23" s="167">
        <f t="shared" si="8"/>
        <v>0</v>
      </c>
      <c r="AE23" s="167">
        <f t="shared" si="9"/>
        <v>0</v>
      </c>
      <c r="AF23" s="167">
        <f t="shared" si="10"/>
        <v>7315.0000000000009</v>
      </c>
      <c r="AG23" s="168">
        <f t="shared" si="13"/>
        <v>0</v>
      </c>
      <c r="AH23" s="137"/>
      <c r="AI23" s="311">
        <v>0</v>
      </c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68">
        <f t="shared" ref="BA23:BA27" si="15">SUM(BK22:BQ22)</f>
        <v>0</v>
      </c>
      <c r="BB23" s="137"/>
      <c r="BC23" s="168">
        <f t="shared" ref="BC23:BJ23" si="16">SUM(BS22:BZ22)</f>
        <v>0</v>
      </c>
      <c r="BD23" s="168">
        <f t="shared" si="12"/>
        <v>0</v>
      </c>
      <c r="BE23" s="168">
        <f t="shared" si="16"/>
        <v>0</v>
      </c>
      <c r="BF23" s="168">
        <f t="shared" si="16"/>
        <v>0</v>
      </c>
      <c r="BG23" s="168">
        <f t="shared" si="16"/>
        <v>0</v>
      </c>
      <c r="BH23" s="168">
        <f t="shared" si="16"/>
        <v>0</v>
      </c>
      <c r="BI23" s="168">
        <f t="shared" si="16"/>
        <v>0</v>
      </c>
      <c r="BJ23" s="168">
        <f t="shared" si="16"/>
        <v>0</v>
      </c>
      <c r="BK23" s="137"/>
      <c r="BL23" s="137"/>
      <c r="BM23" s="137"/>
      <c r="BN23" s="137"/>
      <c r="BO23" s="137"/>
      <c r="BP23" s="137"/>
      <c r="BQ23" s="137"/>
      <c r="BR23" s="137"/>
      <c r="BS23" s="137"/>
      <c r="BT23" s="137"/>
      <c r="BU23" s="137"/>
    </row>
    <row r="24" spans="1:73" ht="12.75" customHeight="1" x14ac:dyDescent="0.25">
      <c r="A24" s="200"/>
      <c r="B24" s="200" t="s">
        <v>269</v>
      </c>
      <c r="C24" s="340">
        <v>12</v>
      </c>
      <c r="D24" s="203">
        <f t="shared" si="0"/>
        <v>13.200000000000001</v>
      </c>
      <c r="E24" s="203" t="s">
        <v>6</v>
      </c>
      <c r="F24" s="203">
        <f>'Material and Labor Cost'!$D$23</f>
        <v>330</v>
      </c>
      <c r="G24" s="203">
        <f>'Material and Labor Cost'!$F$23</f>
        <v>165</v>
      </c>
      <c r="H24" s="203">
        <f t="shared" si="1"/>
        <v>495</v>
      </c>
      <c r="I24" s="203">
        <f t="shared" si="2"/>
        <v>6534.0000000000009</v>
      </c>
      <c r="J24" s="137"/>
      <c r="K24" s="137"/>
      <c r="L24" s="146"/>
      <c r="M24" s="137"/>
      <c r="N24" s="141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310">
        <f t="shared" si="3"/>
        <v>0</v>
      </c>
      <c r="Z24" s="311">
        <f t="shared" si="4"/>
        <v>0</v>
      </c>
      <c r="AA24" s="311">
        <f t="shared" si="5"/>
        <v>0</v>
      </c>
      <c r="AB24" s="167">
        <f t="shared" si="6"/>
        <v>13.200000000000001</v>
      </c>
      <c r="AC24" s="167">
        <f t="shared" si="7"/>
        <v>0</v>
      </c>
      <c r="AD24" s="167">
        <f t="shared" si="8"/>
        <v>0</v>
      </c>
      <c r="AE24" s="167">
        <f t="shared" si="9"/>
        <v>0</v>
      </c>
      <c r="AF24" s="167">
        <f t="shared" si="10"/>
        <v>6534.0000000000009</v>
      </c>
      <c r="AG24" s="168">
        <f t="shared" si="13"/>
        <v>0</v>
      </c>
      <c r="AH24" s="137"/>
      <c r="AI24" s="311">
        <v>0</v>
      </c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68">
        <f t="shared" si="15"/>
        <v>0</v>
      </c>
      <c r="BB24" s="137"/>
      <c r="BC24" s="168">
        <f t="shared" ref="BC24:BJ24" si="17">SUM(BS23:BZ23)</f>
        <v>0</v>
      </c>
      <c r="BD24" s="168">
        <f t="shared" si="12"/>
        <v>0</v>
      </c>
      <c r="BE24" s="168">
        <f t="shared" si="17"/>
        <v>0</v>
      </c>
      <c r="BF24" s="168">
        <f t="shared" si="17"/>
        <v>0</v>
      </c>
      <c r="BG24" s="168">
        <f t="shared" si="17"/>
        <v>0</v>
      </c>
      <c r="BH24" s="168">
        <f t="shared" si="17"/>
        <v>0</v>
      </c>
      <c r="BI24" s="168">
        <f t="shared" si="17"/>
        <v>0</v>
      </c>
      <c r="BJ24" s="168">
        <f t="shared" si="17"/>
        <v>0</v>
      </c>
      <c r="BK24" s="137"/>
      <c r="BL24" s="137"/>
      <c r="BM24" s="137"/>
      <c r="BN24" s="137"/>
      <c r="BO24" s="137"/>
      <c r="BP24" s="137"/>
      <c r="BQ24" s="137"/>
      <c r="BR24" s="137"/>
      <c r="BS24" s="137"/>
      <c r="BT24" s="137"/>
      <c r="BU24" s="137"/>
    </row>
    <row r="25" spans="1:73" ht="12.75" customHeight="1" x14ac:dyDescent="0.25">
      <c r="A25" s="200"/>
      <c r="B25" s="200" t="s">
        <v>270</v>
      </c>
      <c r="C25" s="340">
        <v>2.31</v>
      </c>
      <c r="D25" s="203">
        <f t="shared" si="0"/>
        <v>2.5410000000000004</v>
      </c>
      <c r="E25" s="203" t="s">
        <v>114</v>
      </c>
      <c r="F25" s="203">
        <f>'Material and Labor Cost'!$D$24</f>
        <v>220.00000000000003</v>
      </c>
      <c r="G25" s="203">
        <f>'Material and Labor Cost'!$F$24</f>
        <v>110.00000000000001</v>
      </c>
      <c r="H25" s="203">
        <f t="shared" si="1"/>
        <v>330.00000000000006</v>
      </c>
      <c r="I25" s="203">
        <f t="shared" si="2"/>
        <v>838.53000000000031</v>
      </c>
      <c r="J25" s="137"/>
      <c r="K25" s="137"/>
      <c r="L25" s="146"/>
      <c r="M25" s="137"/>
      <c r="N25" s="141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310">
        <f t="shared" si="3"/>
        <v>0</v>
      </c>
      <c r="Z25" s="311">
        <f t="shared" si="4"/>
        <v>0</v>
      </c>
      <c r="AA25" s="311">
        <f t="shared" si="5"/>
        <v>0</v>
      </c>
      <c r="AB25" s="167">
        <f t="shared" si="6"/>
        <v>2.5410000000000004</v>
      </c>
      <c r="AC25" s="167">
        <f t="shared" si="7"/>
        <v>0</v>
      </c>
      <c r="AD25" s="167">
        <f t="shared" si="8"/>
        <v>0</v>
      </c>
      <c r="AE25" s="167">
        <f t="shared" si="9"/>
        <v>0</v>
      </c>
      <c r="AF25" s="167">
        <f t="shared" si="10"/>
        <v>838.53000000000031</v>
      </c>
      <c r="AG25" s="168">
        <f t="shared" si="13"/>
        <v>0</v>
      </c>
      <c r="AH25" s="137"/>
      <c r="AI25" s="311">
        <v>0</v>
      </c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68">
        <f t="shared" si="15"/>
        <v>0</v>
      </c>
      <c r="BB25" s="137"/>
      <c r="BC25" s="168">
        <f t="shared" ref="BC25:BJ25" si="18">SUM(BS24:BZ24)</f>
        <v>0</v>
      </c>
      <c r="BD25" s="168">
        <f t="shared" si="12"/>
        <v>0</v>
      </c>
      <c r="BE25" s="168">
        <f t="shared" si="18"/>
        <v>0</v>
      </c>
      <c r="BF25" s="168">
        <f t="shared" si="18"/>
        <v>0</v>
      </c>
      <c r="BG25" s="168">
        <f t="shared" si="18"/>
        <v>0</v>
      </c>
      <c r="BH25" s="168">
        <f t="shared" si="18"/>
        <v>0</v>
      </c>
      <c r="BI25" s="168">
        <f t="shared" si="18"/>
        <v>0</v>
      </c>
      <c r="BJ25" s="168">
        <f t="shared" si="18"/>
        <v>0</v>
      </c>
      <c r="BK25" s="137"/>
      <c r="BL25" s="137"/>
      <c r="BM25" s="137"/>
      <c r="BN25" s="137"/>
      <c r="BO25" s="137"/>
      <c r="BP25" s="137"/>
      <c r="BQ25" s="137"/>
      <c r="BR25" s="137"/>
      <c r="BS25" s="137"/>
      <c r="BT25" s="137"/>
      <c r="BU25" s="137"/>
    </row>
    <row r="26" spans="1:73" ht="12.75" customHeight="1" x14ac:dyDescent="0.25">
      <c r="A26" s="200"/>
      <c r="B26" s="200" t="s">
        <v>271</v>
      </c>
      <c r="C26" s="340">
        <v>34.04</v>
      </c>
      <c r="D26" s="203">
        <f t="shared" si="0"/>
        <v>37.444000000000003</v>
      </c>
      <c r="E26" s="203" t="s">
        <v>6</v>
      </c>
      <c r="F26" s="203">
        <f>'Material and Labor Cost'!$D$25</f>
        <v>555</v>
      </c>
      <c r="G26" s="203">
        <f>'Material and Labor Cost'!$F$25</f>
        <v>275</v>
      </c>
      <c r="H26" s="203">
        <f t="shared" si="1"/>
        <v>830</v>
      </c>
      <c r="I26" s="203">
        <f t="shared" si="2"/>
        <v>31078.52</v>
      </c>
      <c r="J26" s="137"/>
      <c r="K26" s="137"/>
      <c r="L26" s="141" t="s">
        <v>121</v>
      </c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310">
        <f t="shared" si="3"/>
        <v>0</v>
      </c>
      <c r="Z26" s="311">
        <f t="shared" si="4"/>
        <v>0</v>
      </c>
      <c r="AA26" s="311">
        <f t="shared" si="5"/>
        <v>0</v>
      </c>
      <c r="AB26" s="167">
        <f t="shared" si="6"/>
        <v>37.444000000000003</v>
      </c>
      <c r="AC26" s="167">
        <f t="shared" si="7"/>
        <v>0</v>
      </c>
      <c r="AD26" s="167">
        <f t="shared" si="8"/>
        <v>0</v>
      </c>
      <c r="AE26" s="167">
        <f t="shared" si="9"/>
        <v>0</v>
      </c>
      <c r="AF26" s="167">
        <f t="shared" si="10"/>
        <v>31078.52</v>
      </c>
      <c r="AG26" s="168">
        <f t="shared" si="13"/>
        <v>0</v>
      </c>
      <c r="AH26" s="137"/>
      <c r="AI26" s="311">
        <v>0</v>
      </c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68">
        <f t="shared" si="15"/>
        <v>0</v>
      </c>
      <c r="BB26" s="137"/>
      <c r="BC26" s="168">
        <f t="shared" ref="BC26:BJ26" si="19">SUM(BS25:BZ25)</f>
        <v>0</v>
      </c>
      <c r="BD26" s="168">
        <f t="shared" si="12"/>
        <v>0</v>
      </c>
      <c r="BE26" s="168">
        <f t="shared" si="19"/>
        <v>0</v>
      </c>
      <c r="BF26" s="168">
        <f t="shared" si="19"/>
        <v>0</v>
      </c>
      <c r="BG26" s="168">
        <f t="shared" si="19"/>
        <v>0</v>
      </c>
      <c r="BH26" s="168">
        <f t="shared" si="19"/>
        <v>0</v>
      </c>
      <c r="BI26" s="168">
        <f t="shared" si="19"/>
        <v>0</v>
      </c>
      <c r="BJ26" s="168">
        <f t="shared" si="19"/>
        <v>0</v>
      </c>
      <c r="BK26" s="137"/>
      <c r="BL26" s="137"/>
      <c r="BM26" s="137"/>
      <c r="BN26" s="137"/>
      <c r="BO26" s="137"/>
      <c r="BP26" s="137"/>
      <c r="BQ26" s="137"/>
      <c r="BR26" s="137"/>
      <c r="BS26" s="137"/>
      <c r="BT26" s="137"/>
      <c r="BU26" s="137"/>
    </row>
    <row r="27" spans="1:73" ht="12.75" customHeight="1" x14ac:dyDescent="0.25">
      <c r="A27" s="200"/>
      <c r="B27" s="200" t="s">
        <v>272</v>
      </c>
      <c r="C27" s="340"/>
      <c r="D27" s="203">
        <v>1</v>
      </c>
      <c r="E27" s="203" t="s">
        <v>94</v>
      </c>
      <c r="F27" s="203"/>
      <c r="G27" s="203"/>
      <c r="H27" s="203"/>
      <c r="I27" s="203">
        <f>SUM(I21:I26)*$L$27</f>
        <v>11537.095679999999</v>
      </c>
      <c r="J27" s="137"/>
      <c r="K27" s="137"/>
      <c r="L27" s="206">
        <v>0.12</v>
      </c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310">
        <f t="shared" si="3"/>
        <v>0</v>
      </c>
      <c r="Z27" s="311">
        <f t="shared" si="4"/>
        <v>0</v>
      </c>
      <c r="AA27" s="311">
        <f t="shared" si="5"/>
        <v>0</v>
      </c>
      <c r="AB27" s="167">
        <f t="shared" si="6"/>
        <v>1</v>
      </c>
      <c r="AC27" s="167">
        <f t="shared" si="7"/>
        <v>0</v>
      </c>
      <c r="AD27" s="167">
        <f t="shared" si="8"/>
        <v>0</v>
      </c>
      <c r="AE27" s="167">
        <f t="shared" si="9"/>
        <v>0</v>
      </c>
      <c r="AF27" s="167">
        <f t="shared" si="10"/>
        <v>11537.095679999999</v>
      </c>
      <c r="AG27" s="168">
        <f t="shared" si="13"/>
        <v>0</v>
      </c>
      <c r="AH27" s="137"/>
      <c r="AI27" s="311">
        <v>0</v>
      </c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68">
        <f t="shared" si="15"/>
        <v>0</v>
      </c>
      <c r="BB27" s="137"/>
      <c r="BC27" s="168">
        <f t="shared" ref="BC27:BJ27" si="20">SUM(BS26:BZ26)</f>
        <v>0</v>
      </c>
      <c r="BD27" s="168">
        <f t="shared" si="12"/>
        <v>0</v>
      </c>
      <c r="BE27" s="168">
        <f t="shared" si="20"/>
        <v>0</v>
      </c>
      <c r="BF27" s="168">
        <f t="shared" si="20"/>
        <v>0</v>
      </c>
      <c r="BG27" s="168">
        <f t="shared" si="20"/>
        <v>0</v>
      </c>
      <c r="BH27" s="168">
        <f t="shared" si="20"/>
        <v>0</v>
      </c>
      <c r="BI27" s="168">
        <f t="shared" si="20"/>
        <v>0</v>
      </c>
      <c r="BJ27" s="168">
        <f t="shared" si="20"/>
        <v>0</v>
      </c>
      <c r="BK27" s="137"/>
      <c r="BL27" s="137"/>
      <c r="BM27" s="137"/>
      <c r="BN27" s="137"/>
      <c r="BO27" s="137"/>
      <c r="BP27" s="137"/>
      <c r="BQ27" s="137"/>
      <c r="BR27" s="137"/>
      <c r="BS27" s="137"/>
      <c r="BT27" s="137"/>
      <c r="BU27" s="137"/>
    </row>
    <row r="28" spans="1:73" ht="12.75" customHeight="1" x14ac:dyDescent="0.25">
      <c r="A28" s="228"/>
      <c r="B28" s="510" t="s">
        <v>273</v>
      </c>
      <c r="C28" s="501"/>
      <c r="D28" s="501"/>
      <c r="E28" s="501"/>
      <c r="F28" s="501"/>
      <c r="G28" s="501"/>
      <c r="H28" s="502"/>
      <c r="I28" s="341">
        <f>SUM(I21:I27)</f>
        <v>107679.55967999999</v>
      </c>
      <c r="J28" s="230"/>
      <c r="K28" s="230"/>
      <c r="L28" s="206">
        <v>0.8</v>
      </c>
      <c r="M28" s="230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2"/>
      <c r="Y28" s="307">
        <f t="shared" ref="Y28:AF28" si="21">SUM(Y21:Y27)</f>
        <v>0</v>
      </c>
      <c r="Z28" s="184">
        <f t="shared" si="21"/>
        <v>17.305199999999999</v>
      </c>
      <c r="AA28" s="184">
        <f t="shared" si="21"/>
        <v>17.305199999999999</v>
      </c>
      <c r="AB28" s="235">
        <f t="shared" si="21"/>
        <v>100.0638</v>
      </c>
      <c r="AC28" s="235">
        <f t="shared" si="21"/>
        <v>0</v>
      </c>
      <c r="AD28" s="235">
        <f t="shared" si="21"/>
        <v>15112.924199999999</v>
      </c>
      <c r="AE28" s="235">
        <f t="shared" si="21"/>
        <v>15112.924199999999</v>
      </c>
      <c r="AF28" s="235">
        <f t="shared" si="21"/>
        <v>92566.635479999997</v>
      </c>
      <c r="AG28" s="168">
        <f t="shared" si="13"/>
        <v>8.5714285714285715E-2</v>
      </c>
      <c r="AH28" s="237"/>
      <c r="AI28" s="184">
        <v>0</v>
      </c>
      <c r="AJ28" s="230"/>
      <c r="AK28" s="230"/>
      <c r="AL28" s="230"/>
      <c r="AM28" s="230"/>
      <c r="AN28" s="230"/>
      <c r="AO28" s="230"/>
      <c r="AP28" s="230"/>
      <c r="AQ28" s="230"/>
      <c r="AR28" s="230"/>
      <c r="AS28" s="230"/>
      <c r="AT28" s="230"/>
      <c r="AU28" s="230"/>
      <c r="AV28" s="230"/>
      <c r="AW28" s="230"/>
      <c r="AX28" s="230"/>
      <c r="AY28" s="230"/>
      <c r="AZ28" s="230"/>
      <c r="BA28" s="308">
        <f>SUM(BA21:BA27)/COUNT(BA21:BA27)</f>
        <v>8.5714285714285715E-2</v>
      </c>
      <c r="BB28" s="230"/>
      <c r="BC28" s="308">
        <f t="shared" ref="BC28:BJ28" si="22">SUM(BC21:BC27)/COUNT(BC21:BC27)</f>
        <v>0</v>
      </c>
      <c r="BD28" s="308">
        <f>SUM(BD21:BD27)/COUNT(BD21:BD27)</f>
        <v>0</v>
      </c>
      <c r="BE28" s="308">
        <f t="shared" si="22"/>
        <v>0</v>
      </c>
      <c r="BF28" s="308">
        <f t="shared" si="22"/>
        <v>0</v>
      </c>
      <c r="BG28" s="308">
        <f t="shared" si="22"/>
        <v>0</v>
      </c>
      <c r="BH28" s="308">
        <f t="shared" si="22"/>
        <v>0</v>
      </c>
      <c r="BI28" s="308">
        <f t="shared" si="22"/>
        <v>0</v>
      </c>
      <c r="BJ28" s="308">
        <f t="shared" si="22"/>
        <v>0</v>
      </c>
      <c r="BK28" s="230"/>
      <c r="BL28" s="230"/>
      <c r="BM28" s="230"/>
      <c r="BN28" s="230"/>
      <c r="BO28" s="230"/>
      <c r="BP28" s="230"/>
      <c r="BQ28" s="230"/>
      <c r="BR28" s="230"/>
      <c r="BS28" s="230"/>
      <c r="BT28" s="230"/>
      <c r="BU28" s="230"/>
    </row>
    <row r="29" spans="1:73" ht="12.75" customHeight="1" x14ac:dyDescent="0.25">
      <c r="A29" s="200"/>
      <c r="B29" s="339" t="s">
        <v>274</v>
      </c>
      <c r="C29" s="340"/>
      <c r="D29" s="203"/>
      <c r="E29" s="203"/>
      <c r="F29" s="203"/>
      <c r="G29" s="203"/>
      <c r="H29" s="203"/>
      <c r="I29" s="203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310"/>
      <c r="Z29" s="311"/>
      <c r="AA29" s="311"/>
      <c r="AB29" s="167"/>
      <c r="AC29" s="167"/>
      <c r="AD29" s="167"/>
      <c r="AE29" s="167"/>
      <c r="AF29" s="167"/>
      <c r="AG29" s="168">
        <f t="shared" si="13"/>
        <v>0</v>
      </c>
      <c r="AH29" s="137"/>
      <c r="AI29" s="311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7"/>
      <c r="BM29" s="137"/>
      <c r="BN29" s="137"/>
      <c r="BO29" s="137"/>
      <c r="BP29" s="137"/>
      <c r="BQ29" s="137"/>
      <c r="BR29" s="137"/>
      <c r="BS29" s="137"/>
      <c r="BT29" s="137"/>
      <c r="BU29" s="137"/>
    </row>
    <row r="30" spans="1:73" ht="12.75" customHeight="1" x14ac:dyDescent="0.25">
      <c r="A30" s="200"/>
      <c r="B30" s="291" t="s">
        <v>267</v>
      </c>
      <c r="C30" s="340">
        <v>7.9</v>
      </c>
      <c r="D30" s="203">
        <f t="shared" ref="D30:D33" si="23">C30*$L$23</f>
        <v>8.6900000000000013</v>
      </c>
      <c r="E30" s="203" t="s">
        <v>6</v>
      </c>
      <c r="F30" s="203">
        <f>'Material and Labor Cost'!$D$21</f>
        <v>576</v>
      </c>
      <c r="G30" s="203">
        <f>'Material and Labor Cost'!$F$21</f>
        <v>300</v>
      </c>
      <c r="H30" s="203">
        <f t="shared" ref="H30:H33" si="24">SUM(F30:G30)</f>
        <v>876</v>
      </c>
      <c r="I30" s="203">
        <f t="shared" ref="I30:I33" si="25">H30*D30</f>
        <v>7612.4400000000014</v>
      </c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310">
        <f t="shared" ref="Y30:Y34" si="26">SUM(AI30:AP30)</f>
        <v>0</v>
      </c>
      <c r="Z30" s="311">
        <f t="shared" ref="Z30:Z34" si="27">D30*AG30</f>
        <v>2.6070000000000002</v>
      </c>
      <c r="AA30" s="311">
        <f t="shared" ref="AA30:AA34" si="28">SUM(Y30:Z30)</f>
        <v>2.6070000000000002</v>
      </c>
      <c r="AB30" s="167">
        <f t="shared" ref="AB30:AB34" si="29">D30-AA30</f>
        <v>6.0830000000000011</v>
      </c>
      <c r="AC30" s="167">
        <f t="shared" ref="AC30:AC34" si="30">SUM(AR29:AY29)</f>
        <v>0</v>
      </c>
      <c r="AD30" s="167">
        <f t="shared" ref="AD30:AD34" si="31">AG30*I30</f>
        <v>2283.7320000000004</v>
      </c>
      <c r="AE30" s="167">
        <f t="shared" ref="AE30:AE34" si="32">SUM(AC30:AD30)</f>
        <v>2283.7320000000004</v>
      </c>
      <c r="AF30" s="167">
        <f t="shared" ref="AF30:AF34" si="33">I30-AE30</f>
        <v>5328.7080000000005</v>
      </c>
      <c r="AG30" s="168">
        <f t="shared" si="13"/>
        <v>0.3</v>
      </c>
      <c r="AH30" s="137"/>
      <c r="AI30" s="311">
        <v>0</v>
      </c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68">
        <v>0.3</v>
      </c>
      <c r="BB30" s="137"/>
      <c r="BC30" s="168">
        <f t="shared" ref="BC30:BJ30" si="34">SUM(BS29:BZ29)</f>
        <v>0</v>
      </c>
      <c r="BD30" s="168">
        <f t="shared" ref="BD30:BD34" si="35">SUM(BN29:BT29)</f>
        <v>0</v>
      </c>
      <c r="BE30" s="168">
        <f t="shared" si="34"/>
        <v>0</v>
      </c>
      <c r="BF30" s="168">
        <f t="shared" si="34"/>
        <v>0</v>
      </c>
      <c r="BG30" s="168">
        <f t="shared" si="34"/>
        <v>0</v>
      </c>
      <c r="BH30" s="168">
        <f t="shared" si="34"/>
        <v>0</v>
      </c>
      <c r="BI30" s="168">
        <f t="shared" si="34"/>
        <v>0</v>
      </c>
      <c r="BJ30" s="168">
        <f t="shared" si="34"/>
        <v>0</v>
      </c>
      <c r="BK30" s="137"/>
      <c r="BL30" s="137"/>
      <c r="BM30" s="137"/>
      <c r="BN30" s="137"/>
      <c r="BO30" s="137"/>
      <c r="BP30" s="137"/>
      <c r="BQ30" s="137"/>
      <c r="BR30" s="137"/>
      <c r="BS30" s="137"/>
      <c r="BT30" s="137"/>
      <c r="BU30" s="137"/>
    </row>
    <row r="31" spans="1:73" ht="12.75" customHeight="1" x14ac:dyDescent="0.25">
      <c r="A31" s="200"/>
      <c r="B31" s="291" t="s">
        <v>269</v>
      </c>
      <c r="C31" s="340">
        <v>2.1</v>
      </c>
      <c r="D31" s="203">
        <f t="shared" si="23"/>
        <v>2.3100000000000005</v>
      </c>
      <c r="E31" s="203" t="s">
        <v>6</v>
      </c>
      <c r="F31" s="203">
        <f>'Material and Labor Cost'!$D$23</f>
        <v>330</v>
      </c>
      <c r="G31" s="203">
        <f>'Material and Labor Cost'!$F$23</f>
        <v>165</v>
      </c>
      <c r="H31" s="203">
        <f t="shared" si="24"/>
        <v>495</v>
      </c>
      <c r="I31" s="203">
        <f t="shared" si="25"/>
        <v>1143.4500000000003</v>
      </c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310">
        <f t="shared" si="26"/>
        <v>0</v>
      </c>
      <c r="Z31" s="311">
        <f t="shared" si="27"/>
        <v>0.69300000000000017</v>
      </c>
      <c r="AA31" s="311">
        <f t="shared" si="28"/>
        <v>0.69300000000000017</v>
      </c>
      <c r="AB31" s="167">
        <f t="shared" si="29"/>
        <v>1.6170000000000004</v>
      </c>
      <c r="AC31" s="167">
        <f t="shared" si="30"/>
        <v>0</v>
      </c>
      <c r="AD31" s="167">
        <f t="shared" si="31"/>
        <v>343.03500000000008</v>
      </c>
      <c r="AE31" s="167">
        <f t="shared" si="32"/>
        <v>343.03500000000008</v>
      </c>
      <c r="AF31" s="167">
        <f t="shared" si="33"/>
        <v>800.41500000000019</v>
      </c>
      <c r="AG31" s="168">
        <f t="shared" si="13"/>
        <v>0.3</v>
      </c>
      <c r="AH31" s="137"/>
      <c r="AI31" s="311">
        <v>0</v>
      </c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68">
        <v>0.3</v>
      </c>
      <c r="BB31" s="137"/>
      <c r="BC31" s="168">
        <f t="shared" ref="BC31:BJ31" si="36">SUM(BS30:BZ30)</f>
        <v>0</v>
      </c>
      <c r="BD31" s="168">
        <f t="shared" si="35"/>
        <v>0</v>
      </c>
      <c r="BE31" s="168">
        <f t="shared" si="36"/>
        <v>0</v>
      </c>
      <c r="BF31" s="168">
        <f t="shared" si="36"/>
        <v>0</v>
      </c>
      <c r="BG31" s="168">
        <f t="shared" si="36"/>
        <v>0</v>
      </c>
      <c r="BH31" s="168">
        <f t="shared" si="36"/>
        <v>0</v>
      </c>
      <c r="BI31" s="168">
        <f t="shared" si="36"/>
        <v>0</v>
      </c>
      <c r="BJ31" s="168">
        <f t="shared" si="36"/>
        <v>0</v>
      </c>
      <c r="BK31" s="137"/>
      <c r="BL31" s="137"/>
      <c r="BM31" s="137"/>
      <c r="BN31" s="137"/>
      <c r="BO31" s="137"/>
      <c r="BP31" s="137"/>
      <c r="BQ31" s="137"/>
      <c r="BR31" s="137"/>
      <c r="BS31" s="137"/>
      <c r="BT31" s="137"/>
      <c r="BU31" s="137"/>
    </row>
    <row r="32" spans="1:73" ht="12.75" customHeight="1" x14ac:dyDescent="0.25">
      <c r="A32" s="200"/>
      <c r="B32" s="200" t="s">
        <v>271</v>
      </c>
      <c r="C32" s="340">
        <v>3.94</v>
      </c>
      <c r="D32" s="203">
        <f t="shared" si="23"/>
        <v>4.3340000000000005</v>
      </c>
      <c r="E32" s="203" t="s">
        <v>6</v>
      </c>
      <c r="F32" s="203">
        <f>'Material and Labor Cost'!$D$25</f>
        <v>555</v>
      </c>
      <c r="G32" s="203">
        <f>'Material and Labor Cost'!$F$25</f>
        <v>275</v>
      </c>
      <c r="H32" s="203">
        <f t="shared" si="24"/>
        <v>830</v>
      </c>
      <c r="I32" s="203">
        <f t="shared" si="25"/>
        <v>3597.2200000000003</v>
      </c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310">
        <f t="shared" si="26"/>
        <v>0</v>
      </c>
      <c r="Z32" s="311">
        <f t="shared" si="27"/>
        <v>0</v>
      </c>
      <c r="AA32" s="311">
        <f t="shared" si="28"/>
        <v>0</v>
      </c>
      <c r="AB32" s="167">
        <f t="shared" si="29"/>
        <v>4.3340000000000005</v>
      </c>
      <c r="AC32" s="167">
        <f t="shared" si="30"/>
        <v>0</v>
      </c>
      <c r="AD32" s="167">
        <f t="shared" si="31"/>
        <v>0</v>
      </c>
      <c r="AE32" s="167">
        <f t="shared" si="32"/>
        <v>0</v>
      </c>
      <c r="AF32" s="167">
        <f t="shared" si="33"/>
        <v>3597.2200000000003</v>
      </c>
      <c r="AG32" s="168">
        <f t="shared" si="13"/>
        <v>0</v>
      </c>
      <c r="AH32" s="137"/>
      <c r="AI32" s="311">
        <v>0</v>
      </c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68">
        <f t="shared" ref="BA32:BA34" si="37">SUM(BK31:BQ31)</f>
        <v>0</v>
      </c>
      <c r="BB32" s="137"/>
      <c r="BC32" s="168">
        <f t="shared" ref="BC32:BJ32" si="38">SUM(BS31:BZ31)</f>
        <v>0</v>
      </c>
      <c r="BD32" s="168">
        <f t="shared" si="35"/>
        <v>0</v>
      </c>
      <c r="BE32" s="168">
        <f t="shared" si="38"/>
        <v>0</v>
      </c>
      <c r="BF32" s="168">
        <f t="shared" si="38"/>
        <v>0</v>
      </c>
      <c r="BG32" s="168">
        <f t="shared" si="38"/>
        <v>0</v>
      </c>
      <c r="BH32" s="168">
        <f t="shared" si="38"/>
        <v>0</v>
      </c>
      <c r="BI32" s="168">
        <f t="shared" si="38"/>
        <v>0</v>
      </c>
      <c r="BJ32" s="168">
        <f t="shared" si="38"/>
        <v>0</v>
      </c>
      <c r="BK32" s="137"/>
      <c r="BL32" s="137"/>
      <c r="BM32" s="137"/>
      <c r="BN32" s="137"/>
      <c r="BO32" s="137"/>
      <c r="BP32" s="137"/>
      <c r="BQ32" s="137"/>
      <c r="BR32" s="137"/>
      <c r="BS32" s="137"/>
      <c r="BT32" s="137"/>
      <c r="BU32" s="137"/>
    </row>
    <row r="33" spans="1:73" ht="12.75" customHeight="1" x14ac:dyDescent="0.25">
      <c r="A33" s="200"/>
      <c r="B33" s="200" t="s">
        <v>275</v>
      </c>
      <c r="C33" s="340">
        <v>3.96</v>
      </c>
      <c r="D33" s="203">
        <f t="shared" si="23"/>
        <v>4.3559999999999999</v>
      </c>
      <c r="E33" s="203" t="s">
        <v>6</v>
      </c>
      <c r="F33" s="203">
        <f>'Material and Labor Cost'!$D$26</f>
        <v>555</v>
      </c>
      <c r="G33" s="203">
        <f>'Material and Labor Cost'!$F$26</f>
        <v>275</v>
      </c>
      <c r="H33" s="203">
        <f t="shared" si="24"/>
        <v>830</v>
      </c>
      <c r="I33" s="203">
        <f t="shared" si="25"/>
        <v>3615.48</v>
      </c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310">
        <f t="shared" si="26"/>
        <v>0</v>
      </c>
      <c r="Z33" s="311">
        <f t="shared" si="27"/>
        <v>0</v>
      </c>
      <c r="AA33" s="311">
        <f t="shared" si="28"/>
        <v>0</v>
      </c>
      <c r="AB33" s="167">
        <f t="shared" si="29"/>
        <v>4.3559999999999999</v>
      </c>
      <c r="AC33" s="167">
        <f t="shared" si="30"/>
        <v>0</v>
      </c>
      <c r="AD33" s="167">
        <f t="shared" si="31"/>
        <v>0</v>
      </c>
      <c r="AE33" s="167">
        <f t="shared" si="32"/>
        <v>0</v>
      </c>
      <c r="AF33" s="167">
        <f t="shared" si="33"/>
        <v>3615.48</v>
      </c>
      <c r="AG33" s="168">
        <f t="shared" si="13"/>
        <v>0</v>
      </c>
      <c r="AH33" s="137"/>
      <c r="AI33" s="311">
        <v>0</v>
      </c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68">
        <f t="shared" si="37"/>
        <v>0</v>
      </c>
      <c r="BB33" s="137"/>
      <c r="BC33" s="168">
        <f t="shared" ref="BC33:BJ33" si="39">SUM(BS32:BZ32)</f>
        <v>0</v>
      </c>
      <c r="BD33" s="168">
        <f t="shared" si="35"/>
        <v>0</v>
      </c>
      <c r="BE33" s="168">
        <f t="shared" si="39"/>
        <v>0</v>
      </c>
      <c r="BF33" s="168">
        <f t="shared" si="39"/>
        <v>0</v>
      </c>
      <c r="BG33" s="168">
        <f t="shared" si="39"/>
        <v>0</v>
      </c>
      <c r="BH33" s="168">
        <f t="shared" si="39"/>
        <v>0</v>
      </c>
      <c r="BI33" s="168">
        <f t="shared" si="39"/>
        <v>0</v>
      </c>
      <c r="BJ33" s="168">
        <f t="shared" si="39"/>
        <v>0</v>
      </c>
      <c r="BK33" s="137"/>
      <c r="BL33" s="137"/>
      <c r="BM33" s="137"/>
      <c r="BN33" s="137"/>
      <c r="BO33" s="137"/>
      <c r="BP33" s="137"/>
      <c r="BQ33" s="137"/>
      <c r="BR33" s="137"/>
      <c r="BS33" s="137"/>
      <c r="BT33" s="137"/>
      <c r="BU33" s="137"/>
    </row>
    <row r="34" spans="1:73" ht="12.75" customHeight="1" x14ac:dyDescent="0.25">
      <c r="A34" s="200"/>
      <c r="B34" s="200" t="s">
        <v>272</v>
      </c>
      <c r="C34" s="340"/>
      <c r="D34" s="203">
        <v>1</v>
      </c>
      <c r="E34" s="203" t="s">
        <v>94</v>
      </c>
      <c r="F34" s="203"/>
      <c r="G34" s="203"/>
      <c r="H34" s="203"/>
      <c r="I34" s="203">
        <f>SUM(I30:I33)*L72</f>
        <v>7984.2950000000001</v>
      </c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310">
        <f t="shared" si="26"/>
        <v>0</v>
      </c>
      <c r="Z34" s="311">
        <f t="shared" si="27"/>
        <v>0</v>
      </c>
      <c r="AA34" s="311">
        <f t="shared" si="28"/>
        <v>0</v>
      </c>
      <c r="AB34" s="167">
        <f t="shared" si="29"/>
        <v>1</v>
      </c>
      <c r="AC34" s="167">
        <f t="shared" si="30"/>
        <v>0</v>
      </c>
      <c r="AD34" s="167">
        <f t="shared" si="31"/>
        <v>0</v>
      </c>
      <c r="AE34" s="167">
        <f t="shared" si="32"/>
        <v>0</v>
      </c>
      <c r="AF34" s="167">
        <f t="shared" si="33"/>
        <v>7984.2950000000001</v>
      </c>
      <c r="AG34" s="168">
        <f t="shared" si="13"/>
        <v>0</v>
      </c>
      <c r="AH34" s="137"/>
      <c r="AI34" s="311">
        <v>0</v>
      </c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68">
        <f t="shared" si="37"/>
        <v>0</v>
      </c>
      <c r="BB34" s="137"/>
      <c r="BC34" s="168">
        <f t="shared" ref="BC34:BJ34" si="40">SUM(BS33:BZ33)</f>
        <v>0</v>
      </c>
      <c r="BD34" s="168">
        <f t="shared" si="35"/>
        <v>0</v>
      </c>
      <c r="BE34" s="168">
        <f t="shared" si="40"/>
        <v>0</v>
      </c>
      <c r="BF34" s="168">
        <f t="shared" si="40"/>
        <v>0</v>
      </c>
      <c r="BG34" s="168">
        <f t="shared" si="40"/>
        <v>0</v>
      </c>
      <c r="BH34" s="168">
        <f t="shared" si="40"/>
        <v>0</v>
      </c>
      <c r="BI34" s="168">
        <f t="shared" si="40"/>
        <v>0</v>
      </c>
      <c r="BJ34" s="168">
        <f t="shared" si="40"/>
        <v>0</v>
      </c>
      <c r="BK34" s="137"/>
      <c r="BL34" s="137"/>
      <c r="BM34" s="137"/>
      <c r="BN34" s="137"/>
      <c r="BO34" s="137"/>
      <c r="BP34" s="137"/>
      <c r="BQ34" s="137"/>
      <c r="BR34" s="137"/>
      <c r="BS34" s="137"/>
      <c r="BT34" s="137"/>
      <c r="BU34" s="137"/>
    </row>
    <row r="35" spans="1:73" ht="12.75" customHeight="1" x14ac:dyDescent="0.25">
      <c r="A35" s="228"/>
      <c r="B35" s="510" t="s">
        <v>276</v>
      </c>
      <c r="C35" s="501"/>
      <c r="D35" s="501"/>
      <c r="E35" s="501"/>
      <c r="F35" s="501"/>
      <c r="G35" s="501"/>
      <c r="H35" s="502"/>
      <c r="I35" s="229">
        <f>SUM(I30:I34)</f>
        <v>23952.885000000002</v>
      </c>
      <c r="J35" s="230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2"/>
      <c r="Y35" s="307">
        <f t="shared" ref="Y35:AF35" si="41">SUM(Y30:Y34)</f>
        <v>0</v>
      </c>
      <c r="Z35" s="184">
        <f t="shared" si="41"/>
        <v>3.3000000000000003</v>
      </c>
      <c r="AA35" s="184">
        <f t="shared" si="41"/>
        <v>3.3000000000000003</v>
      </c>
      <c r="AB35" s="235">
        <f t="shared" si="41"/>
        <v>17.39</v>
      </c>
      <c r="AC35" s="235">
        <f t="shared" si="41"/>
        <v>0</v>
      </c>
      <c r="AD35" s="235">
        <f t="shared" si="41"/>
        <v>2626.7670000000007</v>
      </c>
      <c r="AE35" s="235">
        <f t="shared" si="41"/>
        <v>2626.7670000000007</v>
      </c>
      <c r="AF35" s="235">
        <f t="shared" si="41"/>
        <v>21326.118000000002</v>
      </c>
      <c r="AG35" s="168">
        <f t="shared" si="13"/>
        <v>0.12</v>
      </c>
      <c r="AH35" s="342">
        <f>SUM(AH30:AH34)</f>
        <v>0</v>
      </c>
      <c r="AI35" s="184">
        <v>0</v>
      </c>
      <c r="AJ35" s="230"/>
      <c r="AK35" s="230"/>
      <c r="AL35" s="230"/>
      <c r="AM35" s="230"/>
      <c r="AN35" s="230"/>
      <c r="AO35" s="230"/>
      <c r="AP35" s="230"/>
      <c r="AQ35" s="230"/>
      <c r="AR35" s="230"/>
      <c r="AS35" s="230"/>
      <c r="AT35" s="230"/>
      <c r="AU35" s="230"/>
      <c r="AV35" s="230"/>
      <c r="AW35" s="230"/>
      <c r="AX35" s="230"/>
      <c r="AY35" s="230"/>
      <c r="AZ35" s="230"/>
      <c r="BA35" s="308">
        <f>SUM(BA30:BA34)/COUNT(BA30:BA34)</f>
        <v>0.12</v>
      </c>
      <c r="BB35" s="230"/>
      <c r="BC35" s="308">
        <f t="shared" ref="BC35:BJ35" si="42">SUM(BC30:BC34)/COUNT(BC30:BC34)</f>
        <v>0</v>
      </c>
      <c r="BD35" s="308">
        <f>SUM(BD30:BD34)/COUNT(BD30:BD34)</f>
        <v>0</v>
      </c>
      <c r="BE35" s="308">
        <f t="shared" si="42"/>
        <v>0</v>
      </c>
      <c r="BF35" s="308">
        <f t="shared" si="42"/>
        <v>0</v>
      </c>
      <c r="BG35" s="308">
        <f t="shared" si="42"/>
        <v>0</v>
      </c>
      <c r="BH35" s="308">
        <f t="shared" si="42"/>
        <v>0</v>
      </c>
      <c r="BI35" s="308">
        <f t="shared" si="42"/>
        <v>0</v>
      </c>
      <c r="BJ35" s="308">
        <f t="shared" si="42"/>
        <v>0</v>
      </c>
      <c r="BK35" s="230"/>
      <c r="BL35" s="230"/>
      <c r="BM35" s="230"/>
      <c r="BN35" s="230"/>
      <c r="BO35" s="230"/>
      <c r="BP35" s="230"/>
      <c r="BQ35" s="230"/>
      <c r="BR35" s="230"/>
      <c r="BS35" s="230"/>
      <c r="BT35" s="230"/>
      <c r="BU35" s="230"/>
    </row>
    <row r="36" spans="1:73" ht="12.75" customHeight="1" x14ac:dyDescent="0.25">
      <c r="A36" s="200"/>
      <c r="B36" s="339" t="s">
        <v>277</v>
      </c>
      <c r="C36" s="340"/>
      <c r="D36" s="203"/>
      <c r="E36" s="203"/>
      <c r="F36" s="203"/>
      <c r="G36" s="203"/>
      <c r="H36" s="203"/>
      <c r="I36" s="203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310"/>
      <c r="Z36" s="311"/>
      <c r="AA36" s="311"/>
      <c r="AB36" s="167"/>
      <c r="AC36" s="167"/>
      <c r="AD36" s="167"/>
      <c r="AE36" s="167"/>
      <c r="AF36" s="167"/>
      <c r="AG36" s="168">
        <f t="shared" si="13"/>
        <v>0</v>
      </c>
      <c r="AH36" s="137"/>
      <c r="AI36" s="311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</row>
    <row r="37" spans="1:73" ht="12.75" customHeight="1" x14ac:dyDescent="0.25">
      <c r="A37" s="200"/>
      <c r="B37" s="291" t="s">
        <v>267</v>
      </c>
      <c r="C37" s="340">
        <v>62.89</v>
      </c>
      <c r="D37" s="203">
        <f t="shared" ref="D37:D40" si="43">C37*$L$23</f>
        <v>69.179000000000002</v>
      </c>
      <c r="E37" s="203" t="s">
        <v>6</v>
      </c>
      <c r="F37" s="203">
        <f>'Material and Labor Cost'!$D$21</f>
        <v>576</v>
      </c>
      <c r="G37" s="203">
        <f>'Material and Labor Cost'!$F$21</f>
        <v>300</v>
      </c>
      <c r="H37" s="203">
        <f t="shared" ref="H37:H40" si="44">SUM(F37:G37)</f>
        <v>876</v>
      </c>
      <c r="I37" s="203">
        <f t="shared" ref="I37:I40" si="45">H37*D37</f>
        <v>60600.804000000004</v>
      </c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310">
        <f t="shared" ref="Y37:Y41" si="46">SUM(AI37:AP37)</f>
        <v>0</v>
      </c>
      <c r="Z37" s="311">
        <f t="shared" ref="Z37:Z41" si="47">D37*AG37</f>
        <v>20.753699999999998</v>
      </c>
      <c r="AA37" s="311">
        <f t="shared" ref="AA37:AA41" si="48">SUM(Y37:Z37)</f>
        <v>20.753699999999998</v>
      </c>
      <c r="AB37" s="167">
        <f t="shared" ref="AB37:AB41" si="49">D37-AA37</f>
        <v>48.425300000000007</v>
      </c>
      <c r="AC37" s="167">
        <f t="shared" ref="AC37:AC41" si="50">SUM(AR36:AY36)</f>
        <v>0</v>
      </c>
      <c r="AD37" s="167">
        <f t="shared" ref="AD37:AD41" si="51">AG37*I37</f>
        <v>18180.2412</v>
      </c>
      <c r="AE37" s="167">
        <f t="shared" ref="AE37:AE41" si="52">SUM(AC37:AD37)</f>
        <v>18180.2412</v>
      </c>
      <c r="AF37" s="167">
        <f t="shared" ref="AF37:AF41" si="53">I37-AE37</f>
        <v>42420.5628</v>
      </c>
      <c r="AG37" s="168">
        <f t="shared" si="13"/>
        <v>0.3</v>
      </c>
      <c r="AH37" s="137"/>
      <c r="AI37" s="311">
        <v>0</v>
      </c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68">
        <v>0.3</v>
      </c>
      <c r="BB37" s="137"/>
      <c r="BC37" s="168">
        <f t="shared" ref="BC37:BJ37" si="54">SUM(BS36:BZ36)</f>
        <v>0</v>
      </c>
      <c r="BD37" s="168">
        <f t="shared" ref="BD37:BD41" si="55">SUM(BN36:BT36)</f>
        <v>0</v>
      </c>
      <c r="BE37" s="168">
        <f t="shared" si="54"/>
        <v>0</v>
      </c>
      <c r="BF37" s="168">
        <f t="shared" si="54"/>
        <v>0</v>
      </c>
      <c r="BG37" s="168">
        <f t="shared" si="54"/>
        <v>0</v>
      </c>
      <c r="BH37" s="168">
        <f t="shared" si="54"/>
        <v>0</v>
      </c>
      <c r="BI37" s="168">
        <f t="shared" si="54"/>
        <v>0</v>
      </c>
      <c r="BJ37" s="168">
        <f t="shared" si="54"/>
        <v>0</v>
      </c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</row>
    <row r="38" spans="1:73" ht="12.75" customHeight="1" x14ac:dyDescent="0.25">
      <c r="A38" s="200"/>
      <c r="B38" s="291" t="s">
        <v>269</v>
      </c>
      <c r="C38" s="340">
        <v>7.9</v>
      </c>
      <c r="D38" s="203">
        <f t="shared" si="43"/>
        <v>8.6900000000000013</v>
      </c>
      <c r="E38" s="203" t="s">
        <v>6</v>
      </c>
      <c r="F38" s="203">
        <f>'Material and Labor Cost'!$D$23</f>
        <v>330</v>
      </c>
      <c r="G38" s="203">
        <f>'Material and Labor Cost'!$F$23</f>
        <v>165</v>
      </c>
      <c r="H38" s="203">
        <f t="shared" si="44"/>
        <v>495</v>
      </c>
      <c r="I38" s="203">
        <f t="shared" si="45"/>
        <v>4301.55</v>
      </c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310">
        <f t="shared" si="46"/>
        <v>0</v>
      </c>
      <c r="Z38" s="311">
        <f t="shared" si="47"/>
        <v>2.6070000000000002</v>
      </c>
      <c r="AA38" s="311">
        <f t="shared" si="48"/>
        <v>2.6070000000000002</v>
      </c>
      <c r="AB38" s="167">
        <f t="shared" si="49"/>
        <v>6.0830000000000011</v>
      </c>
      <c r="AC38" s="167">
        <f t="shared" si="50"/>
        <v>0</v>
      </c>
      <c r="AD38" s="167">
        <f t="shared" si="51"/>
        <v>1290.4649999999999</v>
      </c>
      <c r="AE38" s="167">
        <f t="shared" si="52"/>
        <v>1290.4649999999999</v>
      </c>
      <c r="AF38" s="167">
        <f t="shared" si="53"/>
        <v>3011.085</v>
      </c>
      <c r="AG38" s="168">
        <f t="shared" si="13"/>
        <v>0.3</v>
      </c>
      <c r="AH38" s="137"/>
      <c r="AI38" s="311">
        <v>0</v>
      </c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68">
        <v>0.3</v>
      </c>
      <c r="BB38" s="137"/>
      <c r="BC38" s="168">
        <f t="shared" ref="BC38:BJ38" si="56">SUM(BS37:BZ37)</f>
        <v>0</v>
      </c>
      <c r="BD38" s="168">
        <f t="shared" si="55"/>
        <v>0</v>
      </c>
      <c r="BE38" s="168">
        <f t="shared" si="56"/>
        <v>0</v>
      </c>
      <c r="BF38" s="168">
        <f t="shared" si="56"/>
        <v>0</v>
      </c>
      <c r="BG38" s="168">
        <f t="shared" si="56"/>
        <v>0</v>
      </c>
      <c r="BH38" s="168">
        <f t="shared" si="56"/>
        <v>0</v>
      </c>
      <c r="BI38" s="168">
        <f t="shared" si="56"/>
        <v>0</v>
      </c>
      <c r="BJ38" s="168">
        <f t="shared" si="56"/>
        <v>0</v>
      </c>
      <c r="BK38" s="137"/>
      <c r="BL38" s="137"/>
      <c r="BM38" s="137"/>
      <c r="BN38" s="137"/>
      <c r="BO38" s="137"/>
      <c r="BP38" s="137"/>
      <c r="BQ38" s="137"/>
      <c r="BR38" s="137"/>
      <c r="BS38" s="137"/>
      <c r="BT38" s="137"/>
      <c r="BU38" s="137"/>
    </row>
    <row r="39" spans="1:73" ht="12.75" customHeight="1" x14ac:dyDescent="0.25">
      <c r="A39" s="200"/>
      <c r="B39" s="200" t="s">
        <v>271</v>
      </c>
      <c r="C39" s="340">
        <v>50.311999999999998</v>
      </c>
      <c r="D39" s="203">
        <f t="shared" si="43"/>
        <v>55.343200000000003</v>
      </c>
      <c r="E39" s="203" t="s">
        <v>6</v>
      </c>
      <c r="F39" s="203">
        <f>'Material and Labor Cost'!$D$25</f>
        <v>555</v>
      </c>
      <c r="G39" s="203">
        <f>'Material and Labor Cost'!$F$25</f>
        <v>275</v>
      </c>
      <c r="H39" s="203">
        <f t="shared" si="44"/>
        <v>830</v>
      </c>
      <c r="I39" s="203">
        <f t="shared" si="45"/>
        <v>45934.856</v>
      </c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310">
        <f t="shared" si="46"/>
        <v>0</v>
      </c>
      <c r="Z39" s="311">
        <f t="shared" si="47"/>
        <v>0</v>
      </c>
      <c r="AA39" s="311">
        <f t="shared" si="48"/>
        <v>0</v>
      </c>
      <c r="AB39" s="167">
        <f t="shared" si="49"/>
        <v>55.343200000000003</v>
      </c>
      <c r="AC39" s="167">
        <f t="shared" si="50"/>
        <v>0</v>
      </c>
      <c r="AD39" s="167">
        <f t="shared" si="51"/>
        <v>0</v>
      </c>
      <c r="AE39" s="167">
        <f t="shared" si="52"/>
        <v>0</v>
      </c>
      <c r="AF39" s="167">
        <f t="shared" si="53"/>
        <v>45934.856</v>
      </c>
      <c r="AG39" s="168">
        <f t="shared" si="13"/>
        <v>0</v>
      </c>
      <c r="AH39" s="137"/>
      <c r="AI39" s="311">
        <v>0</v>
      </c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68">
        <f t="shared" ref="BA39:BA41" si="57">SUM(BK38:BQ38)</f>
        <v>0</v>
      </c>
      <c r="BB39" s="137"/>
      <c r="BC39" s="168">
        <f t="shared" ref="BC39:BJ39" si="58">SUM(BS38:BZ38)</f>
        <v>0</v>
      </c>
      <c r="BD39" s="168">
        <f t="shared" si="55"/>
        <v>0</v>
      </c>
      <c r="BE39" s="168">
        <f t="shared" si="58"/>
        <v>0</v>
      </c>
      <c r="BF39" s="168">
        <f t="shared" si="58"/>
        <v>0</v>
      </c>
      <c r="BG39" s="168">
        <f t="shared" si="58"/>
        <v>0</v>
      </c>
      <c r="BH39" s="168">
        <f t="shared" si="58"/>
        <v>0</v>
      </c>
      <c r="BI39" s="168">
        <f t="shared" si="58"/>
        <v>0</v>
      </c>
      <c r="BJ39" s="168">
        <f t="shared" si="58"/>
        <v>0</v>
      </c>
      <c r="BK39" s="137"/>
      <c r="BL39" s="137"/>
      <c r="BM39" s="137"/>
      <c r="BN39" s="137"/>
      <c r="BO39" s="137"/>
      <c r="BP39" s="137"/>
      <c r="BQ39" s="137"/>
      <c r="BR39" s="137"/>
      <c r="BS39" s="137"/>
      <c r="BT39" s="137"/>
      <c r="BU39" s="137"/>
    </row>
    <row r="40" spans="1:73" ht="12.75" customHeight="1" x14ac:dyDescent="0.25">
      <c r="A40" s="200"/>
      <c r="B40" s="200" t="s">
        <v>278</v>
      </c>
      <c r="C40" s="340">
        <v>1.79</v>
      </c>
      <c r="D40" s="203">
        <f t="shared" si="43"/>
        <v>1.9690000000000003</v>
      </c>
      <c r="E40" s="203" t="s">
        <v>6</v>
      </c>
      <c r="F40" s="203">
        <f>'Material and Labor Cost'!$D$27</f>
        <v>6600.0000000000009</v>
      </c>
      <c r="G40" s="203">
        <f>'Material and Labor Cost'!$F$27</f>
        <v>3300.0000000000005</v>
      </c>
      <c r="H40" s="203">
        <f t="shared" si="44"/>
        <v>9900.0000000000018</v>
      </c>
      <c r="I40" s="203">
        <f t="shared" si="45"/>
        <v>19493.100000000006</v>
      </c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310">
        <f t="shared" si="46"/>
        <v>0</v>
      </c>
      <c r="Z40" s="311">
        <f t="shared" si="47"/>
        <v>0</v>
      </c>
      <c r="AA40" s="311">
        <f t="shared" si="48"/>
        <v>0</v>
      </c>
      <c r="AB40" s="167">
        <f t="shared" si="49"/>
        <v>1.9690000000000003</v>
      </c>
      <c r="AC40" s="167">
        <f t="shared" si="50"/>
        <v>0</v>
      </c>
      <c r="AD40" s="167">
        <f t="shared" si="51"/>
        <v>0</v>
      </c>
      <c r="AE40" s="167">
        <f t="shared" si="52"/>
        <v>0</v>
      </c>
      <c r="AF40" s="167">
        <f t="shared" si="53"/>
        <v>19493.100000000006</v>
      </c>
      <c r="AG40" s="168">
        <f t="shared" si="13"/>
        <v>0</v>
      </c>
      <c r="AH40" s="137"/>
      <c r="AI40" s="311">
        <v>0</v>
      </c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68">
        <f t="shared" si="57"/>
        <v>0</v>
      </c>
      <c r="BB40" s="137"/>
      <c r="BC40" s="168">
        <f t="shared" ref="BC40:BJ40" si="59">SUM(BS39:BZ39)</f>
        <v>0</v>
      </c>
      <c r="BD40" s="168">
        <f t="shared" si="55"/>
        <v>0</v>
      </c>
      <c r="BE40" s="168">
        <f t="shared" si="59"/>
        <v>0</v>
      </c>
      <c r="BF40" s="168">
        <f t="shared" si="59"/>
        <v>0</v>
      </c>
      <c r="BG40" s="168">
        <f t="shared" si="59"/>
        <v>0</v>
      </c>
      <c r="BH40" s="168">
        <f t="shared" si="59"/>
        <v>0</v>
      </c>
      <c r="BI40" s="168">
        <f t="shared" si="59"/>
        <v>0</v>
      </c>
      <c r="BJ40" s="168">
        <f t="shared" si="59"/>
        <v>0</v>
      </c>
      <c r="BK40" s="137"/>
      <c r="BL40" s="137"/>
      <c r="BM40" s="137"/>
      <c r="BN40" s="137"/>
      <c r="BO40" s="137"/>
      <c r="BP40" s="137"/>
      <c r="BQ40" s="137"/>
      <c r="BR40" s="137"/>
      <c r="BS40" s="137"/>
      <c r="BT40" s="137"/>
      <c r="BU40" s="137"/>
    </row>
    <row r="41" spans="1:73" ht="12.75" customHeight="1" x14ac:dyDescent="0.25">
      <c r="A41" s="200"/>
      <c r="B41" s="200" t="s">
        <v>272</v>
      </c>
      <c r="C41" s="340"/>
      <c r="D41" s="203">
        <v>1</v>
      </c>
      <c r="E41" s="203" t="s">
        <v>94</v>
      </c>
      <c r="F41" s="203"/>
      <c r="G41" s="203"/>
      <c r="H41" s="203"/>
      <c r="I41" s="203">
        <f>SUM(I37:I40)*$L$27</f>
        <v>15639.637200000001</v>
      </c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310">
        <f t="shared" si="46"/>
        <v>0</v>
      </c>
      <c r="Z41" s="311">
        <f t="shared" si="47"/>
        <v>0</v>
      </c>
      <c r="AA41" s="311">
        <f t="shared" si="48"/>
        <v>0</v>
      </c>
      <c r="AB41" s="167">
        <f t="shared" si="49"/>
        <v>1</v>
      </c>
      <c r="AC41" s="167">
        <f t="shared" si="50"/>
        <v>0</v>
      </c>
      <c r="AD41" s="167">
        <f t="shared" si="51"/>
        <v>0</v>
      </c>
      <c r="AE41" s="167">
        <f t="shared" si="52"/>
        <v>0</v>
      </c>
      <c r="AF41" s="167">
        <f t="shared" si="53"/>
        <v>15639.637200000001</v>
      </c>
      <c r="AG41" s="168">
        <f t="shared" si="13"/>
        <v>0</v>
      </c>
      <c r="AH41" s="137"/>
      <c r="AI41" s="311">
        <v>0</v>
      </c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68">
        <f t="shared" si="57"/>
        <v>0</v>
      </c>
      <c r="BB41" s="137"/>
      <c r="BC41" s="168">
        <f t="shared" ref="BC41:BJ41" si="60">SUM(BS40:BZ40)</f>
        <v>0</v>
      </c>
      <c r="BD41" s="168">
        <f t="shared" si="55"/>
        <v>0</v>
      </c>
      <c r="BE41" s="168">
        <f t="shared" si="60"/>
        <v>0</v>
      </c>
      <c r="BF41" s="168">
        <f t="shared" si="60"/>
        <v>0</v>
      </c>
      <c r="BG41" s="168">
        <f t="shared" si="60"/>
        <v>0</v>
      </c>
      <c r="BH41" s="168">
        <f t="shared" si="60"/>
        <v>0</v>
      </c>
      <c r="BI41" s="168">
        <f t="shared" si="60"/>
        <v>0</v>
      </c>
      <c r="BJ41" s="168">
        <f t="shared" si="60"/>
        <v>0</v>
      </c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</row>
    <row r="42" spans="1:73" ht="12.75" customHeight="1" x14ac:dyDescent="0.25">
      <c r="A42" s="228"/>
      <c r="B42" s="510" t="s">
        <v>279</v>
      </c>
      <c r="C42" s="501"/>
      <c r="D42" s="501"/>
      <c r="E42" s="501"/>
      <c r="F42" s="501"/>
      <c r="G42" s="501"/>
      <c r="H42" s="502"/>
      <c r="I42" s="229">
        <f>SUM(I37:I41)</f>
        <v>145969.94720000002</v>
      </c>
      <c r="J42" s="230"/>
      <c r="K42" s="230"/>
      <c r="L42" s="230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2"/>
      <c r="Y42" s="307">
        <f t="shared" ref="Y42:AF42" si="61">SUM(Y37:Y41)</f>
        <v>0</v>
      </c>
      <c r="Z42" s="184">
        <f t="shared" si="61"/>
        <v>23.360699999999998</v>
      </c>
      <c r="AA42" s="184">
        <f t="shared" si="61"/>
        <v>23.360699999999998</v>
      </c>
      <c r="AB42" s="235">
        <f t="shared" si="61"/>
        <v>112.82050000000001</v>
      </c>
      <c r="AC42" s="235">
        <f t="shared" si="61"/>
        <v>0</v>
      </c>
      <c r="AD42" s="235">
        <f t="shared" si="61"/>
        <v>19470.706200000001</v>
      </c>
      <c r="AE42" s="235">
        <f t="shared" si="61"/>
        <v>19470.706200000001</v>
      </c>
      <c r="AF42" s="235">
        <f t="shared" si="61"/>
        <v>126499.24100000001</v>
      </c>
      <c r="AG42" s="168">
        <f t="shared" si="13"/>
        <v>0.12</v>
      </c>
      <c r="AH42" s="237"/>
      <c r="AI42" s="184">
        <v>0</v>
      </c>
      <c r="AJ42" s="230"/>
      <c r="AK42" s="230"/>
      <c r="AL42" s="230"/>
      <c r="AM42" s="230"/>
      <c r="AN42" s="230"/>
      <c r="AO42" s="230"/>
      <c r="AP42" s="230"/>
      <c r="AQ42" s="230"/>
      <c r="AR42" s="230"/>
      <c r="AS42" s="230"/>
      <c r="AT42" s="230"/>
      <c r="AU42" s="230"/>
      <c r="AV42" s="230"/>
      <c r="AW42" s="230"/>
      <c r="AX42" s="230"/>
      <c r="AY42" s="230"/>
      <c r="AZ42" s="230"/>
      <c r="BA42" s="308">
        <f>SUM(BA37:BA41)/COUNT(BA37:BA41)</f>
        <v>0.12</v>
      </c>
      <c r="BB42" s="230"/>
      <c r="BC42" s="308">
        <f t="shared" ref="BC42:BJ42" si="62">SUM(BC37:BC41)/COUNT(BC37:BC41)</f>
        <v>0</v>
      </c>
      <c r="BD42" s="308">
        <f>SUM(BD37:BD41)/COUNT(BD37:BD41)</f>
        <v>0</v>
      </c>
      <c r="BE42" s="308">
        <f t="shared" si="62"/>
        <v>0</v>
      </c>
      <c r="BF42" s="308">
        <f t="shared" si="62"/>
        <v>0</v>
      </c>
      <c r="BG42" s="308">
        <f t="shared" si="62"/>
        <v>0</v>
      </c>
      <c r="BH42" s="308">
        <f t="shared" si="62"/>
        <v>0</v>
      </c>
      <c r="BI42" s="308">
        <f t="shared" si="62"/>
        <v>0</v>
      </c>
      <c r="BJ42" s="308">
        <f t="shared" si="62"/>
        <v>0</v>
      </c>
      <c r="BK42" s="230"/>
      <c r="BL42" s="230"/>
      <c r="BM42" s="230"/>
      <c r="BN42" s="230"/>
      <c r="BO42" s="230"/>
      <c r="BP42" s="230"/>
      <c r="BQ42" s="230"/>
      <c r="BR42" s="230"/>
      <c r="BS42" s="230"/>
      <c r="BT42" s="230"/>
      <c r="BU42" s="230"/>
    </row>
    <row r="43" spans="1:73" ht="12.75" customHeight="1" x14ac:dyDescent="0.25">
      <c r="A43" s="200"/>
      <c r="B43" s="339" t="s">
        <v>280</v>
      </c>
      <c r="C43" s="340"/>
      <c r="D43" s="203"/>
      <c r="E43" s="203"/>
      <c r="F43" s="203"/>
      <c r="G43" s="203"/>
      <c r="H43" s="203"/>
      <c r="I43" s="203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310"/>
      <c r="Z43" s="311"/>
      <c r="AA43" s="311"/>
      <c r="AB43" s="167"/>
      <c r="AC43" s="167"/>
      <c r="AD43" s="167"/>
      <c r="AE43" s="167"/>
      <c r="AF43" s="167"/>
      <c r="AG43" s="168">
        <f t="shared" si="13"/>
        <v>0</v>
      </c>
      <c r="AH43" s="137"/>
      <c r="AI43" s="311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137"/>
      <c r="BO43" s="137"/>
      <c r="BP43" s="137"/>
      <c r="BQ43" s="137"/>
      <c r="BR43" s="137"/>
      <c r="BS43" s="137"/>
      <c r="BT43" s="137"/>
      <c r="BU43" s="137"/>
    </row>
    <row r="44" spans="1:73" ht="12.75" customHeight="1" x14ac:dyDescent="0.25">
      <c r="A44" s="200"/>
      <c r="B44" s="291" t="s">
        <v>267</v>
      </c>
      <c r="C44" s="340">
        <v>18.04</v>
      </c>
      <c r="D44" s="203">
        <f t="shared" ref="D44:D47" si="63">C44*$L$23</f>
        <v>19.844000000000001</v>
      </c>
      <c r="E44" s="203" t="s">
        <v>6</v>
      </c>
      <c r="F44" s="203">
        <f>'Material and Labor Cost'!$D$21</f>
        <v>576</v>
      </c>
      <c r="G44" s="203">
        <f>'Material and Labor Cost'!$F$21</f>
        <v>300</v>
      </c>
      <c r="H44" s="203">
        <f t="shared" ref="H44:H47" si="64">SUM(F44:G44)</f>
        <v>876</v>
      </c>
      <c r="I44" s="203">
        <f t="shared" ref="I44:I47" si="65">H44*D44</f>
        <v>17383.344000000001</v>
      </c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310">
        <f t="shared" ref="Y44:Y48" si="66">SUM(AI44:AP44)</f>
        <v>0</v>
      </c>
      <c r="Z44" s="311">
        <f t="shared" ref="Z44:Z48" si="67">D44*AG44</f>
        <v>5.9531999999999998</v>
      </c>
      <c r="AA44" s="311">
        <f t="shared" ref="AA44:AA48" si="68">SUM(Y44:Z44)</f>
        <v>5.9531999999999998</v>
      </c>
      <c r="AB44" s="167">
        <f t="shared" ref="AB44:AB48" si="69">D44-AA44</f>
        <v>13.890800000000002</v>
      </c>
      <c r="AC44" s="167">
        <f t="shared" ref="AC44:AC48" si="70">SUM(AR43:AY43)</f>
        <v>0</v>
      </c>
      <c r="AD44" s="167">
        <f t="shared" ref="AD44:AD48" si="71">AG44*I44</f>
        <v>5215.0032000000001</v>
      </c>
      <c r="AE44" s="167">
        <f t="shared" ref="AE44:AE48" si="72">SUM(AC44:AD44)</f>
        <v>5215.0032000000001</v>
      </c>
      <c r="AF44" s="167">
        <f t="shared" ref="AF44:AF48" si="73">I44-AE44</f>
        <v>12168.340800000002</v>
      </c>
      <c r="AG44" s="168">
        <f t="shared" si="13"/>
        <v>0.3</v>
      </c>
      <c r="AH44" s="137"/>
      <c r="AI44" s="311">
        <v>0</v>
      </c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68">
        <v>0.3</v>
      </c>
      <c r="BB44" s="137"/>
      <c r="BC44" s="168">
        <f t="shared" ref="BC44:BJ44" si="74">SUM(BS43:BZ43)</f>
        <v>0</v>
      </c>
      <c r="BD44" s="168">
        <f t="shared" ref="BD44:BD48" si="75">SUM(BN43:BT43)</f>
        <v>0</v>
      </c>
      <c r="BE44" s="168">
        <f t="shared" si="74"/>
        <v>0</v>
      </c>
      <c r="BF44" s="168">
        <f t="shared" si="74"/>
        <v>0</v>
      </c>
      <c r="BG44" s="168">
        <f t="shared" si="74"/>
        <v>0</v>
      </c>
      <c r="BH44" s="168">
        <f t="shared" si="74"/>
        <v>0</v>
      </c>
      <c r="BI44" s="168">
        <f t="shared" si="74"/>
        <v>0</v>
      </c>
      <c r="BJ44" s="168">
        <f t="shared" si="74"/>
        <v>0</v>
      </c>
      <c r="BK44" s="137"/>
      <c r="BL44" s="137"/>
      <c r="BM44" s="137"/>
      <c r="BN44" s="137"/>
      <c r="BO44" s="137"/>
      <c r="BP44" s="137"/>
      <c r="BQ44" s="137"/>
      <c r="BR44" s="137"/>
      <c r="BS44" s="137"/>
      <c r="BT44" s="137"/>
      <c r="BU44" s="137"/>
    </row>
    <row r="45" spans="1:73" ht="12.75" customHeight="1" x14ac:dyDescent="0.25">
      <c r="A45" s="200"/>
      <c r="B45" s="291" t="s">
        <v>269</v>
      </c>
      <c r="C45" s="340">
        <v>2.6</v>
      </c>
      <c r="D45" s="203">
        <f t="shared" si="63"/>
        <v>2.8600000000000003</v>
      </c>
      <c r="E45" s="203" t="s">
        <v>6</v>
      </c>
      <c r="F45" s="203">
        <f>'Material and Labor Cost'!$D$23</f>
        <v>330</v>
      </c>
      <c r="G45" s="203">
        <f>'Material and Labor Cost'!$F$23</f>
        <v>165</v>
      </c>
      <c r="H45" s="203">
        <f t="shared" si="64"/>
        <v>495</v>
      </c>
      <c r="I45" s="203">
        <f t="shared" si="65"/>
        <v>1415.7</v>
      </c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310">
        <f t="shared" si="66"/>
        <v>0</v>
      </c>
      <c r="Z45" s="311">
        <f t="shared" si="67"/>
        <v>0.8580000000000001</v>
      </c>
      <c r="AA45" s="311">
        <f t="shared" si="68"/>
        <v>0.8580000000000001</v>
      </c>
      <c r="AB45" s="167">
        <f t="shared" si="69"/>
        <v>2.0020000000000002</v>
      </c>
      <c r="AC45" s="167">
        <f t="shared" si="70"/>
        <v>0</v>
      </c>
      <c r="AD45" s="167">
        <f t="shared" si="71"/>
        <v>424.71</v>
      </c>
      <c r="AE45" s="167">
        <f t="shared" si="72"/>
        <v>424.71</v>
      </c>
      <c r="AF45" s="167">
        <f t="shared" si="73"/>
        <v>990.99</v>
      </c>
      <c r="AG45" s="168">
        <f t="shared" si="13"/>
        <v>0.3</v>
      </c>
      <c r="AH45" s="137"/>
      <c r="AI45" s="311">
        <v>0</v>
      </c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68">
        <v>0.3</v>
      </c>
      <c r="BB45" s="137"/>
      <c r="BC45" s="168">
        <f t="shared" ref="BC45:BJ45" si="76">SUM(BS44:BZ44)</f>
        <v>0</v>
      </c>
      <c r="BD45" s="168">
        <f t="shared" si="75"/>
        <v>0</v>
      </c>
      <c r="BE45" s="168">
        <f t="shared" si="76"/>
        <v>0</v>
      </c>
      <c r="BF45" s="168">
        <f t="shared" si="76"/>
        <v>0</v>
      </c>
      <c r="BG45" s="168">
        <f t="shared" si="76"/>
        <v>0</v>
      </c>
      <c r="BH45" s="168">
        <f t="shared" si="76"/>
        <v>0</v>
      </c>
      <c r="BI45" s="168">
        <f t="shared" si="76"/>
        <v>0</v>
      </c>
      <c r="BJ45" s="168">
        <f t="shared" si="76"/>
        <v>0</v>
      </c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</row>
    <row r="46" spans="1:73" ht="12.75" customHeight="1" x14ac:dyDescent="0.25">
      <c r="A46" s="200"/>
      <c r="B46" s="200" t="s">
        <v>271</v>
      </c>
      <c r="C46" s="340">
        <f>C44-C45</f>
        <v>15.44</v>
      </c>
      <c r="D46" s="203">
        <f t="shared" si="63"/>
        <v>16.984000000000002</v>
      </c>
      <c r="E46" s="203" t="s">
        <v>6</v>
      </c>
      <c r="F46" s="203">
        <f>'Material and Labor Cost'!$D$25</f>
        <v>555</v>
      </c>
      <c r="G46" s="203">
        <f>'Material and Labor Cost'!$F$25</f>
        <v>275</v>
      </c>
      <c r="H46" s="203">
        <f t="shared" si="64"/>
        <v>830</v>
      </c>
      <c r="I46" s="203">
        <f t="shared" si="65"/>
        <v>14096.720000000001</v>
      </c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310">
        <f t="shared" si="66"/>
        <v>0</v>
      </c>
      <c r="Z46" s="311">
        <f t="shared" si="67"/>
        <v>0</v>
      </c>
      <c r="AA46" s="311">
        <f t="shared" si="68"/>
        <v>0</v>
      </c>
      <c r="AB46" s="167">
        <f t="shared" si="69"/>
        <v>16.984000000000002</v>
      </c>
      <c r="AC46" s="167">
        <f t="shared" si="70"/>
        <v>0</v>
      </c>
      <c r="AD46" s="167">
        <f t="shared" si="71"/>
        <v>0</v>
      </c>
      <c r="AE46" s="167">
        <f t="shared" si="72"/>
        <v>0</v>
      </c>
      <c r="AF46" s="167">
        <f t="shared" si="73"/>
        <v>14096.720000000001</v>
      </c>
      <c r="AG46" s="168">
        <f t="shared" si="13"/>
        <v>0</v>
      </c>
      <c r="AH46" s="137"/>
      <c r="AI46" s="311">
        <v>0</v>
      </c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68">
        <f t="shared" ref="BA46:BA48" si="77">SUM(BK45:BQ45)</f>
        <v>0</v>
      </c>
      <c r="BB46" s="137"/>
      <c r="BC46" s="168">
        <f t="shared" ref="BC46:BJ46" si="78">SUM(BS45:BZ45)</f>
        <v>0</v>
      </c>
      <c r="BD46" s="168">
        <f t="shared" si="75"/>
        <v>0</v>
      </c>
      <c r="BE46" s="168">
        <f t="shared" si="78"/>
        <v>0</v>
      </c>
      <c r="BF46" s="168">
        <f t="shared" si="78"/>
        <v>0</v>
      </c>
      <c r="BG46" s="168">
        <f t="shared" si="78"/>
        <v>0</v>
      </c>
      <c r="BH46" s="168">
        <f t="shared" si="78"/>
        <v>0</v>
      </c>
      <c r="BI46" s="168">
        <f t="shared" si="78"/>
        <v>0</v>
      </c>
      <c r="BJ46" s="168">
        <f t="shared" si="78"/>
        <v>0</v>
      </c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</row>
    <row r="47" spans="1:73" ht="12.75" customHeight="1" x14ac:dyDescent="0.25">
      <c r="A47" s="200"/>
      <c r="B47" s="200" t="s">
        <v>278</v>
      </c>
      <c r="C47" s="340">
        <v>5.4</v>
      </c>
      <c r="D47" s="203">
        <f t="shared" si="63"/>
        <v>5.9400000000000013</v>
      </c>
      <c r="E47" s="203" t="s">
        <v>6</v>
      </c>
      <c r="F47" s="203">
        <f>'Material and Labor Cost'!$D$27</f>
        <v>6600.0000000000009</v>
      </c>
      <c r="G47" s="203">
        <f>'Material and Labor Cost'!$F$27</f>
        <v>3300.0000000000005</v>
      </c>
      <c r="H47" s="203">
        <f t="shared" si="64"/>
        <v>9900.0000000000018</v>
      </c>
      <c r="I47" s="203">
        <f t="shared" si="65"/>
        <v>58806.000000000022</v>
      </c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310">
        <f t="shared" si="66"/>
        <v>0</v>
      </c>
      <c r="Z47" s="311">
        <f t="shared" si="67"/>
        <v>0</v>
      </c>
      <c r="AA47" s="311">
        <f t="shared" si="68"/>
        <v>0</v>
      </c>
      <c r="AB47" s="167">
        <f t="shared" si="69"/>
        <v>5.9400000000000013</v>
      </c>
      <c r="AC47" s="167">
        <f t="shared" si="70"/>
        <v>0</v>
      </c>
      <c r="AD47" s="167">
        <f t="shared" si="71"/>
        <v>0</v>
      </c>
      <c r="AE47" s="167">
        <f t="shared" si="72"/>
        <v>0</v>
      </c>
      <c r="AF47" s="167">
        <f t="shared" si="73"/>
        <v>58806.000000000022</v>
      </c>
      <c r="AG47" s="168">
        <f t="shared" si="13"/>
        <v>0</v>
      </c>
      <c r="AH47" s="137"/>
      <c r="AI47" s="311">
        <v>0</v>
      </c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68">
        <f t="shared" si="77"/>
        <v>0</v>
      </c>
      <c r="BB47" s="137"/>
      <c r="BC47" s="168">
        <f t="shared" ref="BC47:BJ47" si="79">SUM(BS46:BZ46)</f>
        <v>0</v>
      </c>
      <c r="BD47" s="168">
        <f t="shared" si="75"/>
        <v>0</v>
      </c>
      <c r="BE47" s="168">
        <f t="shared" si="79"/>
        <v>0</v>
      </c>
      <c r="BF47" s="168">
        <f t="shared" si="79"/>
        <v>0</v>
      </c>
      <c r="BG47" s="168">
        <f t="shared" si="79"/>
        <v>0</v>
      </c>
      <c r="BH47" s="168">
        <f t="shared" si="79"/>
        <v>0</v>
      </c>
      <c r="BI47" s="168">
        <f t="shared" si="79"/>
        <v>0</v>
      </c>
      <c r="BJ47" s="168">
        <f t="shared" si="79"/>
        <v>0</v>
      </c>
      <c r="BK47" s="137"/>
      <c r="BL47" s="137"/>
      <c r="BM47" s="137"/>
      <c r="BN47" s="137"/>
      <c r="BO47" s="137"/>
      <c r="BP47" s="137"/>
      <c r="BQ47" s="137"/>
      <c r="BR47" s="137"/>
      <c r="BS47" s="137"/>
      <c r="BT47" s="137"/>
      <c r="BU47" s="137"/>
    </row>
    <row r="48" spans="1:73" ht="12.75" customHeight="1" x14ac:dyDescent="0.25">
      <c r="A48" s="200"/>
      <c r="B48" s="200" t="s">
        <v>272</v>
      </c>
      <c r="C48" s="340"/>
      <c r="D48" s="203">
        <v>1</v>
      </c>
      <c r="E48" s="203" t="s">
        <v>94</v>
      </c>
      <c r="F48" s="203"/>
      <c r="G48" s="203"/>
      <c r="H48" s="203"/>
      <c r="I48" s="203">
        <f>SUM(I44:I47)*$L$27</f>
        <v>11004.211680000002</v>
      </c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310">
        <f t="shared" si="66"/>
        <v>0</v>
      </c>
      <c r="Z48" s="311">
        <f t="shared" si="67"/>
        <v>0</v>
      </c>
      <c r="AA48" s="311">
        <f t="shared" si="68"/>
        <v>0</v>
      </c>
      <c r="AB48" s="167">
        <f t="shared" si="69"/>
        <v>1</v>
      </c>
      <c r="AC48" s="167">
        <f t="shared" si="70"/>
        <v>0</v>
      </c>
      <c r="AD48" s="167">
        <f t="shared" si="71"/>
        <v>0</v>
      </c>
      <c r="AE48" s="167">
        <f t="shared" si="72"/>
        <v>0</v>
      </c>
      <c r="AF48" s="167">
        <f t="shared" si="73"/>
        <v>11004.211680000002</v>
      </c>
      <c r="AG48" s="168">
        <f t="shared" si="13"/>
        <v>0</v>
      </c>
      <c r="AH48" s="137"/>
      <c r="AI48" s="311">
        <v>0</v>
      </c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68">
        <f t="shared" si="77"/>
        <v>0</v>
      </c>
      <c r="BB48" s="137"/>
      <c r="BC48" s="168">
        <f t="shared" ref="BC48:BJ48" si="80">SUM(BS47:BZ47)</f>
        <v>0</v>
      </c>
      <c r="BD48" s="168">
        <f t="shared" si="75"/>
        <v>0</v>
      </c>
      <c r="BE48" s="168">
        <f t="shared" si="80"/>
        <v>0</v>
      </c>
      <c r="BF48" s="168">
        <f t="shared" si="80"/>
        <v>0</v>
      </c>
      <c r="BG48" s="168">
        <f t="shared" si="80"/>
        <v>0</v>
      </c>
      <c r="BH48" s="168">
        <f t="shared" si="80"/>
        <v>0</v>
      </c>
      <c r="BI48" s="168">
        <f t="shared" si="80"/>
        <v>0</v>
      </c>
      <c r="BJ48" s="168">
        <f t="shared" si="80"/>
        <v>0</v>
      </c>
      <c r="BK48" s="137"/>
      <c r="BL48" s="137"/>
      <c r="BM48" s="137"/>
      <c r="BN48" s="137"/>
      <c r="BO48" s="137"/>
      <c r="BP48" s="137"/>
      <c r="BQ48" s="137"/>
      <c r="BR48" s="137"/>
      <c r="BS48" s="137"/>
      <c r="BT48" s="137"/>
      <c r="BU48" s="137"/>
    </row>
    <row r="49" spans="1:73" ht="12.75" customHeight="1" x14ac:dyDescent="0.25">
      <c r="A49" s="228"/>
      <c r="B49" s="510" t="s">
        <v>281</v>
      </c>
      <c r="C49" s="501"/>
      <c r="D49" s="501"/>
      <c r="E49" s="501"/>
      <c r="F49" s="501"/>
      <c r="G49" s="501"/>
      <c r="H49" s="502"/>
      <c r="I49" s="229">
        <f>SUM(I44:I48)</f>
        <v>102705.97568000003</v>
      </c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2"/>
      <c r="Y49" s="307">
        <f t="shared" ref="Y49:AF49" si="81">SUM(Y44:Y48)</f>
        <v>0</v>
      </c>
      <c r="Z49" s="184">
        <f t="shared" si="81"/>
        <v>6.8111999999999995</v>
      </c>
      <c r="AA49" s="184">
        <f t="shared" si="81"/>
        <v>6.8111999999999995</v>
      </c>
      <c r="AB49" s="235">
        <f t="shared" si="81"/>
        <v>39.816800000000001</v>
      </c>
      <c r="AC49" s="235">
        <f t="shared" si="81"/>
        <v>0</v>
      </c>
      <c r="AD49" s="235">
        <f t="shared" si="81"/>
        <v>5639.7132000000001</v>
      </c>
      <c r="AE49" s="235">
        <f t="shared" si="81"/>
        <v>5639.7132000000001</v>
      </c>
      <c r="AF49" s="235">
        <f t="shared" si="81"/>
        <v>97066.262480000034</v>
      </c>
      <c r="AG49" s="168">
        <f t="shared" si="13"/>
        <v>0.12</v>
      </c>
      <c r="AH49" s="237"/>
      <c r="AI49" s="184">
        <v>0</v>
      </c>
      <c r="AJ49" s="230"/>
      <c r="AK49" s="230"/>
      <c r="AL49" s="230"/>
      <c r="AM49" s="230"/>
      <c r="AN49" s="230"/>
      <c r="AO49" s="230"/>
      <c r="AP49" s="230"/>
      <c r="AQ49" s="230"/>
      <c r="AR49" s="230"/>
      <c r="AS49" s="230"/>
      <c r="AT49" s="230"/>
      <c r="AU49" s="230"/>
      <c r="AV49" s="230"/>
      <c r="AW49" s="230"/>
      <c r="AX49" s="230"/>
      <c r="AY49" s="230"/>
      <c r="AZ49" s="230"/>
      <c r="BA49" s="308">
        <f>SUM(BA44:BA48)/COUNT(BA44:BA48)</f>
        <v>0.12</v>
      </c>
      <c r="BB49" s="230"/>
      <c r="BC49" s="308">
        <f t="shared" ref="BC49:BJ49" si="82">SUM(BC44:BC48)/COUNT(BC44:BC48)</f>
        <v>0</v>
      </c>
      <c r="BD49" s="308">
        <f>SUM(BD44:BD48)/COUNT(BD44:BD48)</f>
        <v>0</v>
      </c>
      <c r="BE49" s="308">
        <f t="shared" si="82"/>
        <v>0</v>
      </c>
      <c r="BF49" s="308">
        <f t="shared" si="82"/>
        <v>0</v>
      </c>
      <c r="BG49" s="308">
        <f t="shared" si="82"/>
        <v>0</v>
      </c>
      <c r="BH49" s="308">
        <f t="shared" si="82"/>
        <v>0</v>
      </c>
      <c r="BI49" s="308">
        <f t="shared" si="82"/>
        <v>0</v>
      </c>
      <c r="BJ49" s="308">
        <f t="shared" si="82"/>
        <v>0</v>
      </c>
      <c r="BK49" s="230"/>
      <c r="BL49" s="230"/>
      <c r="BM49" s="230"/>
      <c r="BN49" s="230"/>
      <c r="BO49" s="230"/>
      <c r="BP49" s="230"/>
      <c r="BQ49" s="230"/>
      <c r="BR49" s="230"/>
      <c r="BS49" s="230"/>
      <c r="BT49" s="230"/>
      <c r="BU49" s="230"/>
    </row>
    <row r="50" spans="1:73" ht="12.75" customHeight="1" x14ac:dyDescent="0.25">
      <c r="A50" s="200"/>
      <c r="B50" s="339" t="s">
        <v>282</v>
      </c>
      <c r="C50" s="340"/>
      <c r="D50" s="203"/>
      <c r="E50" s="203"/>
      <c r="F50" s="203"/>
      <c r="G50" s="203"/>
      <c r="H50" s="203"/>
      <c r="I50" s="203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310"/>
      <c r="Z50" s="311"/>
      <c r="AA50" s="311"/>
      <c r="AB50" s="167"/>
      <c r="AC50" s="167"/>
      <c r="AD50" s="167"/>
      <c r="AE50" s="167"/>
      <c r="AF50" s="167"/>
      <c r="AG50" s="168">
        <f t="shared" si="13"/>
        <v>0</v>
      </c>
      <c r="AH50" s="137"/>
      <c r="AI50" s="311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</row>
    <row r="51" spans="1:73" ht="12.75" customHeight="1" x14ac:dyDescent="0.25">
      <c r="A51" s="200"/>
      <c r="B51" s="291" t="s">
        <v>267</v>
      </c>
      <c r="C51" s="340">
        <v>4.46</v>
      </c>
      <c r="D51" s="203">
        <f t="shared" ref="D51:D54" si="83">C51*$L$23</f>
        <v>4.9060000000000006</v>
      </c>
      <c r="E51" s="203" t="s">
        <v>6</v>
      </c>
      <c r="F51" s="203">
        <f>'Material and Labor Cost'!$D$21</f>
        <v>576</v>
      </c>
      <c r="G51" s="203">
        <f>'Material and Labor Cost'!$F$21</f>
        <v>300</v>
      </c>
      <c r="H51" s="203">
        <f t="shared" ref="H51:H54" si="84">SUM(F51:G51)</f>
        <v>876</v>
      </c>
      <c r="I51" s="203">
        <f t="shared" ref="I51:I54" si="85">H51*D51</f>
        <v>4297.6560000000009</v>
      </c>
      <c r="J51" s="137"/>
      <c r="K51" s="137"/>
      <c r="L51" s="141" t="s">
        <v>121</v>
      </c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310">
        <f t="shared" ref="Y51:Y55" si="86">SUM(AI51:AP51)</f>
        <v>0</v>
      </c>
      <c r="Z51" s="311">
        <f t="shared" ref="Z51:Z55" si="87">D51*AG51</f>
        <v>3.9248000000000007</v>
      </c>
      <c r="AA51" s="311">
        <f t="shared" ref="AA51:AA55" si="88">SUM(Y51:Z51)</f>
        <v>3.9248000000000007</v>
      </c>
      <c r="AB51" s="167">
        <f t="shared" ref="AB51:AB55" si="89">D51-AA51</f>
        <v>0.98119999999999985</v>
      </c>
      <c r="AC51" s="167">
        <f t="shared" ref="AC51:AC55" si="90">SUM(AR50:AY50)</f>
        <v>0</v>
      </c>
      <c r="AD51" s="167">
        <f t="shared" ref="AD51:AD55" si="91">AG51*I51</f>
        <v>3438.124800000001</v>
      </c>
      <c r="AE51" s="167">
        <f t="shared" ref="AE51:AE55" si="92">SUM(AC51:AD51)</f>
        <v>3438.124800000001</v>
      </c>
      <c r="AF51" s="167">
        <f t="shared" ref="AF51:AF55" si="93">I51-AE51</f>
        <v>859.5311999999999</v>
      </c>
      <c r="AG51" s="168">
        <f t="shared" si="13"/>
        <v>0.8</v>
      </c>
      <c r="AH51" s="137"/>
      <c r="AI51" s="311">
        <v>0</v>
      </c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68">
        <v>0.8</v>
      </c>
      <c r="BB51" s="137"/>
      <c r="BC51" s="168">
        <f t="shared" ref="BC51:BJ51" si="94">SUM(BS50:BZ50)</f>
        <v>0</v>
      </c>
      <c r="BD51" s="168">
        <f t="shared" ref="BD51:BD55" si="95">SUM(BN50:BT50)</f>
        <v>0</v>
      </c>
      <c r="BE51" s="168">
        <f t="shared" si="94"/>
        <v>0</v>
      </c>
      <c r="BF51" s="168">
        <f t="shared" si="94"/>
        <v>0</v>
      </c>
      <c r="BG51" s="168">
        <f t="shared" si="94"/>
        <v>0</v>
      </c>
      <c r="BH51" s="168">
        <f t="shared" si="94"/>
        <v>0</v>
      </c>
      <c r="BI51" s="168">
        <f t="shared" si="94"/>
        <v>0</v>
      </c>
      <c r="BJ51" s="168">
        <f t="shared" si="94"/>
        <v>0</v>
      </c>
      <c r="BK51" s="137"/>
      <c r="BL51" s="137"/>
      <c r="BM51" s="137"/>
      <c r="BN51" s="137"/>
      <c r="BO51" s="137"/>
      <c r="BP51" s="137"/>
      <c r="BQ51" s="137"/>
      <c r="BR51" s="137"/>
      <c r="BS51" s="137"/>
      <c r="BT51" s="137"/>
      <c r="BU51" s="137"/>
    </row>
    <row r="52" spans="1:73" ht="12.75" customHeight="1" x14ac:dyDescent="0.25">
      <c r="A52" s="200"/>
      <c r="B52" s="291" t="s">
        <v>269</v>
      </c>
      <c r="C52" s="340">
        <v>0.6</v>
      </c>
      <c r="D52" s="203">
        <f t="shared" si="83"/>
        <v>0.66</v>
      </c>
      <c r="E52" s="203" t="s">
        <v>6</v>
      </c>
      <c r="F52" s="203">
        <f>'Material and Labor Cost'!$D$23</f>
        <v>330</v>
      </c>
      <c r="G52" s="203">
        <f>'Material and Labor Cost'!$F$23</f>
        <v>165</v>
      </c>
      <c r="H52" s="203">
        <f t="shared" si="84"/>
        <v>495</v>
      </c>
      <c r="I52" s="203">
        <f t="shared" si="85"/>
        <v>326.7</v>
      </c>
      <c r="J52" s="137"/>
      <c r="K52" s="137"/>
      <c r="L52" s="206">
        <v>0.4</v>
      </c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310">
        <f t="shared" si="86"/>
        <v>0</v>
      </c>
      <c r="Z52" s="311">
        <f t="shared" si="87"/>
        <v>0.52800000000000002</v>
      </c>
      <c r="AA52" s="311">
        <f t="shared" si="88"/>
        <v>0.52800000000000002</v>
      </c>
      <c r="AB52" s="167">
        <f t="shared" si="89"/>
        <v>0.13200000000000001</v>
      </c>
      <c r="AC52" s="167">
        <f t="shared" si="90"/>
        <v>0</v>
      </c>
      <c r="AD52" s="167">
        <f t="shared" si="91"/>
        <v>261.36</v>
      </c>
      <c r="AE52" s="167">
        <f t="shared" si="92"/>
        <v>261.36</v>
      </c>
      <c r="AF52" s="167">
        <f t="shared" si="93"/>
        <v>65.339999999999975</v>
      </c>
      <c r="AG52" s="168">
        <f t="shared" si="13"/>
        <v>0.8</v>
      </c>
      <c r="AH52" s="137"/>
      <c r="AI52" s="311">
        <v>0</v>
      </c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68">
        <v>0.8</v>
      </c>
      <c r="BB52" s="137"/>
      <c r="BC52" s="168">
        <f t="shared" ref="BC52:BJ52" si="96">SUM(BS51:BZ51)</f>
        <v>0</v>
      </c>
      <c r="BD52" s="168">
        <f t="shared" si="95"/>
        <v>0</v>
      </c>
      <c r="BE52" s="168">
        <f t="shared" si="96"/>
        <v>0</v>
      </c>
      <c r="BF52" s="168">
        <f t="shared" si="96"/>
        <v>0</v>
      </c>
      <c r="BG52" s="168">
        <f t="shared" si="96"/>
        <v>0</v>
      </c>
      <c r="BH52" s="168">
        <f t="shared" si="96"/>
        <v>0</v>
      </c>
      <c r="BI52" s="168">
        <f t="shared" si="96"/>
        <v>0</v>
      </c>
      <c r="BJ52" s="168">
        <f t="shared" si="96"/>
        <v>0</v>
      </c>
      <c r="BK52" s="137"/>
      <c r="BL52" s="137"/>
      <c r="BM52" s="137"/>
      <c r="BN52" s="137"/>
      <c r="BO52" s="137"/>
      <c r="BP52" s="137"/>
      <c r="BQ52" s="137"/>
      <c r="BR52" s="137"/>
      <c r="BS52" s="137"/>
      <c r="BT52" s="137"/>
      <c r="BU52" s="137"/>
    </row>
    <row r="53" spans="1:73" ht="12.75" customHeight="1" x14ac:dyDescent="0.25">
      <c r="A53" s="200"/>
      <c r="B53" s="200" t="s">
        <v>275</v>
      </c>
      <c r="C53" s="340">
        <v>3.56</v>
      </c>
      <c r="D53" s="203">
        <f t="shared" si="83"/>
        <v>3.9160000000000004</v>
      </c>
      <c r="E53" s="203" t="s">
        <v>6</v>
      </c>
      <c r="F53" s="203">
        <f>'Material and Labor Cost'!$D$25</f>
        <v>555</v>
      </c>
      <c r="G53" s="203">
        <f>'Material and Labor Cost'!$F$25</f>
        <v>275</v>
      </c>
      <c r="H53" s="203">
        <f t="shared" si="84"/>
        <v>830</v>
      </c>
      <c r="I53" s="203">
        <f t="shared" si="85"/>
        <v>3250.28</v>
      </c>
      <c r="J53" s="137"/>
      <c r="K53" s="137"/>
      <c r="L53" s="206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310">
        <f t="shared" si="86"/>
        <v>0</v>
      </c>
      <c r="Z53" s="311">
        <f t="shared" si="87"/>
        <v>0.78320000000000012</v>
      </c>
      <c r="AA53" s="311">
        <f t="shared" si="88"/>
        <v>0.78320000000000012</v>
      </c>
      <c r="AB53" s="167">
        <f t="shared" si="89"/>
        <v>3.1328000000000005</v>
      </c>
      <c r="AC53" s="167">
        <f t="shared" si="90"/>
        <v>0</v>
      </c>
      <c r="AD53" s="167">
        <f t="shared" si="91"/>
        <v>650.05600000000004</v>
      </c>
      <c r="AE53" s="167">
        <f t="shared" si="92"/>
        <v>650.05600000000004</v>
      </c>
      <c r="AF53" s="167">
        <f t="shared" si="93"/>
        <v>2600.2240000000002</v>
      </c>
      <c r="AG53" s="168">
        <f t="shared" si="13"/>
        <v>0.2</v>
      </c>
      <c r="AH53" s="137"/>
      <c r="AI53" s="311">
        <v>0</v>
      </c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68">
        <v>0.2</v>
      </c>
      <c r="BB53" s="137"/>
      <c r="BC53" s="168">
        <f t="shared" ref="BC53:BJ53" si="97">SUM(BS52:BZ52)</f>
        <v>0</v>
      </c>
      <c r="BD53" s="168">
        <f t="shared" si="95"/>
        <v>0</v>
      </c>
      <c r="BE53" s="168">
        <f t="shared" si="97"/>
        <v>0</v>
      </c>
      <c r="BF53" s="168">
        <f t="shared" si="97"/>
        <v>0</v>
      </c>
      <c r="BG53" s="168">
        <f t="shared" si="97"/>
        <v>0</v>
      </c>
      <c r="BH53" s="168">
        <f t="shared" si="97"/>
        <v>0</v>
      </c>
      <c r="BI53" s="168">
        <f t="shared" si="97"/>
        <v>0</v>
      </c>
      <c r="BJ53" s="168">
        <f t="shared" si="97"/>
        <v>0</v>
      </c>
      <c r="BK53" s="137"/>
      <c r="BL53" s="137"/>
      <c r="BM53" s="137"/>
      <c r="BN53" s="137"/>
      <c r="BO53" s="137"/>
      <c r="BP53" s="137"/>
      <c r="BQ53" s="137"/>
      <c r="BR53" s="137"/>
      <c r="BS53" s="137"/>
      <c r="BT53" s="137"/>
      <c r="BU53" s="137"/>
    </row>
    <row r="54" spans="1:73" ht="12.75" customHeight="1" x14ac:dyDescent="0.25">
      <c r="A54" s="200"/>
      <c r="B54" s="200" t="s">
        <v>278</v>
      </c>
      <c r="C54" s="340">
        <v>0.45</v>
      </c>
      <c r="D54" s="203">
        <f t="shared" si="83"/>
        <v>0.49500000000000005</v>
      </c>
      <c r="E54" s="203" t="s">
        <v>6</v>
      </c>
      <c r="F54" s="203">
        <f>'Material and Labor Cost'!$D$27</f>
        <v>6600.0000000000009</v>
      </c>
      <c r="G54" s="203">
        <f>'Material and Labor Cost'!$F$27</f>
        <v>3300.0000000000005</v>
      </c>
      <c r="H54" s="203">
        <f t="shared" si="84"/>
        <v>9900.0000000000018</v>
      </c>
      <c r="I54" s="203">
        <f t="shared" si="85"/>
        <v>4900.5000000000018</v>
      </c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310">
        <f t="shared" si="86"/>
        <v>0</v>
      </c>
      <c r="Z54" s="311">
        <f t="shared" si="87"/>
        <v>9.9000000000000019E-2</v>
      </c>
      <c r="AA54" s="311">
        <f t="shared" si="88"/>
        <v>9.9000000000000019E-2</v>
      </c>
      <c r="AB54" s="167">
        <f t="shared" si="89"/>
        <v>0.39600000000000002</v>
      </c>
      <c r="AC54" s="167">
        <f t="shared" si="90"/>
        <v>0</v>
      </c>
      <c r="AD54" s="167">
        <f t="shared" si="91"/>
        <v>980.10000000000036</v>
      </c>
      <c r="AE54" s="167">
        <f t="shared" si="92"/>
        <v>980.10000000000036</v>
      </c>
      <c r="AF54" s="167">
        <f t="shared" si="93"/>
        <v>3920.4000000000015</v>
      </c>
      <c r="AG54" s="168">
        <f t="shared" si="13"/>
        <v>0.2</v>
      </c>
      <c r="AH54" s="137"/>
      <c r="AI54" s="311">
        <v>0</v>
      </c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68">
        <v>0.2</v>
      </c>
      <c r="BB54" s="137"/>
      <c r="BC54" s="168">
        <f t="shared" ref="BC54:BJ54" si="98">SUM(BS53:BZ53)</f>
        <v>0</v>
      </c>
      <c r="BD54" s="168">
        <f t="shared" si="95"/>
        <v>0</v>
      </c>
      <c r="BE54" s="168">
        <f t="shared" si="98"/>
        <v>0</v>
      </c>
      <c r="BF54" s="168">
        <f t="shared" si="98"/>
        <v>0</v>
      </c>
      <c r="BG54" s="168">
        <f t="shared" si="98"/>
        <v>0</v>
      </c>
      <c r="BH54" s="168">
        <f t="shared" si="98"/>
        <v>0</v>
      </c>
      <c r="BI54" s="168">
        <f t="shared" si="98"/>
        <v>0</v>
      </c>
      <c r="BJ54" s="168">
        <f t="shared" si="98"/>
        <v>0</v>
      </c>
      <c r="BK54" s="137"/>
      <c r="BL54" s="137"/>
      <c r="BM54" s="137"/>
      <c r="BN54" s="137"/>
      <c r="BO54" s="137"/>
      <c r="BP54" s="137"/>
      <c r="BQ54" s="137"/>
      <c r="BR54" s="137"/>
      <c r="BS54" s="137"/>
      <c r="BT54" s="137"/>
      <c r="BU54" s="137"/>
    </row>
    <row r="55" spans="1:73" ht="12.75" customHeight="1" x14ac:dyDescent="0.25">
      <c r="A55" s="200"/>
      <c r="B55" s="200" t="s">
        <v>272</v>
      </c>
      <c r="C55" s="340"/>
      <c r="D55" s="203">
        <v>1</v>
      </c>
      <c r="E55" s="203" t="s">
        <v>94</v>
      </c>
      <c r="F55" s="203"/>
      <c r="G55" s="203"/>
      <c r="H55" s="203"/>
      <c r="I55" s="203">
        <f>SUM(I51:I54)*$L$52</f>
        <v>5110.0544000000009</v>
      </c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310">
        <f t="shared" si="86"/>
        <v>0</v>
      </c>
      <c r="Z55" s="311">
        <f t="shared" si="87"/>
        <v>0.6</v>
      </c>
      <c r="AA55" s="311">
        <f t="shared" si="88"/>
        <v>0.6</v>
      </c>
      <c r="AB55" s="167">
        <f t="shared" si="89"/>
        <v>0.4</v>
      </c>
      <c r="AC55" s="167">
        <f t="shared" si="90"/>
        <v>0</v>
      </c>
      <c r="AD55" s="167">
        <f t="shared" si="91"/>
        <v>3066.0326400000004</v>
      </c>
      <c r="AE55" s="167">
        <f t="shared" si="92"/>
        <v>3066.0326400000004</v>
      </c>
      <c r="AF55" s="167">
        <f t="shared" si="93"/>
        <v>2044.0217600000005</v>
      </c>
      <c r="AG55" s="168">
        <f t="shared" si="13"/>
        <v>0.6</v>
      </c>
      <c r="AH55" s="137"/>
      <c r="AI55" s="311">
        <v>0</v>
      </c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68">
        <v>0.6</v>
      </c>
      <c r="BB55" s="137"/>
      <c r="BC55" s="168">
        <f t="shared" ref="BC55:BJ55" si="99">SUM(BS54:BZ54)</f>
        <v>0</v>
      </c>
      <c r="BD55" s="168">
        <f t="shared" si="95"/>
        <v>0</v>
      </c>
      <c r="BE55" s="168">
        <f t="shared" si="99"/>
        <v>0</v>
      </c>
      <c r="BF55" s="168">
        <f t="shared" si="99"/>
        <v>0</v>
      </c>
      <c r="BG55" s="168">
        <f t="shared" si="99"/>
        <v>0</v>
      </c>
      <c r="BH55" s="168">
        <f t="shared" si="99"/>
        <v>0</v>
      </c>
      <c r="BI55" s="168">
        <f t="shared" si="99"/>
        <v>0</v>
      </c>
      <c r="BJ55" s="168">
        <f t="shared" si="99"/>
        <v>0</v>
      </c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</row>
    <row r="56" spans="1:73" ht="12.75" customHeight="1" x14ac:dyDescent="0.25">
      <c r="A56" s="228"/>
      <c r="B56" s="510" t="s">
        <v>283</v>
      </c>
      <c r="C56" s="501"/>
      <c r="D56" s="501"/>
      <c r="E56" s="501"/>
      <c r="F56" s="501"/>
      <c r="G56" s="501"/>
      <c r="H56" s="502"/>
      <c r="I56" s="229">
        <f>SUM(I51:I55)</f>
        <v>17885.190400000003</v>
      </c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2"/>
      <c r="Y56" s="307">
        <f t="shared" ref="Y56:AF56" si="100">SUM(Y51:Y55)</f>
        <v>0</v>
      </c>
      <c r="Z56" s="184">
        <f t="shared" si="100"/>
        <v>5.9350000000000005</v>
      </c>
      <c r="AA56" s="184">
        <f t="shared" si="100"/>
        <v>5.9350000000000005</v>
      </c>
      <c r="AB56" s="235">
        <f t="shared" si="100"/>
        <v>5.0420000000000007</v>
      </c>
      <c r="AC56" s="235">
        <f t="shared" si="100"/>
        <v>0</v>
      </c>
      <c r="AD56" s="235">
        <f t="shared" si="100"/>
        <v>8395.6734400000023</v>
      </c>
      <c r="AE56" s="235">
        <f t="shared" si="100"/>
        <v>8395.6734400000023</v>
      </c>
      <c r="AF56" s="235">
        <f t="shared" si="100"/>
        <v>9489.5169600000008</v>
      </c>
      <c r="AG56" s="168">
        <f t="shared" si="13"/>
        <v>0.52</v>
      </c>
      <c r="AH56" s="237"/>
      <c r="AI56" s="184">
        <v>0</v>
      </c>
      <c r="AJ56" s="230"/>
      <c r="AK56" s="230"/>
      <c r="AL56" s="230"/>
      <c r="AM56" s="230"/>
      <c r="AN56" s="230"/>
      <c r="AO56" s="230"/>
      <c r="AP56" s="230"/>
      <c r="AQ56" s="230"/>
      <c r="AR56" s="230"/>
      <c r="AS56" s="230"/>
      <c r="AT56" s="230"/>
      <c r="AU56" s="230"/>
      <c r="AV56" s="230"/>
      <c r="AW56" s="230"/>
      <c r="AX56" s="230"/>
      <c r="AY56" s="230"/>
      <c r="AZ56" s="230"/>
      <c r="BA56" s="308">
        <f>SUM(BA51:BA55)/COUNT(BA51:BA55)</f>
        <v>0.52</v>
      </c>
      <c r="BB56" s="230"/>
      <c r="BC56" s="308">
        <f t="shared" ref="BC56:BJ56" si="101">SUM(BC51:BC55)/COUNT(BC51:BC55)</f>
        <v>0</v>
      </c>
      <c r="BD56" s="308">
        <f>SUM(BD51:BD55)/COUNT(BD51:BD55)</f>
        <v>0</v>
      </c>
      <c r="BE56" s="308">
        <f t="shared" si="101"/>
        <v>0</v>
      </c>
      <c r="BF56" s="308">
        <f t="shared" si="101"/>
        <v>0</v>
      </c>
      <c r="BG56" s="308">
        <f t="shared" si="101"/>
        <v>0</v>
      </c>
      <c r="BH56" s="308">
        <f t="shared" si="101"/>
        <v>0</v>
      </c>
      <c r="BI56" s="308">
        <f t="shared" si="101"/>
        <v>0</v>
      </c>
      <c r="BJ56" s="308">
        <f t="shared" si="101"/>
        <v>0</v>
      </c>
      <c r="BK56" s="230"/>
      <c r="BL56" s="230"/>
      <c r="BM56" s="230"/>
      <c r="BN56" s="230"/>
      <c r="BO56" s="230"/>
      <c r="BP56" s="230"/>
      <c r="BQ56" s="230"/>
      <c r="BR56" s="230"/>
      <c r="BS56" s="230"/>
      <c r="BT56" s="230"/>
      <c r="BU56" s="230"/>
    </row>
    <row r="57" spans="1:73" ht="12.75" customHeight="1" x14ac:dyDescent="0.25">
      <c r="A57" s="200"/>
      <c r="B57" s="201" t="s">
        <v>284</v>
      </c>
      <c r="C57" s="343"/>
      <c r="D57" s="344"/>
      <c r="E57" s="344"/>
      <c r="F57" s="344"/>
      <c r="G57" s="344"/>
      <c r="H57" s="344"/>
      <c r="I57" s="164"/>
      <c r="J57" s="137"/>
      <c r="K57" s="146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310"/>
      <c r="Z57" s="311"/>
      <c r="AA57" s="311"/>
      <c r="AB57" s="167"/>
      <c r="AC57" s="167"/>
      <c r="AD57" s="167"/>
      <c r="AE57" s="167"/>
      <c r="AF57" s="167"/>
      <c r="AG57" s="168">
        <f t="shared" si="13"/>
        <v>0</v>
      </c>
      <c r="AH57" s="137"/>
      <c r="AI57" s="311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</row>
    <row r="58" spans="1:73" ht="12.75" customHeight="1" x14ac:dyDescent="0.25">
      <c r="A58" s="200"/>
      <c r="B58" s="204" t="s">
        <v>285</v>
      </c>
      <c r="C58" s="340">
        <v>12</v>
      </c>
      <c r="D58" s="203">
        <f t="shared" ref="D58:D65" si="102">C58*$L$23</f>
        <v>13.200000000000001</v>
      </c>
      <c r="E58" s="203" t="s">
        <v>114</v>
      </c>
      <c r="F58" s="203">
        <f>'Material and Labor Cost'!$D$30</f>
        <v>70.180000000000007</v>
      </c>
      <c r="G58" s="203">
        <f>'Material and Labor Cost'!$F$30</f>
        <v>35.090000000000003</v>
      </c>
      <c r="H58" s="203">
        <f t="shared" ref="H58:H65" si="103">SUM(F58:G58)</f>
        <v>105.27000000000001</v>
      </c>
      <c r="I58" s="203">
        <f t="shared" ref="I58:I65" si="104">H58*D58</f>
        <v>1389.5640000000003</v>
      </c>
      <c r="J58" s="137"/>
      <c r="K58" s="146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310">
        <f t="shared" ref="Y58:Y66" si="105">SUM(AI58:AP58)</f>
        <v>0</v>
      </c>
      <c r="Z58" s="311">
        <f t="shared" ref="Z58:Z66" si="106">D58*AG58</f>
        <v>5.2800000000000011</v>
      </c>
      <c r="AA58" s="311">
        <f t="shared" ref="AA58:AA66" si="107">SUM(Y58:Z58)</f>
        <v>5.2800000000000011</v>
      </c>
      <c r="AB58" s="167">
        <f t="shared" ref="AB58:AB66" si="108">D58-AA58</f>
        <v>7.92</v>
      </c>
      <c r="AC58" s="167">
        <f t="shared" ref="AC58:AC66" si="109">SUM(AR57:AY57)</f>
        <v>0</v>
      </c>
      <c r="AD58" s="167">
        <f t="shared" ref="AD58:AD66" si="110">AG58*I58</f>
        <v>555.82560000000012</v>
      </c>
      <c r="AE58" s="167">
        <f t="shared" ref="AE58:AE66" si="111">SUM(AC58:AD58)</f>
        <v>555.82560000000012</v>
      </c>
      <c r="AF58" s="167">
        <f t="shared" ref="AF58:AF66" si="112">I58-AE58</f>
        <v>833.73840000000018</v>
      </c>
      <c r="AG58" s="168">
        <f t="shared" si="13"/>
        <v>0.4</v>
      </c>
      <c r="AH58" s="137"/>
      <c r="AI58" s="311">
        <v>0</v>
      </c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68">
        <v>0.4</v>
      </c>
      <c r="BB58" s="137"/>
      <c r="BC58" s="168">
        <f t="shared" ref="BC58:BJ58" si="113">SUM(BS57:BZ57)</f>
        <v>0</v>
      </c>
      <c r="BD58" s="168">
        <f t="shared" ref="BD58:BD66" si="114">SUM(BN57:BT57)</f>
        <v>0</v>
      </c>
      <c r="BE58" s="168">
        <f t="shared" si="113"/>
        <v>0</v>
      </c>
      <c r="BF58" s="168">
        <f t="shared" si="113"/>
        <v>0</v>
      </c>
      <c r="BG58" s="168">
        <f t="shared" si="113"/>
        <v>0</v>
      </c>
      <c r="BH58" s="168">
        <f t="shared" si="113"/>
        <v>0</v>
      </c>
      <c r="BI58" s="168">
        <f t="shared" si="113"/>
        <v>0</v>
      </c>
      <c r="BJ58" s="168">
        <f t="shared" si="113"/>
        <v>0</v>
      </c>
      <c r="BK58" s="137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</row>
    <row r="59" spans="1:73" ht="12.75" customHeight="1" x14ac:dyDescent="0.25">
      <c r="A59" s="200"/>
      <c r="B59" s="291" t="s">
        <v>267</v>
      </c>
      <c r="C59" s="340">
        <v>11.18</v>
      </c>
      <c r="D59" s="203">
        <f t="shared" si="102"/>
        <v>12.298</v>
      </c>
      <c r="E59" s="203" t="s">
        <v>6</v>
      </c>
      <c r="F59" s="203">
        <f>'Material and Labor Cost'!$D$21</f>
        <v>576</v>
      </c>
      <c r="G59" s="203">
        <f>'Material and Labor Cost'!$F$21</f>
        <v>300</v>
      </c>
      <c r="H59" s="203">
        <f t="shared" si="103"/>
        <v>876</v>
      </c>
      <c r="I59" s="203">
        <f t="shared" si="104"/>
        <v>10773.048000000001</v>
      </c>
      <c r="J59" s="137"/>
      <c r="K59" s="146"/>
      <c r="L59" s="137"/>
      <c r="M59" s="137"/>
      <c r="N59" s="137"/>
      <c r="O59" s="345"/>
      <c r="P59" s="137"/>
      <c r="Q59" s="137"/>
      <c r="R59" s="137"/>
      <c r="S59" s="137"/>
      <c r="T59" s="137"/>
      <c r="U59" s="137"/>
      <c r="V59" s="137"/>
      <c r="W59" s="137"/>
      <c r="X59" s="137"/>
      <c r="Y59" s="310">
        <f t="shared" si="105"/>
        <v>0</v>
      </c>
      <c r="Z59" s="311">
        <f t="shared" si="106"/>
        <v>4.9192</v>
      </c>
      <c r="AA59" s="311">
        <f t="shared" si="107"/>
        <v>4.9192</v>
      </c>
      <c r="AB59" s="167">
        <f t="shared" si="108"/>
        <v>7.3788</v>
      </c>
      <c r="AC59" s="167">
        <f t="shared" si="109"/>
        <v>0</v>
      </c>
      <c r="AD59" s="167">
        <f t="shared" si="110"/>
        <v>4309.2192000000005</v>
      </c>
      <c r="AE59" s="167">
        <f t="shared" si="111"/>
        <v>4309.2192000000005</v>
      </c>
      <c r="AF59" s="167">
        <f t="shared" si="112"/>
        <v>6463.8288000000002</v>
      </c>
      <c r="AG59" s="168">
        <f t="shared" si="13"/>
        <v>0.4</v>
      </c>
      <c r="AH59" s="137"/>
      <c r="AI59" s="311">
        <v>0</v>
      </c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68">
        <v>0.4</v>
      </c>
      <c r="BB59" s="137"/>
      <c r="BC59" s="168">
        <f t="shared" ref="BC59:BJ59" si="115">SUM(BS58:BZ58)</f>
        <v>0</v>
      </c>
      <c r="BD59" s="168">
        <f t="shared" si="114"/>
        <v>0</v>
      </c>
      <c r="BE59" s="168">
        <f t="shared" si="115"/>
        <v>0</v>
      </c>
      <c r="BF59" s="168">
        <f t="shared" si="115"/>
        <v>0</v>
      </c>
      <c r="BG59" s="168">
        <f t="shared" si="115"/>
        <v>0</v>
      </c>
      <c r="BH59" s="168">
        <f t="shared" si="115"/>
        <v>0</v>
      </c>
      <c r="BI59" s="168">
        <f t="shared" si="115"/>
        <v>0</v>
      </c>
      <c r="BJ59" s="168">
        <f t="shared" si="115"/>
        <v>0</v>
      </c>
      <c r="BK59" s="137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</row>
    <row r="60" spans="1:73" ht="12.75" customHeight="1" x14ac:dyDescent="0.25">
      <c r="A60" s="200"/>
      <c r="B60" s="291" t="s">
        <v>269</v>
      </c>
      <c r="C60" s="340">
        <v>1.1000000000000001</v>
      </c>
      <c r="D60" s="203">
        <f t="shared" si="102"/>
        <v>1.2100000000000002</v>
      </c>
      <c r="E60" s="203" t="s">
        <v>6</v>
      </c>
      <c r="F60" s="203">
        <f>'Material and Labor Cost'!$D$23</f>
        <v>330</v>
      </c>
      <c r="G60" s="203">
        <f>'Material and Labor Cost'!$F$23</f>
        <v>165</v>
      </c>
      <c r="H60" s="203">
        <f t="shared" si="103"/>
        <v>495</v>
      </c>
      <c r="I60" s="203">
        <f t="shared" si="104"/>
        <v>598.95000000000005</v>
      </c>
      <c r="J60" s="137"/>
      <c r="K60" s="146"/>
      <c r="L60" s="137"/>
      <c r="M60" s="137"/>
      <c r="N60" s="137"/>
      <c r="O60" s="346"/>
      <c r="P60" s="137"/>
      <c r="Q60" s="137"/>
      <c r="R60" s="137"/>
      <c r="S60" s="137"/>
      <c r="T60" s="137"/>
      <c r="U60" s="137"/>
      <c r="V60" s="137"/>
      <c r="W60" s="137"/>
      <c r="X60" s="137"/>
      <c r="Y60" s="310">
        <f t="shared" si="105"/>
        <v>0</v>
      </c>
      <c r="Z60" s="311">
        <f t="shared" si="106"/>
        <v>0.4840000000000001</v>
      </c>
      <c r="AA60" s="311">
        <f t="shared" si="107"/>
        <v>0.4840000000000001</v>
      </c>
      <c r="AB60" s="167">
        <f t="shared" si="108"/>
        <v>0.72600000000000009</v>
      </c>
      <c r="AC60" s="167">
        <f t="shared" si="109"/>
        <v>0</v>
      </c>
      <c r="AD60" s="167">
        <f t="shared" si="110"/>
        <v>239.58000000000004</v>
      </c>
      <c r="AE60" s="167">
        <f t="shared" si="111"/>
        <v>239.58000000000004</v>
      </c>
      <c r="AF60" s="167">
        <f t="shared" si="112"/>
        <v>359.37</v>
      </c>
      <c r="AG60" s="168">
        <f t="shared" si="13"/>
        <v>0.4</v>
      </c>
      <c r="AH60" s="137"/>
      <c r="AI60" s="311">
        <v>0</v>
      </c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68">
        <v>0.4</v>
      </c>
      <c r="BB60" s="137"/>
      <c r="BC60" s="168">
        <f t="shared" ref="BC60:BJ60" si="116">SUM(BS59:BZ59)</f>
        <v>0</v>
      </c>
      <c r="BD60" s="168">
        <f t="shared" si="114"/>
        <v>0</v>
      </c>
      <c r="BE60" s="168">
        <f t="shared" si="116"/>
        <v>0</v>
      </c>
      <c r="BF60" s="168">
        <f t="shared" si="116"/>
        <v>0</v>
      </c>
      <c r="BG60" s="168">
        <f t="shared" si="116"/>
        <v>0</v>
      </c>
      <c r="BH60" s="168">
        <f t="shared" si="116"/>
        <v>0</v>
      </c>
      <c r="BI60" s="168">
        <f t="shared" si="116"/>
        <v>0</v>
      </c>
      <c r="BJ60" s="168">
        <f t="shared" si="116"/>
        <v>0</v>
      </c>
      <c r="BK60" s="137"/>
      <c r="BL60" s="137"/>
      <c r="BM60" s="137"/>
      <c r="BN60" s="137"/>
      <c r="BO60" s="137"/>
      <c r="BP60" s="137"/>
      <c r="BQ60" s="137"/>
      <c r="BR60" s="137"/>
      <c r="BS60" s="137"/>
      <c r="BT60" s="137"/>
      <c r="BU60" s="137"/>
    </row>
    <row r="61" spans="1:73" ht="12.75" customHeight="1" x14ac:dyDescent="0.25">
      <c r="A61" s="200"/>
      <c r="B61" s="204" t="s">
        <v>286</v>
      </c>
      <c r="C61" s="340">
        <v>1.58</v>
      </c>
      <c r="D61" s="203">
        <f t="shared" si="102"/>
        <v>1.7380000000000002</v>
      </c>
      <c r="E61" s="203" t="s">
        <v>6</v>
      </c>
      <c r="F61" s="203">
        <f>'Material and Labor Cost'!$D$29</f>
        <v>748.00000000000011</v>
      </c>
      <c r="G61" s="203">
        <f>'Material and Labor Cost'!$F$29</f>
        <v>380.00000000000006</v>
      </c>
      <c r="H61" s="203">
        <f t="shared" si="103"/>
        <v>1128.0000000000002</v>
      </c>
      <c r="I61" s="203">
        <f t="shared" si="104"/>
        <v>1960.4640000000006</v>
      </c>
      <c r="J61" s="137"/>
      <c r="K61" s="146"/>
      <c r="L61" s="137"/>
      <c r="M61" s="137"/>
      <c r="N61" s="137"/>
      <c r="O61" s="346"/>
      <c r="P61" s="137"/>
      <c r="Q61" s="137"/>
      <c r="R61" s="137"/>
      <c r="S61" s="137"/>
      <c r="T61" s="137"/>
      <c r="U61" s="137"/>
      <c r="V61" s="137"/>
      <c r="W61" s="137"/>
      <c r="X61" s="137"/>
      <c r="Y61" s="310">
        <f t="shared" si="105"/>
        <v>0</v>
      </c>
      <c r="Z61" s="311">
        <f t="shared" si="106"/>
        <v>0.69520000000000015</v>
      </c>
      <c r="AA61" s="311">
        <f t="shared" si="107"/>
        <v>0.69520000000000015</v>
      </c>
      <c r="AB61" s="167">
        <f t="shared" si="108"/>
        <v>1.0428000000000002</v>
      </c>
      <c r="AC61" s="167">
        <f t="shared" si="109"/>
        <v>0</v>
      </c>
      <c r="AD61" s="167">
        <f t="shared" si="110"/>
        <v>784.18560000000025</v>
      </c>
      <c r="AE61" s="167">
        <f t="shared" si="111"/>
        <v>784.18560000000025</v>
      </c>
      <c r="AF61" s="167">
        <f t="shared" si="112"/>
        <v>1176.2784000000004</v>
      </c>
      <c r="AG61" s="168">
        <f t="shared" si="13"/>
        <v>0.4</v>
      </c>
      <c r="AH61" s="137"/>
      <c r="AI61" s="311">
        <v>0</v>
      </c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68">
        <v>0.4</v>
      </c>
      <c r="BB61" s="137"/>
      <c r="BC61" s="168">
        <f t="shared" ref="BC61:BJ61" si="117">SUM(BS60:BZ60)</f>
        <v>0</v>
      </c>
      <c r="BD61" s="168">
        <f t="shared" si="114"/>
        <v>0</v>
      </c>
      <c r="BE61" s="168">
        <f t="shared" si="117"/>
        <v>0</v>
      </c>
      <c r="BF61" s="168">
        <f t="shared" si="117"/>
        <v>0</v>
      </c>
      <c r="BG61" s="168">
        <f t="shared" si="117"/>
        <v>0</v>
      </c>
      <c r="BH61" s="168">
        <f t="shared" si="117"/>
        <v>0</v>
      </c>
      <c r="BI61" s="168">
        <f t="shared" si="117"/>
        <v>0</v>
      </c>
      <c r="BJ61" s="168">
        <f t="shared" si="117"/>
        <v>0</v>
      </c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</row>
    <row r="62" spans="1:73" ht="12.75" customHeight="1" x14ac:dyDescent="0.25">
      <c r="A62" s="200"/>
      <c r="B62" s="200" t="s">
        <v>287</v>
      </c>
      <c r="C62" s="340">
        <v>13</v>
      </c>
      <c r="D62" s="203">
        <f t="shared" si="102"/>
        <v>14.3</v>
      </c>
      <c r="E62" s="203" t="s">
        <v>6</v>
      </c>
      <c r="F62" s="203">
        <f>'Material and Labor Cost'!$D$28</f>
        <v>2640</v>
      </c>
      <c r="G62" s="203">
        <f>'Material and Labor Cost'!$F$29</f>
        <v>380.00000000000006</v>
      </c>
      <c r="H62" s="203">
        <f t="shared" si="103"/>
        <v>3020</v>
      </c>
      <c r="I62" s="203">
        <f t="shared" si="104"/>
        <v>43186</v>
      </c>
      <c r="J62" s="137"/>
      <c r="K62" s="146"/>
      <c r="L62" s="137"/>
      <c r="M62" s="137"/>
      <c r="N62" s="137"/>
      <c r="O62" s="346"/>
      <c r="P62" s="137"/>
      <c r="Q62" s="137"/>
      <c r="R62" s="137"/>
      <c r="S62" s="137"/>
      <c r="T62" s="137"/>
      <c r="U62" s="137"/>
      <c r="V62" s="137"/>
      <c r="W62" s="137"/>
      <c r="X62" s="137"/>
      <c r="Y62" s="310">
        <f t="shared" si="105"/>
        <v>0</v>
      </c>
      <c r="Z62" s="311">
        <f t="shared" si="106"/>
        <v>5.7200000000000006</v>
      </c>
      <c r="AA62" s="311">
        <f t="shared" si="107"/>
        <v>5.7200000000000006</v>
      </c>
      <c r="AB62" s="167">
        <f t="shared" si="108"/>
        <v>8.58</v>
      </c>
      <c r="AC62" s="167">
        <f t="shared" si="109"/>
        <v>0</v>
      </c>
      <c r="AD62" s="167">
        <f t="shared" si="110"/>
        <v>17274.400000000001</v>
      </c>
      <c r="AE62" s="167">
        <f t="shared" si="111"/>
        <v>17274.400000000001</v>
      </c>
      <c r="AF62" s="167">
        <f t="shared" si="112"/>
        <v>25911.599999999999</v>
      </c>
      <c r="AG62" s="168">
        <f t="shared" si="13"/>
        <v>0.4</v>
      </c>
      <c r="AH62" s="137"/>
      <c r="AI62" s="311">
        <v>0</v>
      </c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68">
        <v>0.4</v>
      </c>
      <c r="BB62" s="137"/>
      <c r="BC62" s="168">
        <f t="shared" ref="BC62:BJ62" si="118">SUM(BS61:BZ61)</f>
        <v>0</v>
      </c>
      <c r="BD62" s="168">
        <f t="shared" si="114"/>
        <v>0</v>
      </c>
      <c r="BE62" s="168">
        <f t="shared" si="118"/>
        <v>0</v>
      </c>
      <c r="BF62" s="168">
        <f t="shared" si="118"/>
        <v>0</v>
      </c>
      <c r="BG62" s="168">
        <f t="shared" si="118"/>
        <v>0</v>
      </c>
      <c r="BH62" s="168">
        <f t="shared" si="118"/>
        <v>0</v>
      </c>
      <c r="BI62" s="168">
        <f t="shared" si="118"/>
        <v>0</v>
      </c>
      <c r="BJ62" s="168">
        <f t="shared" si="118"/>
        <v>0</v>
      </c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</row>
    <row r="63" spans="1:73" ht="12.75" customHeight="1" x14ac:dyDescent="0.25">
      <c r="A63" s="200"/>
      <c r="B63" s="200" t="s">
        <v>288</v>
      </c>
      <c r="C63" s="340">
        <v>20.02</v>
      </c>
      <c r="D63" s="203">
        <f t="shared" si="102"/>
        <v>22.022000000000002</v>
      </c>
      <c r="E63" s="203" t="s">
        <v>114</v>
      </c>
      <c r="F63" s="203">
        <f>'Material and Labor Cost'!$D$32</f>
        <v>55.000000000000007</v>
      </c>
      <c r="G63" s="203">
        <f>'Material and Labor Cost'!$F$32</f>
        <v>30.000000000000004</v>
      </c>
      <c r="H63" s="203">
        <f t="shared" si="103"/>
        <v>85.000000000000014</v>
      </c>
      <c r="I63" s="203">
        <f t="shared" si="104"/>
        <v>1871.8700000000006</v>
      </c>
      <c r="J63" s="137"/>
      <c r="K63" s="146"/>
      <c r="L63" s="137"/>
      <c r="M63" s="137"/>
      <c r="N63" s="137"/>
      <c r="O63" s="346"/>
      <c r="P63" s="137"/>
      <c r="Q63" s="137"/>
      <c r="R63" s="137"/>
      <c r="S63" s="137"/>
      <c r="T63" s="137"/>
      <c r="U63" s="137"/>
      <c r="V63" s="137"/>
      <c r="W63" s="137"/>
      <c r="X63" s="137"/>
      <c r="Y63" s="310">
        <f t="shared" si="105"/>
        <v>0</v>
      </c>
      <c r="Z63" s="311">
        <f t="shared" si="106"/>
        <v>8.8088000000000015</v>
      </c>
      <c r="AA63" s="311">
        <f t="shared" si="107"/>
        <v>8.8088000000000015</v>
      </c>
      <c r="AB63" s="167">
        <f t="shared" si="108"/>
        <v>13.213200000000001</v>
      </c>
      <c r="AC63" s="167">
        <f t="shared" si="109"/>
        <v>0</v>
      </c>
      <c r="AD63" s="167">
        <f t="shared" si="110"/>
        <v>748.74800000000027</v>
      </c>
      <c r="AE63" s="167">
        <f t="shared" si="111"/>
        <v>748.74800000000027</v>
      </c>
      <c r="AF63" s="167">
        <f t="shared" si="112"/>
        <v>1123.1220000000003</v>
      </c>
      <c r="AG63" s="168">
        <f t="shared" si="13"/>
        <v>0.4</v>
      </c>
      <c r="AH63" s="137"/>
      <c r="AI63" s="311">
        <v>0</v>
      </c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68">
        <v>0.4</v>
      </c>
      <c r="BB63" s="137"/>
      <c r="BC63" s="168">
        <f t="shared" ref="BC63:BJ63" si="119">SUM(BS62:BZ62)</f>
        <v>0</v>
      </c>
      <c r="BD63" s="168">
        <f t="shared" si="114"/>
        <v>0</v>
      </c>
      <c r="BE63" s="168">
        <f t="shared" si="119"/>
        <v>0</v>
      </c>
      <c r="BF63" s="168">
        <f t="shared" si="119"/>
        <v>0</v>
      </c>
      <c r="BG63" s="168">
        <f t="shared" si="119"/>
        <v>0</v>
      </c>
      <c r="BH63" s="168">
        <f t="shared" si="119"/>
        <v>0</v>
      </c>
      <c r="BI63" s="168">
        <f t="shared" si="119"/>
        <v>0</v>
      </c>
      <c r="BJ63" s="168">
        <f t="shared" si="119"/>
        <v>0</v>
      </c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</row>
    <row r="64" spans="1:73" ht="12.75" customHeight="1" x14ac:dyDescent="0.25">
      <c r="A64" s="200"/>
      <c r="B64" s="200" t="s">
        <v>289</v>
      </c>
      <c r="C64" s="340">
        <v>10</v>
      </c>
      <c r="D64" s="203">
        <f t="shared" si="102"/>
        <v>11</v>
      </c>
      <c r="E64" s="203" t="s">
        <v>6</v>
      </c>
      <c r="F64" s="203">
        <f>'Material and Labor Cost'!$D$31</f>
        <v>275</v>
      </c>
      <c r="G64" s="203">
        <f>'Material and Labor Cost'!$F$31</f>
        <v>140</v>
      </c>
      <c r="H64" s="203">
        <f t="shared" si="103"/>
        <v>415</v>
      </c>
      <c r="I64" s="203">
        <f t="shared" si="104"/>
        <v>4565</v>
      </c>
      <c r="J64" s="137"/>
      <c r="K64" s="146"/>
      <c r="L64" s="137"/>
      <c r="M64" s="137"/>
      <c r="N64" s="137"/>
      <c r="O64" s="346"/>
      <c r="P64" s="137"/>
      <c r="Q64" s="137"/>
      <c r="R64" s="137"/>
      <c r="S64" s="137"/>
      <c r="T64" s="137"/>
      <c r="U64" s="137"/>
      <c r="V64" s="137"/>
      <c r="W64" s="137"/>
      <c r="X64" s="137"/>
      <c r="Y64" s="310">
        <f t="shared" si="105"/>
        <v>0</v>
      </c>
      <c r="Z64" s="311">
        <f t="shared" si="106"/>
        <v>0</v>
      </c>
      <c r="AA64" s="311">
        <f t="shared" si="107"/>
        <v>0</v>
      </c>
      <c r="AB64" s="167">
        <f t="shared" si="108"/>
        <v>11</v>
      </c>
      <c r="AC64" s="167">
        <f t="shared" si="109"/>
        <v>0</v>
      </c>
      <c r="AD64" s="167">
        <f t="shared" si="110"/>
        <v>0</v>
      </c>
      <c r="AE64" s="167">
        <f t="shared" si="111"/>
        <v>0</v>
      </c>
      <c r="AF64" s="167">
        <f t="shared" si="112"/>
        <v>4565</v>
      </c>
      <c r="AG64" s="168">
        <f t="shared" si="13"/>
        <v>0</v>
      </c>
      <c r="AH64" s="137"/>
      <c r="AI64" s="311">
        <v>0</v>
      </c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68">
        <f t="shared" ref="BA64:BA66" si="120">SUM(BK63:BQ63)</f>
        <v>0</v>
      </c>
      <c r="BB64" s="137"/>
      <c r="BC64" s="168">
        <f t="shared" ref="BC64:BJ64" si="121">SUM(BS63:BZ63)</f>
        <v>0</v>
      </c>
      <c r="BD64" s="168">
        <f t="shared" si="114"/>
        <v>0</v>
      </c>
      <c r="BE64" s="168">
        <f t="shared" si="121"/>
        <v>0</v>
      </c>
      <c r="BF64" s="168">
        <f t="shared" si="121"/>
        <v>0</v>
      </c>
      <c r="BG64" s="168">
        <f t="shared" si="121"/>
        <v>0</v>
      </c>
      <c r="BH64" s="168">
        <f t="shared" si="121"/>
        <v>0</v>
      </c>
      <c r="BI64" s="168">
        <f t="shared" si="121"/>
        <v>0</v>
      </c>
      <c r="BJ64" s="168">
        <f t="shared" si="121"/>
        <v>0</v>
      </c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</row>
    <row r="65" spans="1:73" ht="12.75" customHeight="1" x14ac:dyDescent="0.25">
      <c r="A65" s="200"/>
      <c r="B65" s="200" t="s">
        <v>270</v>
      </c>
      <c r="C65" s="340">
        <v>2.31</v>
      </c>
      <c r="D65" s="203">
        <f t="shared" si="102"/>
        <v>2.5410000000000004</v>
      </c>
      <c r="E65" s="203" t="s">
        <v>114</v>
      </c>
      <c r="F65" s="203">
        <f>'Material and Labor Cost'!$D$24</f>
        <v>220.00000000000003</v>
      </c>
      <c r="G65" s="203">
        <f>'Material and Labor Cost'!$F$24</f>
        <v>110.00000000000001</v>
      </c>
      <c r="H65" s="203">
        <f t="shared" si="103"/>
        <v>330.00000000000006</v>
      </c>
      <c r="I65" s="203">
        <f t="shared" si="104"/>
        <v>838.53000000000031</v>
      </c>
      <c r="J65" s="137"/>
      <c r="K65" s="146"/>
      <c r="L65" s="137"/>
      <c r="M65" s="137"/>
      <c r="N65" s="137"/>
      <c r="O65" s="346"/>
      <c r="P65" s="137"/>
      <c r="Q65" s="137"/>
      <c r="R65" s="137"/>
      <c r="S65" s="137"/>
      <c r="T65" s="137"/>
      <c r="U65" s="137"/>
      <c r="V65" s="137"/>
      <c r="W65" s="137"/>
      <c r="X65" s="137"/>
      <c r="Y65" s="310">
        <f t="shared" si="105"/>
        <v>0</v>
      </c>
      <c r="Z65" s="311">
        <f t="shared" si="106"/>
        <v>0</v>
      </c>
      <c r="AA65" s="311">
        <f t="shared" si="107"/>
        <v>0</v>
      </c>
      <c r="AB65" s="167">
        <f t="shared" si="108"/>
        <v>2.5410000000000004</v>
      </c>
      <c r="AC65" s="167">
        <f t="shared" si="109"/>
        <v>0</v>
      </c>
      <c r="AD65" s="167">
        <f t="shared" si="110"/>
        <v>0</v>
      </c>
      <c r="AE65" s="167">
        <f t="shared" si="111"/>
        <v>0</v>
      </c>
      <c r="AF65" s="167">
        <f t="shared" si="112"/>
        <v>838.53000000000031</v>
      </c>
      <c r="AG65" s="168">
        <f t="shared" si="13"/>
        <v>0</v>
      </c>
      <c r="AH65" s="137"/>
      <c r="AI65" s="311">
        <v>0</v>
      </c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68">
        <f t="shared" si="120"/>
        <v>0</v>
      </c>
      <c r="BB65" s="137"/>
      <c r="BC65" s="168">
        <f t="shared" ref="BC65:BJ65" si="122">SUM(BS64:BZ64)</f>
        <v>0</v>
      </c>
      <c r="BD65" s="168">
        <f t="shared" si="114"/>
        <v>0</v>
      </c>
      <c r="BE65" s="168">
        <f t="shared" si="122"/>
        <v>0</v>
      </c>
      <c r="BF65" s="168">
        <f t="shared" si="122"/>
        <v>0</v>
      </c>
      <c r="BG65" s="168">
        <f t="shared" si="122"/>
        <v>0</v>
      </c>
      <c r="BH65" s="168">
        <f t="shared" si="122"/>
        <v>0</v>
      </c>
      <c r="BI65" s="168">
        <f t="shared" si="122"/>
        <v>0</v>
      </c>
      <c r="BJ65" s="168">
        <f t="shared" si="122"/>
        <v>0</v>
      </c>
      <c r="BK65" s="137"/>
      <c r="BL65" s="137"/>
      <c r="BM65" s="137"/>
      <c r="BN65" s="137"/>
      <c r="BO65" s="137"/>
      <c r="BP65" s="137"/>
      <c r="BQ65" s="137"/>
      <c r="BR65" s="137"/>
      <c r="BS65" s="137"/>
      <c r="BT65" s="137"/>
      <c r="BU65" s="137"/>
    </row>
    <row r="66" spans="1:73" ht="12.75" customHeight="1" x14ac:dyDescent="0.25">
      <c r="A66" s="200"/>
      <c r="B66" s="204" t="s">
        <v>272</v>
      </c>
      <c r="C66" s="340"/>
      <c r="D66" s="203">
        <v>1</v>
      </c>
      <c r="E66" s="203" t="s">
        <v>94</v>
      </c>
      <c r="F66" s="203"/>
      <c r="G66" s="203"/>
      <c r="H66" s="203"/>
      <c r="I66" s="203">
        <f>SUM(I57:I65)*$L$27</f>
        <v>7822.0111199999992</v>
      </c>
      <c r="J66" s="137"/>
      <c r="K66" s="146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310">
        <f t="shared" si="105"/>
        <v>0</v>
      </c>
      <c r="Z66" s="311">
        <f t="shared" si="106"/>
        <v>0</v>
      </c>
      <c r="AA66" s="311">
        <f t="shared" si="107"/>
        <v>0</v>
      </c>
      <c r="AB66" s="167">
        <f t="shared" si="108"/>
        <v>1</v>
      </c>
      <c r="AC66" s="167">
        <f t="shared" si="109"/>
        <v>0</v>
      </c>
      <c r="AD66" s="167">
        <f t="shared" si="110"/>
        <v>0</v>
      </c>
      <c r="AE66" s="167">
        <f t="shared" si="111"/>
        <v>0</v>
      </c>
      <c r="AF66" s="167">
        <f t="shared" si="112"/>
        <v>7822.0111199999992</v>
      </c>
      <c r="AG66" s="168">
        <f t="shared" si="13"/>
        <v>0</v>
      </c>
      <c r="AH66" s="137"/>
      <c r="AI66" s="311">
        <v>0</v>
      </c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68">
        <f t="shared" si="120"/>
        <v>0</v>
      </c>
      <c r="BB66" s="137"/>
      <c r="BC66" s="168">
        <f t="shared" ref="BC66:BJ66" si="123">SUM(BS65:BZ65)</f>
        <v>0</v>
      </c>
      <c r="BD66" s="168">
        <f t="shared" si="114"/>
        <v>0</v>
      </c>
      <c r="BE66" s="168">
        <f t="shared" si="123"/>
        <v>0</v>
      </c>
      <c r="BF66" s="168">
        <f t="shared" si="123"/>
        <v>0</v>
      </c>
      <c r="BG66" s="168">
        <f t="shared" si="123"/>
        <v>0</v>
      </c>
      <c r="BH66" s="168">
        <f t="shared" si="123"/>
        <v>0</v>
      </c>
      <c r="BI66" s="168">
        <f t="shared" si="123"/>
        <v>0</v>
      </c>
      <c r="BJ66" s="168">
        <f t="shared" si="123"/>
        <v>0</v>
      </c>
      <c r="BK66" s="137"/>
      <c r="BL66" s="137"/>
      <c r="BM66" s="137"/>
      <c r="BN66" s="137"/>
      <c r="BO66" s="137"/>
      <c r="BP66" s="137"/>
      <c r="BQ66" s="137"/>
      <c r="BR66" s="137"/>
      <c r="BS66" s="137"/>
      <c r="BT66" s="137"/>
      <c r="BU66" s="137"/>
    </row>
    <row r="67" spans="1:73" ht="12.75" customHeight="1" x14ac:dyDescent="0.25">
      <c r="A67" s="228"/>
      <c r="B67" s="510" t="s">
        <v>290</v>
      </c>
      <c r="C67" s="501"/>
      <c r="D67" s="501"/>
      <c r="E67" s="501"/>
      <c r="F67" s="501"/>
      <c r="G67" s="501"/>
      <c r="H67" s="502"/>
      <c r="I67" s="229">
        <f>SUM(I58:I66)</f>
        <v>73005.437120000002</v>
      </c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2"/>
      <c r="Y67" s="307">
        <f t="shared" ref="Y67:AF67" si="124">SUM(Y58:Y66)</f>
        <v>0</v>
      </c>
      <c r="Z67" s="184">
        <f t="shared" si="124"/>
        <v>25.907200000000003</v>
      </c>
      <c r="AA67" s="184">
        <f t="shared" si="124"/>
        <v>25.907200000000003</v>
      </c>
      <c r="AB67" s="235">
        <f t="shared" si="124"/>
        <v>53.401799999999994</v>
      </c>
      <c r="AC67" s="235">
        <f t="shared" si="124"/>
        <v>0</v>
      </c>
      <c r="AD67" s="235">
        <f t="shared" si="124"/>
        <v>23911.958400000003</v>
      </c>
      <c r="AE67" s="235">
        <f t="shared" si="124"/>
        <v>23911.958400000003</v>
      </c>
      <c r="AF67" s="235">
        <f t="shared" si="124"/>
        <v>49093.478719999999</v>
      </c>
      <c r="AG67" s="168">
        <f t="shared" si="13"/>
        <v>0.26666666666666666</v>
      </c>
      <c r="AH67" s="237"/>
      <c r="AI67" s="184">
        <v>0</v>
      </c>
      <c r="AJ67" s="230"/>
      <c r="AK67" s="230"/>
      <c r="AL67" s="230"/>
      <c r="AM67" s="230"/>
      <c r="AN67" s="230"/>
      <c r="AO67" s="230"/>
      <c r="AP67" s="230"/>
      <c r="AQ67" s="230"/>
      <c r="AR67" s="230"/>
      <c r="AS67" s="230"/>
      <c r="AT67" s="230"/>
      <c r="AU67" s="230"/>
      <c r="AV67" s="230"/>
      <c r="AW67" s="230"/>
      <c r="AX67" s="230"/>
      <c r="AY67" s="230"/>
      <c r="AZ67" s="230"/>
      <c r="BA67" s="308">
        <f>SUM(BA58:BA66)/COUNT(BA58:BA66)</f>
        <v>0.26666666666666666</v>
      </c>
      <c r="BB67" s="230"/>
      <c r="BC67" s="308">
        <f t="shared" ref="BC67:BJ67" si="125">SUM(BC58:BC66)/COUNT(BC58:BC66)</f>
        <v>0</v>
      </c>
      <c r="BD67" s="308">
        <f>SUM(BD58:BD66)/COUNT(BD58:BD66)</f>
        <v>0</v>
      </c>
      <c r="BE67" s="308">
        <f t="shared" si="125"/>
        <v>0</v>
      </c>
      <c r="BF67" s="308">
        <f t="shared" si="125"/>
        <v>0</v>
      </c>
      <c r="BG67" s="308">
        <f t="shared" si="125"/>
        <v>0</v>
      </c>
      <c r="BH67" s="308">
        <f t="shared" si="125"/>
        <v>0</v>
      </c>
      <c r="BI67" s="308">
        <f t="shared" si="125"/>
        <v>0</v>
      </c>
      <c r="BJ67" s="308">
        <f t="shared" si="125"/>
        <v>0</v>
      </c>
      <c r="BK67" s="230"/>
      <c r="BL67" s="230"/>
      <c r="BM67" s="230"/>
      <c r="BN67" s="230"/>
      <c r="BO67" s="230"/>
      <c r="BP67" s="230"/>
      <c r="BQ67" s="230"/>
      <c r="BR67" s="230"/>
      <c r="BS67" s="230"/>
      <c r="BT67" s="230"/>
      <c r="BU67" s="230"/>
    </row>
    <row r="68" spans="1:73" ht="12.75" customHeight="1" x14ac:dyDescent="0.25">
      <c r="A68" s="228"/>
      <c r="B68" s="510" t="s">
        <v>291</v>
      </c>
      <c r="C68" s="501"/>
      <c r="D68" s="501"/>
      <c r="E68" s="501"/>
      <c r="F68" s="501"/>
      <c r="G68" s="501"/>
      <c r="H68" s="502"/>
      <c r="I68" s="229">
        <f>SUM(I56,I49,I42,I35,I28,I67)</f>
        <v>471198.99508000008</v>
      </c>
      <c r="J68" s="230"/>
      <c r="K68" s="231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2"/>
      <c r="Y68" s="307">
        <f t="shared" ref="Y68:AF68" si="126">SUM(Y28,Y35,Y42,Y49,Y56,Y67)</f>
        <v>0</v>
      </c>
      <c r="Z68" s="184">
        <f t="shared" si="126"/>
        <v>82.61930000000001</v>
      </c>
      <c r="AA68" s="184">
        <f t="shared" si="126"/>
        <v>82.61930000000001</v>
      </c>
      <c r="AB68" s="235">
        <f t="shared" si="126"/>
        <v>328.53489999999994</v>
      </c>
      <c r="AC68" s="235">
        <f t="shared" si="126"/>
        <v>0</v>
      </c>
      <c r="AD68" s="235">
        <f t="shared" si="126"/>
        <v>75157.742440000002</v>
      </c>
      <c r="AE68" s="235">
        <f t="shared" si="126"/>
        <v>75157.742440000002</v>
      </c>
      <c r="AF68" s="235">
        <f t="shared" si="126"/>
        <v>396041.25264000002</v>
      </c>
      <c r="AG68" s="168">
        <f t="shared" si="13"/>
        <v>0.20539682539682538</v>
      </c>
      <c r="AH68" s="237"/>
      <c r="AI68" s="184">
        <v>0</v>
      </c>
      <c r="AJ68" s="230"/>
      <c r="AK68" s="230"/>
      <c r="AL68" s="230"/>
      <c r="AM68" s="230"/>
      <c r="AN68" s="230"/>
      <c r="AO68" s="230"/>
      <c r="AP68" s="230"/>
      <c r="AQ68" s="230"/>
      <c r="AR68" s="230"/>
      <c r="AS68" s="230"/>
      <c r="AT68" s="230"/>
      <c r="AU68" s="230"/>
      <c r="AV68" s="230"/>
      <c r="AW68" s="230"/>
      <c r="AX68" s="230"/>
      <c r="AY68" s="230"/>
      <c r="AZ68" s="230"/>
      <c r="BA68" s="308">
        <f>SUM(BA28,BA35,BA42,BA49,BA56,BA67)/6</f>
        <v>0.20539682539682538</v>
      </c>
      <c r="BB68" s="230"/>
      <c r="BC68" s="308">
        <f t="shared" ref="BC68:BJ68" si="127">SUM(BC28,BC35,BC42,BC49,BC56,BC67)/6</f>
        <v>0</v>
      </c>
      <c r="BD68" s="308">
        <f>SUM(BD28,BD35,BD42,BD49,BD56,BD67)/6</f>
        <v>0</v>
      </c>
      <c r="BE68" s="308">
        <f t="shared" si="127"/>
        <v>0</v>
      </c>
      <c r="BF68" s="308">
        <f t="shared" si="127"/>
        <v>0</v>
      </c>
      <c r="BG68" s="308">
        <f t="shared" si="127"/>
        <v>0</v>
      </c>
      <c r="BH68" s="308">
        <f t="shared" si="127"/>
        <v>0</v>
      </c>
      <c r="BI68" s="308">
        <f t="shared" si="127"/>
        <v>0</v>
      </c>
      <c r="BJ68" s="308">
        <f t="shared" si="127"/>
        <v>0</v>
      </c>
      <c r="BK68" s="230"/>
      <c r="BL68" s="230"/>
      <c r="BM68" s="230"/>
      <c r="BN68" s="230"/>
      <c r="BO68" s="230"/>
      <c r="BP68" s="230"/>
      <c r="BQ68" s="230"/>
      <c r="BR68" s="230"/>
      <c r="BS68" s="230"/>
      <c r="BT68" s="230"/>
      <c r="BU68" s="230"/>
    </row>
    <row r="69" spans="1:73" ht="12.75" customHeight="1" x14ac:dyDescent="0.25">
      <c r="A69" s="186"/>
      <c r="B69" s="527" t="s">
        <v>292</v>
      </c>
      <c r="C69" s="501"/>
      <c r="D69" s="501"/>
      <c r="E69" s="501"/>
      <c r="F69" s="501"/>
      <c r="G69" s="501"/>
      <c r="H69" s="501"/>
      <c r="I69" s="502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310"/>
      <c r="Z69" s="311"/>
      <c r="AA69" s="311"/>
      <c r="AB69" s="167"/>
      <c r="AC69" s="167"/>
      <c r="AD69" s="167"/>
      <c r="AE69" s="167"/>
      <c r="AF69" s="167"/>
      <c r="AG69" s="168">
        <f t="shared" si="13"/>
        <v>0</v>
      </c>
      <c r="AH69" s="137"/>
      <c r="AI69" s="311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</row>
    <row r="70" spans="1:73" ht="12.75" customHeight="1" x14ac:dyDescent="0.25">
      <c r="A70" s="200"/>
      <c r="B70" s="339" t="s">
        <v>293</v>
      </c>
      <c r="C70" s="340"/>
      <c r="D70" s="203"/>
      <c r="E70" s="203"/>
      <c r="F70" s="203"/>
      <c r="G70" s="203"/>
      <c r="H70" s="203"/>
      <c r="I70" s="203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310"/>
      <c r="Z70" s="311"/>
      <c r="AA70" s="311"/>
      <c r="AB70" s="167"/>
      <c r="AC70" s="167"/>
      <c r="AD70" s="167"/>
      <c r="AE70" s="167"/>
      <c r="AF70" s="167"/>
      <c r="AG70" s="168">
        <f t="shared" si="13"/>
        <v>0</v>
      </c>
      <c r="AH70" s="137"/>
      <c r="AI70" s="311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137"/>
      <c r="BO70" s="137"/>
      <c r="BP70" s="137"/>
      <c r="BQ70" s="137"/>
      <c r="BR70" s="137"/>
      <c r="BS70" s="137"/>
      <c r="BT70" s="137"/>
      <c r="BU70" s="137"/>
    </row>
    <row r="71" spans="1:73" ht="12.75" customHeight="1" x14ac:dyDescent="0.25">
      <c r="A71" s="200"/>
      <c r="B71" s="291" t="s">
        <v>267</v>
      </c>
      <c r="C71" s="340">
        <v>6.77</v>
      </c>
      <c r="D71" s="203">
        <f t="shared" ref="D71:D73" si="128">C71*$L$23</f>
        <v>7.4470000000000001</v>
      </c>
      <c r="E71" s="203" t="s">
        <v>6</v>
      </c>
      <c r="F71" s="203">
        <f>'Material and Labor Cost'!$D$21</f>
        <v>576</v>
      </c>
      <c r="G71" s="203">
        <f>'Material and Labor Cost'!$F$21</f>
        <v>300</v>
      </c>
      <c r="H71" s="203">
        <f t="shared" ref="H71:H73" si="129">SUM(F71:G71)</f>
        <v>876</v>
      </c>
      <c r="I71" s="203">
        <f t="shared" ref="I71:I73" si="130">H71*D71</f>
        <v>6523.5720000000001</v>
      </c>
      <c r="J71" s="137"/>
      <c r="K71" s="137"/>
      <c r="L71" s="141" t="s">
        <v>121</v>
      </c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310">
        <f t="shared" ref="Y71:Y74" si="131">SUM(AI71:AP71)</f>
        <v>0</v>
      </c>
      <c r="Z71" s="311">
        <f t="shared" ref="Z71:Z74" si="132">D71*AG71</f>
        <v>2.9788000000000001</v>
      </c>
      <c r="AA71" s="311">
        <f t="shared" ref="AA71:AA74" si="133">SUM(Y71:Z71)</f>
        <v>2.9788000000000001</v>
      </c>
      <c r="AB71" s="167">
        <f t="shared" ref="AB71:AB74" si="134">D71-AA71</f>
        <v>4.4681999999999995</v>
      </c>
      <c r="AC71" s="167">
        <f t="shared" ref="AC71:AC74" si="135">SUM(AR70:AY70)</f>
        <v>0</v>
      </c>
      <c r="AD71" s="167">
        <f t="shared" ref="AD71:AD74" si="136">AG71*I71</f>
        <v>2609.4288000000001</v>
      </c>
      <c r="AE71" s="167">
        <f t="shared" ref="AE71:AE74" si="137">SUM(AC71:AD71)</f>
        <v>2609.4288000000001</v>
      </c>
      <c r="AF71" s="167">
        <f t="shared" ref="AF71:AF74" si="138">I71-AE71</f>
        <v>3914.1432</v>
      </c>
      <c r="AG71" s="168">
        <f t="shared" si="13"/>
        <v>0.4</v>
      </c>
      <c r="AH71" s="137"/>
      <c r="AI71" s="311">
        <v>0</v>
      </c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68">
        <v>0.4</v>
      </c>
      <c r="BB71" s="137"/>
      <c r="BC71" s="168">
        <f t="shared" ref="BC71:BJ71" si="139">SUM(BS70:BZ70)</f>
        <v>0</v>
      </c>
      <c r="BD71" s="168">
        <f t="shared" ref="BD71:BD74" si="140">SUM(BN70:BT70)</f>
        <v>0</v>
      </c>
      <c r="BE71" s="168">
        <f t="shared" si="139"/>
        <v>0</v>
      </c>
      <c r="BF71" s="168">
        <f t="shared" si="139"/>
        <v>0</v>
      </c>
      <c r="BG71" s="168">
        <f t="shared" si="139"/>
        <v>0</v>
      </c>
      <c r="BH71" s="168">
        <f t="shared" si="139"/>
        <v>0</v>
      </c>
      <c r="BI71" s="168">
        <f t="shared" si="139"/>
        <v>0</v>
      </c>
      <c r="BJ71" s="168">
        <f t="shared" si="139"/>
        <v>0</v>
      </c>
      <c r="BK71" s="137"/>
      <c r="BL71" s="137"/>
      <c r="BM71" s="137"/>
      <c r="BN71" s="137"/>
      <c r="BO71" s="137"/>
      <c r="BP71" s="137"/>
      <c r="BQ71" s="137"/>
      <c r="BR71" s="137"/>
      <c r="BS71" s="137"/>
      <c r="BT71" s="137"/>
      <c r="BU71" s="137"/>
    </row>
    <row r="72" spans="1:73" ht="12.75" customHeight="1" x14ac:dyDescent="0.25">
      <c r="A72" s="200"/>
      <c r="B72" s="291" t="s">
        <v>269</v>
      </c>
      <c r="C72" s="340">
        <v>1.1000000000000001</v>
      </c>
      <c r="D72" s="203">
        <f t="shared" si="128"/>
        <v>1.2100000000000002</v>
      </c>
      <c r="E72" s="203" t="s">
        <v>6</v>
      </c>
      <c r="F72" s="203">
        <f>'Material and Labor Cost'!$D$23</f>
        <v>330</v>
      </c>
      <c r="G72" s="203">
        <f>'Material and Labor Cost'!$F$23</f>
        <v>165</v>
      </c>
      <c r="H72" s="203">
        <f t="shared" si="129"/>
        <v>495</v>
      </c>
      <c r="I72" s="203">
        <f t="shared" si="130"/>
        <v>598.95000000000005</v>
      </c>
      <c r="J72" s="137"/>
      <c r="K72" s="137"/>
      <c r="L72" s="347">
        <v>0.5</v>
      </c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310">
        <f t="shared" si="131"/>
        <v>0</v>
      </c>
      <c r="Z72" s="311">
        <f t="shared" si="132"/>
        <v>0.4840000000000001</v>
      </c>
      <c r="AA72" s="311">
        <f t="shared" si="133"/>
        <v>0.4840000000000001</v>
      </c>
      <c r="AB72" s="167">
        <f t="shared" si="134"/>
        <v>0.72600000000000009</v>
      </c>
      <c r="AC72" s="167">
        <f t="shared" si="135"/>
        <v>0</v>
      </c>
      <c r="AD72" s="167">
        <f t="shared" si="136"/>
        <v>239.58000000000004</v>
      </c>
      <c r="AE72" s="167">
        <f t="shared" si="137"/>
        <v>239.58000000000004</v>
      </c>
      <c r="AF72" s="167">
        <f t="shared" si="138"/>
        <v>359.37</v>
      </c>
      <c r="AG72" s="168">
        <f t="shared" si="13"/>
        <v>0.4</v>
      </c>
      <c r="AH72" s="137"/>
      <c r="AI72" s="311">
        <v>0</v>
      </c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68">
        <v>0.4</v>
      </c>
      <c r="BB72" s="137"/>
      <c r="BC72" s="168">
        <f t="shared" ref="BC72:BJ72" si="141">SUM(BS71:BZ71)</f>
        <v>0</v>
      </c>
      <c r="BD72" s="168">
        <f t="shared" si="140"/>
        <v>0</v>
      </c>
      <c r="BE72" s="168">
        <f t="shared" si="141"/>
        <v>0</v>
      </c>
      <c r="BF72" s="168">
        <f t="shared" si="141"/>
        <v>0</v>
      </c>
      <c r="BG72" s="168">
        <f t="shared" si="141"/>
        <v>0</v>
      </c>
      <c r="BH72" s="168">
        <f t="shared" si="141"/>
        <v>0</v>
      </c>
      <c r="BI72" s="168">
        <f t="shared" si="141"/>
        <v>0</v>
      </c>
      <c r="BJ72" s="168">
        <f t="shared" si="141"/>
        <v>0</v>
      </c>
      <c r="BK72" s="137"/>
      <c r="BL72" s="137"/>
      <c r="BM72" s="137"/>
      <c r="BN72" s="137"/>
      <c r="BO72" s="137"/>
      <c r="BP72" s="137"/>
      <c r="BQ72" s="137"/>
      <c r="BR72" s="137"/>
      <c r="BS72" s="137"/>
      <c r="BT72" s="137"/>
      <c r="BU72" s="137"/>
    </row>
    <row r="73" spans="1:73" ht="12.75" customHeight="1" x14ac:dyDescent="0.25">
      <c r="A73" s="200"/>
      <c r="B73" s="200" t="s">
        <v>275</v>
      </c>
      <c r="C73" s="340">
        <v>6.77</v>
      </c>
      <c r="D73" s="203">
        <f t="shared" si="128"/>
        <v>7.4470000000000001</v>
      </c>
      <c r="E73" s="203" t="s">
        <v>6</v>
      </c>
      <c r="F73" s="203">
        <f>'Material and Labor Cost'!$D$25</f>
        <v>555</v>
      </c>
      <c r="G73" s="203">
        <f>'Material and Labor Cost'!$F$25</f>
        <v>275</v>
      </c>
      <c r="H73" s="203">
        <f t="shared" si="129"/>
        <v>830</v>
      </c>
      <c r="I73" s="203">
        <f t="shared" si="130"/>
        <v>6181.01</v>
      </c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310">
        <f t="shared" si="131"/>
        <v>0</v>
      </c>
      <c r="Z73" s="311">
        <f t="shared" si="132"/>
        <v>2.9788000000000001</v>
      </c>
      <c r="AA73" s="311">
        <f t="shared" si="133"/>
        <v>2.9788000000000001</v>
      </c>
      <c r="AB73" s="167">
        <f t="shared" si="134"/>
        <v>4.4681999999999995</v>
      </c>
      <c r="AC73" s="167">
        <f t="shared" si="135"/>
        <v>0</v>
      </c>
      <c r="AD73" s="167">
        <f t="shared" si="136"/>
        <v>2472.4040000000005</v>
      </c>
      <c r="AE73" s="167">
        <f t="shared" si="137"/>
        <v>2472.4040000000005</v>
      </c>
      <c r="AF73" s="167">
        <f t="shared" si="138"/>
        <v>3708.6059999999998</v>
      </c>
      <c r="AG73" s="168">
        <f t="shared" si="13"/>
        <v>0.4</v>
      </c>
      <c r="AH73" s="137"/>
      <c r="AI73" s="311">
        <v>0</v>
      </c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68">
        <v>0.4</v>
      </c>
      <c r="BB73" s="137"/>
      <c r="BC73" s="168">
        <f t="shared" ref="BC73:BJ73" si="142">SUM(BS72:BZ72)</f>
        <v>0</v>
      </c>
      <c r="BD73" s="168">
        <f t="shared" si="140"/>
        <v>0</v>
      </c>
      <c r="BE73" s="168">
        <f t="shared" si="142"/>
        <v>0</v>
      </c>
      <c r="BF73" s="168">
        <f t="shared" si="142"/>
        <v>0</v>
      </c>
      <c r="BG73" s="168">
        <f t="shared" si="142"/>
        <v>0</v>
      </c>
      <c r="BH73" s="168">
        <f t="shared" si="142"/>
        <v>0</v>
      </c>
      <c r="BI73" s="168">
        <f t="shared" si="142"/>
        <v>0</v>
      </c>
      <c r="BJ73" s="168">
        <f t="shared" si="142"/>
        <v>0</v>
      </c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</row>
    <row r="74" spans="1:73" ht="12.75" customHeight="1" x14ac:dyDescent="0.25">
      <c r="A74" s="200"/>
      <c r="B74" s="204" t="s">
        <v>272</v>
      </c>
      <c r="C74" s="340"/>
      <c r="D74" s="203">
        <v>1</v>
      </c>
      <c r="E74" s="203" t="s">
        <v>94</v>
      </c>
      <c r="F74" s="203"/>
      <c r="G74" s="203"/>
      <c r="H74" s="203"/>
      <c r="I74" s="203">
        <f>SUM(I71:I73)*$L$72</f>
        <v>6651.7659999999996</v>
      </c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310">
        <f t="shared" si="131"/>
        <v>0</v>
      </c>
      <c r="Z74" s="311">
        <f t="shared" si="132"/>
        <v>0.2</v>
      </c>
      <c r="AA74" s="311">
        <f t="shared" si="133"/>
        <v>0.2</v>
      </c>
      <c r="AB74" s="167">
        <f t="shared" si="134"/>
        <v>0.8</v>
      </c>
      <c r="AC74" s="167">
        <f t="shared" si="135"/>
        <v>0</v>
      </c>
      <c r="AD74" s="167">
        <f t="shared" si="136"/>
        <v>1330.3532</v>
      </c>
      <c r="AE74" s="167">
        <f t="shared" si="137"/>
        <v>1330.3532</v>
      </c>
      <c r="AF74" s="167">
        <f t="shared" si="138"/>
        <v>5321.4128000000001</v>
      </c>
      <c r="AG74" s="168">
        <f t="shared" si="13"/>
        <v>0.2</v>
      </c>
      <c r="AH74" s="137"/>
      <c r="AI74" s="311">
        <v>0</v>
      </c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68">
        <v>0.2</v>
      </c>
      <c r="BB74" s="137"/>
      <c r="BC74" s="168">
        <f t="shared" ref="BC74:BJ74" si="143">SUM(BS73:BZ73)</f>
        <v>0</v>
      </c>
      <c r="BD74" s="168">
        <f t="shared" si="140"/>
        <v>0</v>
      </c>
      <c r="BE74" s="168">
        <f t="shared" si="143"/>
        <v>0</v>
      </c>
      <c r="BF74" s="168">
        <f t="shared" si="143"/>
        <v>0</v>
      </c>
      <c r="BG74" s="168">
        <f t="shared" si="143"/>
        <v>0</v>
      </c>
      <c r="BH74" s="168">
        <f t="shared" si="143"/>
        <v>0</v>
      </c>
      <c r="BI74" s="168">
        <f t="shared" si="143"/>
        <v>0</v>
      </c>
      <c r="BJ74" s="168">
        <f t="shared" si="143"/>
        <v>0</v>
      </c>
      <c r="BK74" s="137"/>
      <c r="BL74" s="137"/>
      <c r="BM74" s="137"/>
      <c r="BN74" s="137"/>
      <c r="BO74" s="137"/>
      <c r="BP74" s="137"/>
      <c r="BQ74" s="137"/>
      <c r="BR74" s="137"/>
      <c r="BS74" s="137"/>
      <c r="BT74" s="137"/>
      <c r="BU74" s="137"/>
    </row>
    <row r="75" spans="1:73" ht="12.75" customHeight="1" x14ac:dyDescent="0.25">
      <c r="A75" s="228"/>
      <c r="B75" s="510" t="s">
        <v>294</v>
      </c>
      <c r="C75" s="501"/>
      <c r="D75" s="501"/>
      <c r="E75" s="501"/>
      <c r="F75" s="501"/>
      <c r="G75" s="501"/>
      <c r="H75" s="502"/>
      <c r="I75" s="229">
        <f>SUM(I71:I74)</f>
        <v>19955.297999999999</v>
      </c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  <c r="V75" s="230"/>
      <c r="W75" s="230"/>
      <c r="X75" s="232"/>
      <c r="Y75" s="307">
        <f t="shared" ref="Y75:AF75" si="144">SUM(Y71:Y74)</f>
        <v>0</v>
      </c>
      <c r="Z75" s="184">
        <f t="shared" si="144"/>
        <v>6.6416000000000004</v>
      </c>
      <c r="AA75" s="184">
        <f t="shared" si="144"/>
        <v>6.6416000000000004</v>
      </c>
      <c r="AB75" s="235">
        <f t="shared" si="144"/>
        <v>10.462399999999999</v>
      </c>
      <c r="AC75" s="235">
        <f t="shared" si="144"/>
        <v>0</v>
      </c>
      <c r="AD75" s="235">
        <f t="shared" si="144"/>
        <v>6651.7659999999996</v>
      </c>
      <c r="AE75" s="235">
        <f t="shared" si="144"/>
        <v>6651.7659999999996</v>
      </c>
      <c r="AF75" s="235">
        <f t="shared" si="144"/>
        <v>13303.531999999999</v>
      </c>
      <c r="AG75" s="168">
        <f t="shared" si="13"/>
        <v>0.35000000000000003</v>
      </c>
      <c r="AH75" s="237"/>
      <c r="AI75" s="184">
        <v>0</v>
      </c>
      <c r="AJ75" s="230"/>
      <c r="AK75" s="230"/>
      <c r="AL75" s="230"/>
      <c r="AM75" s="230"/>
      <c r="AN75" s="230"/>
      <c r="AO75" s="230"/>
      <c r="AP75" s="230"/>
      <c r="AQ75" s="230"/>
      <c r="AR75" s="230"/>
      <c r="AS75" s="230"/>
      <c r="AT75" s="230"/>
      <c r="AU75" s="230"/>
      <c r="AV75" s="230"/>
      <c r="AW75" s="230"/>
      <c r="AX75" s="230"/>
      <c r="AY75" s="230"/>
      <c r="AZ75" s="230"/>
      <c r="BA75" s="308">
        <f>SUM(BA71:BA74)/COUNT(BA71:BA74)</f>
        <v>0.35000000000000003</v>
      </c>
      <c r="BB75" s="230"/>
      <c r="BC75" s="308">
        <f t="shared" ref="BC75:BJ75" si="145">SUM(BC71:BC74)/COUNT(BC71:BC74)</f>
        <v>0</v>
      </c>
      <c r="BD75" s="308">
        <f>SUM(BD71:BD74)/COUNT(BD71:BD74)</f>
        <v>0</v>
      </c>
      <c r="BE75" s="308">
        <f t="shared" si="145"/>
        <v>0</v>
      </c>
      <c r="BF75" s="308">
        <f t="shared" si="145"/>
        <v>0</v>
      </c>
      <c r="BG75" s="308">
        <f t="shared" si="145"/>
        <v>0</v>
      </c>
      <c r="BH75" s="308">
        <f t="shared" si="145"/>
        <v>0</v>
      </c>
      <c r="BI75" s="308">
        <f t="shared" si="145"/>
        <v>0</v>
      </c>
      <c r="BJ75" s="308">
        <f t="shared" si="145"/>
        <v>0</v>
      </c>
      <c r="BK75" s="230"/>
      <c r="BL75" s="230"/>
      <c r="BM75" s="230"/>
      <c r="BN75" s="230"/>
      <c r="BO75" s="230"/>
      <c r="BP75" s="230"/>
      <c r="BQ75" s="230"/>
      <c r="BR75" s="230"/>
      <c r="BS75" s="230"/>
      <c r="BT75" s="230"/>
      <c r="BU75" s="230"/>
    </row>
    <row r="76" spans="1:73" ht="12.75" customHeight="1" x14ac:dyDescent="0.25">
      <c r="A76" s="200"/>
      <c r="B76" s="339" t="s">
        <v>295</v>
      </c>
      <c r="C76" s="340"/>
      <c r="D76" s="203"/>
      <c r="E76" s="203"/>
      <c r="F76" s="203"/>
      <c r="G76" s="203"/>
      <c r="H76" s="203"/>
      <c r="I76" s="203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310"/>
      <c r="Z76" s="311"/>
      <c r="AA76" s="311"/>
      <c r="AB76" s="167"/>
      <c r="AC76" s="167"/>
      <c r="AD76" s="167"/>
      <c r="AE76" s="167"/>
      <c r="AF76" s="167"/>
      <c r="AG76" s="168">
        <f t="shared" si="13"/>
        <v>0</v>
      </c>
      <c r="AH76" s="137"/>
      <c r="AI76" s="311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137"/>
      <c r="BO76" s="137"/>
      <c r="BP76" s="137"/>
      <c r="BQ76" s="137"/>
      <c r="BR76" s="137"/>
      <c r="BS76" s="137"/>
      <c r="BT76" s="137"/>
      <c r="BU76" s="137"/>
    </row>
    <row r="77" spans="1:73" ht="12.75" customHeight="1" x14ac:dyDescent="0.25">
      <c r="A77" s="200"/>
      <c r="B77" s="291" t="s">
        <v>267</v>
      </c>
      <c r="C77" s="340">
        <v>23.4</v>
      </c>
      <c r="D77" s="203">
        <f t="shared" ref="D77:D81" si="146">C77*$L$23</f>
        <v>25.740000000000002</v>
      </c>
      <c r="E77" s="203" t="s">
        <v>6</v>
      </c>
      <c r="F77" s="203">
        <f>'Material and Labor Cost'!$D$21</f>
        <v>576</v>
      </c>
      <c r="G77" s="203">
        <f>'Material and Labor Cost'!$F$21</f>
        <v>300</v>
      </c>
      <c r="H77" s="203">
        <f t="shared" ref="H77:H81" si="147">SUM(F77:G77)</f>
        <v>876</v>
      </c>
      <c r="I77" s="203">
        <f t="shared" ref="I77:I81" si="148">H77*D77</f>
        <v>22548.240000000002</v>
      </c>
      <c r="J77" s="137"/>
      <c r="K77" s="137"/>
      <c r="L77" s="32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310">
        <f t="shared" ref="Y77:Y82" si="149">SUM(AI77:AP77)</f>
        <v>0</v>
      </c>
      <c r="Z77" s="311">
        <f t="shared" ref="Z77:Z82" si="150">D77*AG77</f>
        <v>25.740000000000002</v>
      </c>
      <c r="AA77" s="311">
        <f t="shared" ref="AA77:AA82" si="151">SUM(Y77:Z77)</f>
        <v>25.740000000000002</v>
      </c>
      <c r="AB77" s="167">
        <f t="shared" ref="AB77:AB82" si="152">D77-AA77</f>
        <v>0</v>
      </c>
      <c r="AC77" s="167">
        <f t="shared" ref="AC77:AC82" si="153">SUM(AR76:AY76)</f>
        <v>0</v>
      </c>
      <c r="AD77" s="167">
        <f t="shared" ref="AD77:AD82" si="154">AG77*I77</f>
        <v>22548.240000000002</v>
      </c>
      <c r="AE77" s="167">
        <f t="shared" ref="AE77:AE82" si="155">SUM(AC77:AD77)</f>
        <v>22548.240000000002</v>
      </c>
      <c r="AF77" s="167">
        <f t="shared" ref="AF77:AF82" si="156">I77-AE77</f>
        <v>0</v>
      </c>
      <c r="AG77" s="168">
        <f t="shared" si="13"/>
        <v>1</v>
      </c>
      <c r="AH77" s="137"/>
      <c r="AI77" s="311">
        <v>0</v>
      </c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68">
        <v>1</v>
      </c>
      <c r="BB77" s="137"/>
      <c r="BC77" s="168">
        <f t="shared" ref="BC77:BJ77" si="157">SUM(BS76:BZ76)</f>
        <v>0</v>
      </c>
      <c r="BD77" s="168">
        <f t="shared" ref="BD77:BD82" si="158">SUM(BN76:BT76)</f>
        <v>0</v>
      </c>
      <c r="BE77" s="168">
        <f t="shared" si="157"/>
        <v>0</v>
      </c>
      <c r="BF77" s="168">
        <f t="shared" si="157"/>
        <v>0</v>
      </c>
      <c r="BG77" s="168">
        <f t="shared" si="157"/>
        <v>0</v>
      </c>
      <c r="BH77" s="168">
        <f t="shared" si="157"/>
        <v>0</v>
      </c>
      <c r="BI77" s="168">
        <f t="shared" si="157"/>
        <v>0</v>
      </c>
      <c r="BJ77" s="168">
        <f t="shared" si="157"/>
        <v>0</v>
      </c>
      <c r="BK77" s="137"/>
      <c r="BL77" s="137"/>
      <c r="BM77" s="137"/>
      <c r="BN77" s="137"/>
      <c r="BO77" s="137"/>
      <c r="BP77" s="137"/>
      <c r="BQ77" s="137"/>
      <c r="BR77" s="137"/>
      <c r="BS77" s="137"/>
      <c r="BT77" s="137"/>
      <c r="BU77" s="137"/>
    </row>
    <row r="78" spans="1:73" ht="12.75" customHeight="1" x14ac:dyDescent="0.25">
      <c r="A78" s="200"/>
      <c r="B78" s="291" t="s">
        <v>269</v>
      </c>
      <c r="C78" s="340">
        <v>7</v>
      </c>
      <c r="D78" s="203">
        <f t="shared" si="146"/>
        <v>7.7000000000000011</v>
      </c>
      <c r="E78" s="203" t="s">
        <v>6</v>
      </c>
      <c r="F78" s="203">
        <f>'Material and Labor Cost'!$D$23</f>
        <v>330</v>
      </c>
      <c r="G78" s="203">
        <f>'Material and Labor Cost'!$F$23</f>
        <v>165</v>
      </c>
      <c r="H78" s="203">
        <f t="shared" si="147"/>
        <v>495</v>
      </c>
      <c r="I78" s="203">
        <f t="shared" si="148"/>
        <v>3811.5000000000005</v>
      </c>
      <c r="J78" s="137"/>
      <c r="K78" s="137"/>
      <c r="L78" s="32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310">
        <f t="shared" si="149"/>
        <v>0</v>
      </c>
      <c r="Z78" s="311">
        <f t="shared" si="150"/>
        <v>7.7000000000000011</v>
      </c>
      <c r="AA78" s="311">
        <f t="shared" si="151"/>
        <v>7.7000000000000011</v>
      </c>
      <c r="AB78" s="167">
        <f t="shared" si="152"/>
        <v>0</v>
      </c>
      <c r="AC78" s="167">
        <f t="shared" si="153"/>
        <v>0</v>
      </c>
      <c r="AD78" s="167">
        <f t="shared" si="154"/>
        <v>3811.5000000000005</v>
      </c>
      <c r="AE78" s="167">
        <f t="shared" si="155"/>
        <v>3811.5000000000005</v>
      </c>
      <c r="AF78" s="167">
        <f t="shared" si="156"/>
        <v>0</v>
      </c>
      <c r="AG78" s="168">
        <f t="shared" si="13"/>
        <v>1</v>
      </c>
      <c r="AH78" s="137"/>
      <c r="AI78" s="311">
        <v>0</v>
      </c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68">
        <v>1</v>
      </c>
      <c r="BB78" s="137"/>
      <c r="BC78" s="168">
        <f t="shared" ref="BC78:BJ78" si="159">SUM(BS77:BZ77)</f>
        <v>0</v>
      </c>
      <c r="BD78" s="168">
        <f t="shared" si="158"/>
        <v>0</v>
      </c>
      <c r="BE78" s="168">
        <f t="shared" si="159"/>
        <v>0</v>
      </c>
      <c r="BF78" s="168">
        <f t="shared" si="159"/>
        <v>0</v>
      </c>
      <c r="BG78" s="168">
        <f t="shared" si="159"/>
        <v>0</v>
      </c>
      <c r="BH78" s="168">
        <f t="shared" si="159"/>
        <v>0</v>
      </c>
      <c r="BI78" s="168">
        <f t="shared" si="159"/>
        <v>0</v>
      </c>
      <c r="BJ78" s="168">
        <f t="shared" si="159"/>
        <v>0</v>
      </c>
      <c r="BK78" s="137"/>
      <c r="BL78" s="137"/>
      <c r="BM78" s="137"/>
      <c r="BN78" s="137"/>
      <c r="BO78" s="137"/>
      <c r="BP78" s="137"/>
      <c r="BQ78" s="137"/>
      <c r="BR78" s="137"/>
      <c r="BS78" s="137"/>
      <c r="BT78" s="137"/>
      <c r="BU78" s="137"/>
    </row>
    <row r="79" spans="1:73" ht="12.75" customHeight="1" x14ac:dyDescent="0.25">
      <c r="A79" s="200"/>
      <c r="B79" s="200" t="s">
        <v>296</v>
      </c>
      <c r="C79" s="340">
        <v>4.8</v>
      </c>
      <c r="D79" s="203">
        <f t="shared" si="146"/>
        <v>5.28</v>
      </c>
      <c r="E79" s="203" t="s">
        <v>114</v>
      </c>
      <c r="F79" s="203">
        <f>'Material and Labor Cost'!$D$33</f>
        <v>330</v>
      </c>
      <c r="G79" s="203">
        <f>'Material and Labor Cost'!$F$33</f>
        <v>165</v>
      </c>
      <c r="H79" s="203">
        <f t="shared" si="147"/>
        <v>495</v>
      </c>
      <c r="I79" s="203">
        <f t="shared" si="148"/>
        <v>2613.6</v>
      </c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310">
        <f t="shared" si="149"/>
        <v>0</v>
      </c>
      <c r="Z79" s="311">
        <f t="shared" si="150"/>
        <v>0</v>
      </c>
      <c r="AA79" s="311">
        <f t="shared" si="151"/>
        <v>0</v>
      </c>
      <c r="AB79" s="167">
        <f t="shared" si="152"/>
        <v>5.28</v>
      </c>
      <c r="AC79" s="167">
        <f t="shared" si="153"/>
        <v>0</v>
      </c>
      <c r="AD79" s="167">
        <f t="shared" si="154"/>
        <v>0</v>
      </c>
      <c r="AE79" s="167">
        <f t="shared" si="155"/>
        <v>0</v>
      </c>
      <c r="AF79" s="167">
        <f t="shared" si="156"/>
        <v>2613.6</v>
      </c>
      <c r="AG79" s="168">
        <f t="shared" si="13"/>
        <v>0</v>
      </c>
      <c r="AH79" s="137"/>
      <c r="AI79" s="311">
        <v>0</v>
      </c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68">
        <f t="shared" ref="BA79:BA80" si="160">SUM(BK78:BQ78)</f>
        <v>0</v>
      </c>
      <c r="BB79" s="137"/>
      <c r="BC79" s="168">
        <f t="shared" ref="BC79:BJ79" si="161">SUM(BS78:BZ78)</f>
        <v>0</v>
      </c>
      <c r="BD79" s="168">
        <f t="shared" si="158"/>
        <v>0</v>
      </c>
      <c r="BE79" s="168">
        <f t="shared" si="161"/>
        <v>0</v>
      </c>
      <c r="BF79" s="168">
        <f t="shared" si="161"/>
        <v>0</v>
      </c>
      <c r="BG79" s="168">
        <f t="shared" si="161"/>
        <v>0</v>
      </c>
      <c r="BH79" s="168">
        <f t="shared" si="161"/>
        <v>0</v>
      </c>
      <c r="BI79" s="168">
        <f t="shared" si="161"/>
        <v>0</v>
      </c>
      <c r="BJ79" s="168">
        <f t="shared" si="161"/>
        <v>0</v>
      </c>
      <c r="BK79" s="137"/>
      <c r="BL79" s="137"/>
      <c r="BM79" s="137"/>
      <c r="BN79" s="137"/>
      <c r="BO79" s="137"/>
      <c r="BP79" s="137"/>
      <c r="BQ79" s="137"/>
      <c r="BR79" s="137"/>
      <c r="BS79" s="137"/>
      <c r="BT79" s="137"/>
      <c r="BU79" s="137"/>
    </row>
    <row r="80" spans="1:73" ht="12.75" customHeight="1" x14ac:dyDescent="0.25">
      <c r="A80" s="200"/>
      <c r="B80" s="200" t="s">
        <v>270</v>
      </c>
      <c r="C80" s="340">
        <v>2.4</v>
      </c>
      <c r="D80" s="203">
        <f t="shared" si="146"/>
        <v>2.64</v>
      </c>
      <c r="E80" s="203" t="s">
        <v>114</v>
      </c>
      <c r="F80" s="203">
        <f>'Material and Labor Cost'!$D$24</f>
        <v>220.00000000000003</v>
      </c>
      <c r="G80" s="203">
        <f>'Material and Labor Cost'!$F$24</f>
        <v>110.00000000000001</v>
      </c>
      <c r="H80" s="203">
        <f t="shared" si="147"/>
        <v>330.00000000000006</v>
      </c>
      <c r="I80" s="203">
        <f t="shared" si="148"/>
        <v>871.20000000000016</v>
      </c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310">
        <f t="shared" si="149"/>
        <v>0</v>
      </c>
      <c r="Z80" s="311">
        <f t="shared" si="150"/>
        <v>0</v>
      </c>
      <c r="AA80" s="311">
        <f t="shared" si="151"/>
        <v>0</v>
      </c>
      <c r="AB80" s="167">
        <f t="shared" si="152"/>
        <v>2.64</v>
      </c>
      <c r="AC80" s="167">
        <f t="shared" si="153"/>
        <v>0</v>
      </c>
      <c r="AD80" s="167">
        <f t="shared" si="154"/>
        <v>0</v>
      </c>
      <c r="AE80" s="167">
        <f t="shared" si="155"/>
        <v>0</v>
      </c>
      <c r="AF80" s="167">
        <f t="shared" si="156"/>
        <v>871.20000000000016</v>
      </c>
      <c r="AG80" s="168">
        <f t="shared" si="13"/>
        <v>0</v>
      </c>
      <c r="AH80" s="137"/>
      <c r="AI80" s="311">
        <v>0</v>
      </c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68">
        <f t="shared" si="160"/>
        <v>0</v>
      </c>
      <c r="BB80" s="137"/>
      <c r="BC80" s="168">
        <f t="shared" ref="BC80:BJ80" si="162">SUM(BS79:BZ79)</f>
        <v>0</v>
      </c>
      <c r="BD80" s="168">
        <f t="shared" si="158"/>
        <v>0</v>
      </c>
      <c r="BE80" s="168">
        <f t="shared" si="162"/>
        <v>0</v>
      </c>
      <c r="BF80" s="168">
        <f t="shared" si="162"/>
        <v>0</v>
      </c>
      <c r="BG80" s="168">
        <f t="shared" si="162"/>
        <v>0</v>
      </c>
      <c r="BH80" s="168">
        <f t="shared" si="162"/>
        <v>0</v>
      </c>
      <c r="BI80" s="168">
        <f t="shared" si="162"/>
        <v>0</v>
      </c>
      <c r="BJ80" s="168">
        <f t="shared" si="162"/>
        <v>0</v>
      </c>
      <c r="BK80" s="137"/>
      <c r="BL80" s="137"/>
      <c r="BM80" s="137"/>
      <c r="BN80" s="137"/>
      <c r="BO80" s="137"/>
      <c r="BP80" s="137"/>
      <c r="BQ80" s="137"/>
      <c r="BR80" s="137"/>
      <c r="BS80" s="137"/>
      <c r="BT80" s="137"/>
      <c r="BU80" s="137"/>
    </row>
    <row r="81" spans="1:73" ht="12.75" customHeight="1" x14ac:dyDescent="0.25">
      <c r="A81" s="200"/>
      <c r="B81" s="200" t="s">
        <v>275</v>
      </c>
      <c r="C81" s="340">
        <v>21.66</v>
      </c>
      <c r="D81" s="203">
        <f t="shared" si="146"/>
        <v>23.826000000000001</v>
      </c>
      <c r="E81" s="203" t="s">
        <v>6</v>
      </c>
      <c r="F81" s="203">
        <f>'Material and Labor Cost'!$D$25</f>
        <v>555</v>
      </c>
      <c r="G81" s="203">
        <f>'Material and Labor Cost'!$F$25</f>
        <v>275</v>
      </c>
      <c r="H81" s="203">
        <f t="shared" si="147"/>
        <v>830</v>
      </c>
      <c r="I81" s="203">
        <f t="shared" si="148"/>
        <v>19775.580000000002</v>
      </c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310">
        <f t="shared" si="149"/>
        <v>0</v>
      </c>
      <c r="Z81" s="311">
        <f t="shared" si="150"/>
        <v>7.1478000000000002</v>
      </c>
      <c r="AA81" s="311">
        <f t="shared" si="151"/>
        <v>7.1478000000000002</v>
      </c>
      <c r="AB81" s="167">
        <f t="shared" si="152"/>
        <v>16.6782</v>
      </c>
      <c r="AC81" s="167">
        <f t="shared" si="153"/>
        <v>0</v>
      </c>
      <c r="AD81" s="167">
        <f t="shared" si="154"/>
        <v>5932.674</v>
      </c>
      <c r="AE81" s="167">
        <f t="shared" si="155"/>
        <v>5932.674</v>
      </c>
      <c r="AF81" s="167">
        <f t="shared" si="156"/>
        <v>13842.906000000003</v>
      </c>
      <c r="AG81" s="168">
        <f t="shared" si="13"/>
        <v>0.3</v>
      </c>
      <c r="AH81" s="137"/>
      <c r="AI81" s="311">
        <v>0</v>
      </c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68">
        <v>0.3</v>
      </c>
      <c r="BB81" s="137"/>
      <c r="BC81" s="168">
        <f t="shared" ref="BC81:BJ81" si="163">SUM(BS80:BZ80)</f>
        <v>0</v>
      </c>
      <c r="BD81" s="168">
        <f t="shared" si="158"/>
        <v>0</v>
      </c>
      <c r="BE81" s="168">
        <f t="shared" si="163"/>
        <v>0</v>
      </c>
      <c r="BF81" s="168">
        <f t="shared" si="163"/>
        <v>0</v>
      </c>
      <c r="BG81" s="168">
        <f t="shared" si="163"/>
        <v>0</v>
      </c>
      <c r="BH81" s="168">
        <f t="shared" si="163"/>
        <v>0</v>
      </c>
      <c r="BI81" s="168">
        <f t="shared" si="163"/>
        <v>0</v>
      </c>
      <c r="BJ81" s="168">
        <f t="shared" si="163"/>
        <v>0</v>
      </c>
      <c r="BK81" s="137"/>
      <c r="BL81" s="137"/>
      <c r="BM81" s="137"/>
      <c r="BN81" s="137"/>
      <c r="BO81" s="137"/>
      <c r="BP81" s="137"/>
      <c r="BQ81" s="137"/>
      <c r="BR81" s="137"/>
      <c r="BS81" s="137"/>
      <c r="BT81" s="137"/>
      <c r="BU81" s="137"/>
    </row>
    <row r="82" spans="1:73" ht="12.75" customHeight="1" x14ac:dyDescent="0.25">
      <c r="A82" s="200"/>
      <c r="B82" s="204" t="s">
        <v>272</v>
      </c>
      <c r="C82" s="340"/>
      <c r="D82" s="203">
        <v>1</v>
      </c>
      <c r="E82" s="203" t="s">
        <v>94</v>
      </c>
      <c r="F82" s="203"/>
      <c r="G82" s="203"/>
      <c r="H82" s="203"/>
      <c r="I82" s="203">
        <f>SUM(I77:I81)*$L$27</f>
        <v>5954.4143999999997</v>
      </c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310">
        <f t="shared" si="149"/>
        <v>0</v>
      </c>
      <c r="Z82" s="311">
        <f t="shared" si="150"/>
        <v>0.3</v>
      </c>
      <c r="AA82" s="311">
        <f t="shared" si="151"/>
        <v>0.3</v>
      </c>
      <c r="AB82" s="167">
        <f t="shared" si="152"/>
        <v>0.7</v>
      </c>
      <c r="AC82" s="167">
        <f t="shared" si="153"/>
        <v>0</v>
      </c>
      <c r="AD82" s="167">
        <f t="shared" si="154"/>
        <v>1786.3243199999999</v>
      </c>
      <c r="AE82" s="167">
        <f t="shared" si="155"/>
        <v>1786.3243199999999</v>
      </c>
      <c r="AF82" s="167">
        <f t="shared" si="156"/>
        <v>4168.0900799999999</v>
      </c>
      <c r="AG82" s="168">
        <f t="shared" si="13"/>
        <v>0.3</v>
      </c>
      <c r="AH82" s="137"/>
      <c r="AI82" s="311">
        <v>0</v>
      </c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68">
        <v>0.3</v>
      </c>
      <c r="BB82" s="137"/>
      <c r="BC82" s="168">
        <f t="shared" ref="BC82:BJ82" si="164">SUM(BS81:BZ81)</f>
        <v>0</v>
      </c>
      <c r="BD82" s="168">
        <f t="shared" si="158"/>
        <v>0</v>
      </c>
      <c r="BE82" s="168">
        <f t="shared" si="164"/>
        <v>0</v>
      </c>
      <c r="BF82" s="168">
        <f t="shared" si="164"/>
        <v>0</v>
      </c>
      <c r="BG82" s="168">
        <f t="shared" si="164"/>
        <v>0</v>
      </c>
      <c r="BH82" s="168">
        <f t="shared" si="164"/>
        <v>0</v>
      </c>
      <c r="BI82" s="168">
        <f t="shared" si="164"/>
        <v>0</v>
      </c>
      <c r="BJ82" s="168">
        <f t="shared" si="164"/>
        <v>0</v>
      </c>
      <c r="BK82" s="137"/>
      <c r="BL82" s="137"/>
      <c r="BM82" s="137"/>
      <c r="BN82" s="137"/>
      <c r="BO82" s="137"/>
      <c r="BP82" s="137"/>
      <c r="BQ82" s="137"/>
      <c r="BR82" s="137"/>
      <c r="BS82" s="137"/>
      <c r="BT82" s="137"/>
      <c r="BU82" s="137"/>
    </row>
    <row r="83" spans="1:73" ht="12.75" customHeight="1" x14ac:dyDescent="0.25">
      <c r="A83" s="228"/>
      <c r="B83" s="510" t="s">
        <v>297</v>
      </c>
      <c r="C83" s="501"/>
      <c r="D83" s="501"/>
      <c r="E83" s="501"/>
      <c r="F83" s="501"/>
      <c r="G83" s="501"/>
      <c r="H83" s="502"/>
      <c r="I83" s="229">
        <f>SUM(I77:I82)</f>
        <v>55574.534400000004</v>
      </c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2"/>
      <c r="Y83" s="307">
        <f t="shared" ref="Y83:AF83" si="165">SUM(Y77:Y82)</f>
        <v>0</v>
      </c>
      <c r="Z83" s="184">
        <f t="shared" si="165"/>
        <v>40.887799999999999</v>
      </c>
      <c r="AA83" s="184">
        <f t="shared" si="165"/>
        <v>40.887799999999999</v>
      </c>
      <c r="AB83" s="235">
        <f t="shared" si="165"/>
        <v>25.298199999999998</v>
      </c>
      <c r="AC83" s="235">
        <f t="shared" si="165"/>
        <v>0</v>
      </c>
      <c r="AD83" s="235">
        <f t="shared" si="165"/>
        <v>34078.738320000004</v>
      </c>
      <c r="AE83" s="235">
        <f t="shared" si="165"/>
        <v>34078.738320000004</v>
      </c>
      <c r="AF83" s="235">
        <f t="shared" si="165"/>
        <v>21495.79608</v>
      </c>
      <c r="AG83" s="168">
        <f t="shared" si="13"/>
        <v>0.43333333333333329</v>
      </c>
      <c r="AH83" s="237"/>
      <c r="AI83" s="184">
        <v>0</v>
      </c>
      <c r="AJ83" s="230"/>
      <c r="AK83" s="230"/>
      <c r="AL83" s="230"/>
      <c r="AM83" s="230"/>
      <c r="AN83" s="230"/>
      <c r="AO83" s="230"/>
      <c r="AP83" s="230"/>
      <c r="AQ83" s="230"/>
      <c r="AR83" s="230"/>
      <c r="AS83" s="230"/>
      <c r="AT83" s="230"/>
      <c r="AU83" s="230"/>
      <c r="AV83" s="230"/>
      <c r="AW83" s="230"/>
      <c r="AX83" s="230"/>
      <c r="AY83" s="230"/>
      <c r="AZ83" s="230"/>
      <c r="BA83" s="308">
        <f>SUM(BA77:BA82)/COUNT(BA77:BA82)</f>
        <v>0.43333333333333329</v>
      </c>
      <c r="BB83" s="230"/>
      <c r="BC83" s="308">
        <f t="shared" ref="BC83:BJ83" si="166">SUM(BC77:BC82)/COUNT(BC77:BC82)</f>
        <v>0</v>
      </c>
      <c r="BD83" s="308">
        <f>SUM(BD77:BD82)/COUNT(BD77:BD82)</f>
        <v>0</v>
      </c>
      <c r="BE83" s="308">
        <f t="shared" si="166"/>
        <v>0</v>
      </c>
      <c r="BF83" s="308">
        <f t="shared" si="166"/>
        <v>0</v>
      </c>
      <c r="BG83" s="308">
        <f t="shared" si="166"/>
        <v>0</v>
      </c>
      <c r="BH83" s="308">
        <f t="shared" si="166"/>
        <v>0</v>
      </c>
      <c r="BI83" s="308">
        <f t="shared" si="166"/>
        <v>0</v>
      </c>
      <c r="BJ83" s="308">
        <f t="shared" si="166"/>
        <v>0</v>
      </c>
      <c r="BK83" s="230"/>
      <c r="BL83" s="230"/>
      <c r="BM83" s="230"/>
      <c r="BN83" s="230"/>
      <c r="BO83" s="230"/>
      <c r="BP83" s="230"/>
      <c r="BQ83" s="230"/>
      <c r="BR83" s="230"/>
      <c r="BS83" s="230"/>
      <c r="BT83" s="230"/>
      <c r="BU83" s="230"/>
    </row>
    <row r="84" spans="1:73" ht="12.75" customHeight="1" x14ac:dyDescent="0.25">
      <c r="A84" s="200"/>
      <c r="B84" s="339" t="s">
        <v>298</v>
      </c>
      <c r="C84" s="340"/>
      <c r="D84" s="203"/>
      <c r="E84" s="203"/>
      <c r="F84" s="203"/>
      <c r="G84" s="203"/>
      <c r="H84" s="203"/>
      <c r="I84" s="203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310"/>
      <c r="Z84" s="311"/>
      <c r="AA84" s="311"/>
      <c r="AB84" s="167"/>
      <c r="AC84" s="167"/>
      <c r="AD84" s="167"/>
      <c r="AE84" s="167"/>
      <c r="AF84" s="167"/>
      <c r="AG84" s="168">
        <f t="shared" si="13"/>
        <v>0</v>
      </c>
      <c r="AH84" s="137"/>
      <c r="AI84" s="311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137"/>
      <c r="BO84" s="137"/>
      <c r="BP84" s="137"/>
      <c r="BQ84" s="137"/>
      <c r="BR84" s="137"/>
      <c r="BS84" s="137"/>
      <c r="BT84" s="137"/>
      <c r="BU84" s="137"/>
    </row>
    <row r="85" spans="1:73" ht="12.75" customHeight="1" x14ac:dyDescent="0.25">
      <c r="A85" s="200"/>
      <c r="B85" s="291" t="s">
        <v>267</v>
      </c>
      <c r="C85" s="340">
        <v>23.41</v>
      </c>
      <c r="D85" s="203">
        <f t="shared" ref="D85:D86" si="167">C85*$L$23</f>
        <v>25.751000000000001</v>
      </c>
      <c r="E85" s="203" t="s">
        <v>6</v>
      </c>
      <c r="F85" s="203">
        <f>'Material and Labor Cost'!$D$21</f>
        <v>576</v>
      </c>
      <c r="G85" s="203">
        <f>'Material and Labor Cost'!$F$21</f>
        <v>300</v>
      </c>
      <c r="H85" s="203">
        <f t="shared" ref="H85:H89" si="168">SUM(F85:G85)</f>
        <v>876</v>
      </c>
      <c r="I85" s="203">
        <f t="shared" ref="I85:I89" si="169">H85*D85</f>
        <v>22557.876</v>
      </c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310">
        <f t="shared" ref="Y85:Y90" si="170">SUM(AI85:AP85)</f>
        <v>0</v>
      </c>
      <c r="Z85" s="311">
        <f t="shared" ref="Z85:Z90" si="171">D85*AG85</f>
        <v>25.751000000000001</v>
      </c>
      <c r="AA85" s="311">
        <f t="shared" ref="AA85:AA90" si="172">SUM(Y85:Z85)</f>
        <v>25.751000000000001</v>
      </c>
      <c r="AB85" s="167">
        <f t="shared" ref="AB85:AB90" si="173">D85-AA85</f>
        <v>0</v>
      </c>
      <c r="AC85" s="167">
        <f t="shared" ref="AC85:AC90" si="174">SUM(AR84:AY84)</f>
        <v>0</v>
      </c>
      <c r="AD85" s="167">
        <f t="shared" ref="AD85:AD90" si="175">AG85*I85</f>
        <v>22557.876</v>
      </c>
      <c r="AE85" s="167">
        <f t="shared" ref="AE85:AE90" si="176">SUM(AC85:AD85)</f>
        <v>22557.876</v>
      </c>
      <c r="AF85" s="167">
        <f t="shared" ref="AF85:AF90" si="177">I85-AE85</f>
        <v>0</v>
      </c>
      <c r="AG85" s="168">
        <f t="shared" si="13"/>
        <v>1</v>
      </c>
      <c r="AH85" s="137"/>
      <c r="AI85" s="311">
        <v>0</v>
      </c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68">
        <v>1</v>
      </c>
      <c r="BB85" s="137"/>
      <c r="BC85" s="168">
        <f t="shared" ref="BC85:BJ85" si="178">SUM(BS84:BZ84)</f>
        <v>0</v>
      </c>
      <c r="BD85" s="168">
        <f t="shared" ref="BD85:BD90" si="179">SUM(BN84:BT84)</f>
        <v>0</v>
      </c>
      <c r="BE85" s="168">
        <f t="shared" si="178"/>
        <v>0</v>
      </c>
      <c r="BF85" s="168">
        <f t="shared" si="178"/>
        <v>0</v>
      </c>
      <c r="BG85" s="168">
        <f t="shared" si="178"/>
        <v>0</v>
      </c>
      <c r="BH85" s="168">
        <f t="shared" si="178"/>
        <v>0</v>
      </c>
      <c r="BI85" s="168">
        <f t="shared" si="178"/>
        <v>0</v>
      </c>
      <c r="BJ85" s="168">
        <f t="shared" si="178"/>
        <v>0</v>
      </c>
      <c r="BK85" s="137"/>
      <c r="BL85" s="137"/>
      <c r="BM85" s="137"/>
      <c r="BN85" s="137"/>
      <c r="BO85" s="137"/>
      <c r="BP85" s="137"/>
      <c r="BQ85" s="137"/>
      <c r="BR85" s="137"/>
      <c r="BS85" s="137"/>
      <c r="BT85" s="137"/>
      <c r="BU85" s="137"/>
    </row>
    <row r="86" spans="1:73" ht="12.75" customHeight="1" x14ac:dyDescent="0.25">
      <c r="A86" s="200"/>
      <c r="B86" s="291" t="s">
        <v>269</v>
      </c>
      <c r="C86" s="340">
        <v>3.4</v>
      </c>
      <c r="D86" s="203">
        <f t="shared" si="167"/>
        <v>3.74</v>
      </c>
      <c r="E86" s="203" t="s">
        <v>6</v>
      </c>
      <c r="F86" s="203">
        <f>'Material and Labor Cost'!$D$23</f>
        <v>330</v>
      </c>
      <c r="G86" s="203">
        <f>'Material and Labor Cost'!$F$23</f>
        <v>165</v>
      </c>
      <c r="H86" s="203">
        <f t="shared" si="168"/>
        <v>495</v>
      </c>
      <c r="I86" s="203">
        <f t="shared" si="169"/>
        <v>1851.3000000000002</v>
      </c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310">
        <f t="shared" si="170"/>
        <v>0</v>
      </c>
      <c r="Z86" s="311">
        <f t="shared" si="171"/>
        <v>3.74</v>
      </c>
      <c r="AA86" s="311">
        <f t="shared" si="172"/>
        <v>3.74</v>
      </c>
      <c r="AB86" s="167">
        <f t="shared" si="173"/>
        <v>0</v>
      </c>
      <c r="AC86" s="167">
        <f t="shared" si="174"/>
        <v>0</v>
      </c>
      <c r="AD86" s="167">
        <f t="shared" si="175"/>
        <v>1851.3000000000002</v>
      </c>
      <c r="AE86" s="167">
        <f t="shared" si="176"/>
        <v>1851.3000000000002</v>
      </c>
      <c r="AF86" s="167">
        <f t="shared" si="177"/>
        <v>0</v>
      </c>
      <c r="AG86" s="168">
        <f t="shared" ref="AG86:AG149" si="180">BA86</f>
        <v>1</v>
      </c>
      <c r="AH86" s="137"/>
      <c r="AI86" s="311">
        <v>0</v>
      </c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68">
        <v>1</v>
      </c>
      <c r="BB86" s="137"/>
      <c r="BC86" s="168">
        <f t="shared" ref="BC86:BJ86" si="181">SUM(BS85:BZ85)</f>
        <v>0</v>
      </c>
      <c r="BD86" s="168">
        <f t="shared" si="179"/>
        <v>0</v>
      </c>
      <c r="BE86" s="168">
        <f t="shared" si="181"/>
        <v>0</v>
      </c>
      <c r="BF86" s="168">
        <f t="shared" si="181"/>
        <v>0</v>
      </c>
      <c r="BG86" s="168">
        <f t="shared" si="181"/>
        <v>0</v>
      </c>
      <c r="BH86" s="168">
        <f t="shared" si="181"/>
        <v>0</v>
      </c>
      <c r="BI86" s="168">
        <f t="shared" si="181"/>
        <v>0</v>
      </c>
      <c r="BJ86" s="168">
        <f t="shared" si="181"/>
        <v>0</v>
      </c>
      <c r="BK86" s="137"/>
      <c r="BL86" s="137"/>
      <c r="BM86" s="137"/>
      <c r="BN86" s="137"/>
      <c r="BO86" s="137"/>
      <c r="BP86" s="137"/>
      <c r="BQ86" s="137"/>
      <c r="BR86" s="137"/>
      <c r="BS86" s="137"/>
      <c r="BT86" s="137"/>
      <c r="BU86" s="137"/>
    </row>
    <row r="87" spans="1:73" ht="12.75" customHeight="1" x14ac:dyDescent="0.25">
      <c r="A87" s="200"/>
      <c r="B87" s="200" t="s">
        <v>299</v>
      </c>
      <c r="C87" s="340"/>
      <c r="D87" s="203">
        <v>8</v>
      </c>
      <c r="E87" s="203" t="s">
        <v>118</v>
      </c>
      <c r="F87" s="203">
        <f>'Material and Labor Cost'!$D$24</f>
        <v>220.00000000000003</v>
      </c>
      <c r="G87" s="203">
        <f>'Material and Labor Cost'!$F$24</f>
        <v>110.00000000000001</v>
      </c>
      <c r="H87" s="203">
        <f t="shared" si="168"/>
        <v>330.00000000000006</v>
      </c>
      <c r="I87" s="203">
        <f t="shared" si="169"/>
        <v>2640.0000000000005</v>
      </c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310">
        <f t="shared" si="170"/>
        <v>0</v>
      </c>
      <c r="Z87" s="311">
        <f t="shared" si="171"/>
        <v>0</v>
      </c>
      <c r="AA87" s="311">
        <f t="shared" si="172"/>
        <v>0</v>
      </c>
      <c r="AB87" s="167">
        <f t="shared" si="173"/>
        <v>8</v>
      </c>
      <c r="AC87" s="167">
        <f t="shared" si="174"/>
        <v>0</v>
      </c>
      <c r="AD87" s="167">
        <f t="shared" si="175"/>
        <v>0</v>
      </c>
      <c r="AE87" s="167">
        <f t="shared" si="176"/>
        <v>0</v>
      </c>
      <c r="AF87" s="167">
        <f t="shared" si="177"/>
        <v>2640.0000000000005</v>
      </c>
      <c r="AG87" s="168">
        <f t="shared" si="180"/>
        <v>0</v>
      </c>
      <c r="AH87" s="137"/>
      <c r="AI87" s="311">
        <v>0</v>
      </c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68">
        <f t="shared" ref="BA87:BA88" si="182">SUM(BK86:BQ86)</f>
        <v>0</v>
      </c>
      <c r="BB87" s="137"/>
      <c r="BC87" s="168">
        <f t="shared" ref="BC87:BJ87" si="183">SUM(BS86:BZ86)</f>
        <v>0</v>
      </c>
      <c r="BD87" s="168">
        <f t="shared" si="179"/>
        <v>0</v>
      </c>
      <c r="BE87" s="168">
        <f t="shared" si="183"/>
        <v>0</v>
      </c>
      <c r="BF87" s="168">
        <f t="shared" si="183"/>
        <v>0</v>
      </c>
      <c r="BG87" s="168">
        <f t="shared" si="183"/>
        <v>0</v>
      </c>
      <c r="BH87" s="168">
        <f t="shared" si="183"/>
        <v>0</v>
      </c>
      <c r="BI87" s="168">
        <f t="shared" si="183"/>
        <v>0</v>
      </c>
      <c r="BJ87" s="168">
        <f t="shared" si="183"/>
        <v>0</v>
      </c>
      <c r="BK87" s="137"/>
      <c r="BL87" s="137"/>
      <c r="BM87" s="137"/>
      <c r="BN87" s="137"/>
      <c r="BO87" s="137"/>
      <c r="BP87" s="137"/>
      <c r="BQ87" s="137"/>
      <c r="BR87" s="137"/>
      <c r="BS87" s="137"/>
      <c r="BT87" s="137"/>
      <c r="BU87" s="137"/>
    </row>
    <row r="88" spans="1:73" ht="12.75" customHeight="1" x14ac:dyDescent="0.25">
      <c r="A88" s="200"/>
      <c r="B88" s="200" t="s">
        <v>300</v>
      </c>
      <c r="C88" s="340">
        <v>1.22</v>
      </c>
      <c r="D88" s="203">
        <f t="shared" ref="D88:D89" si="184">C88*$L$23</f>
        <v>1.3420000000000001</v>
      </c>
      <c r="E88" s="203" t="s">
        <v>6</v>
      </c>
      <c r="F88" s="203">
        <f>'Material and Labor Cost'!$D$34</f>
        <v>1265</v>
      </c>
      <c r="G88" s="203">
        <f>'Material and Labor Cost'!$F$34</f>
        <v>640</v>
      </c>
      <c r="H88" s="203">
        <f t="shared" si="168"/>
        <v>1905</v>
      </c>
      <c r="I88" s="203">
        <f t="shared" si="169"/>
        <v>2556.5100000000002</v>
      </c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310">
        <f t="shared" si="170"/>
        <v>0</v>
      </c>
      <c r="Z88" s="311">
        <f t="shared" si="171"/>
        <v>0</v>
      </c>
      <c r="AA88" s="311">
        <f t="shared" si="172"/>
        <v>0</v>
      </c>
      <c r="AB88" s="167">
        <f t="shared" si="173"/>
        <v>1.3420000000000001</v>
      </c>
      <c r="AC88" s="167">
        <f t="shared" si="174"/>
        <v>0</v>
      </c>
      <c r="AD88" s="167">
        <f t="shared" si="175"/>
        <v>0</v>
      </c>
      <c r="AE88" s="167">
        <f t="shared" si="176"/>
        <v>0</v>
      </c>
      <c r="AF88" s="167">
        <f t="shared" si="177"/>
        <v>2556.5100000000002</v>
      </c>
      <c r="AG88" s="168">
        <f t="shared" si="180"/>
        <v>0</v>
      </c>
      <c r="AH88" s="137"/>
      <c r="AI88" s="311">
        <v>0</v>
      </c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68">
        <f t="shared" si="182"/>
        <v>0</v>
      </c>
      <c r="BB88" s="137"/>
      <c r="BC88" s="168">
        <f t="shared" ref="BC88:BJ88" si="185">SUM(BS87:BZ87)</f>
        <v>0</v>
      </c>
      <c r="BD88" s="168">
        <f t="shared" si="179"/>
        <v>0</v>
      </c>
      <c r="BE88" s="168">
        <f t="shared" si="185"/>
        <v>0</v>
      </c>
      <c r="BF88" s="168">
        <f t="shared" si="185"/>
        <v>0</v>
      </c>
      <c r="BG88" s="168">
        <f t="shared" si="185"/>
        <v>0</v>
      </c>
      <c r="BH88" s="168">
        <f t="shared" si="185"/>
        <v>0</v>
      </c>
      <c r="BI88" s="168">
        <f t="shared" si="185"/>
        <v>0</v>
      </c>
      <c r="BJ88" s="168">
        <f t="shared" si="185"/>
        <v>0</v>
      </c>
      <c r="BK88" s="137"/>
      <c r="BL88" s="137"/>
      <c r="BM88" s="137"/>
      <c r="BN88" s="137"/>
      <c r="BO88" s="137"/>
      <c r="BP88" s="137"/>
      <c r="BQ88" s="137"/>
      <c r="BR88" s="137"/>
      <c r="BS88" s="137"/>
      <c r="BT88" s="137"/>
      <c r="BU88" s="137"/>
    </row>
    <row r="89" spans="1:73" ht="12.75" customHeight="1" x14ac:dyDescent="0.25">
      <c r="A89" s="200"/>
      <c r="B89" s="200" t="s">
        <v>275</v>
      </c>
      <c r="C89" s="340">
        <v>18.73</v>
      </c>
      <c r="D89" s="203">
        <f t="shared" si="184"/>
        <v>20.603000000000002</v>
      </c>
      <c r="E89" s="203" t="s">
        <v>6</v>
      </c>
      <c r="F89" s="203">
        <f>'Material and Labor Cost'!$D$25</f>
        <v>555</v>
      </c>
      <c r="G89" s="203">
        <f>'Material and Labor Cost'!$F$25</f>
        <v>275</v>
      </c>
      <c r="H89" s="203">
        <f t="shared" si="168"/>
        <v>830</v>
      </c>
      <c r="I89" s="203">
        <f t="shared" si="169"/>
        <v>17100.490000000002</v>
      </c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310">
        <f t="shared" si="170"/>
        <v>0</v>
      </c>
      <c r="Z89" s="311">
        <f t="shared" si="171"/>
        <v>12.361800000000001</v>
      </c>
      <c r="AA89" s="311">
        <f t="shared" si="172"/>
        <v>12.361800000000001</v>
      </c>
      <c r="AB89" s="167">
        <f t="shared" si="173"/>
        <v>8.241200000000001</v>
      </c>
      <c r="AC89" s="167">
        <f t="shared" si="174"/>
        <v>0</v>
      </c>
      <c r="AD89" s="167">
        <f t="shared" si="175"/>
        <v>10260.294</v>
      </c>
      <c r="AE89" s="167">
        <f t="shared" si="176"/>
        <v>10260.294</v>
      </c>
      <c r="AF89" s="167">
        <f t="shared" si="177"/>
        <v>6840.1960000000017</v>
      </c>
      <c r="AG89" s="168">
        <f t="shared" si="180"/>
        <v>0.6</v>
      </c>
      <c r="AH89" s="137"/>
      <c r="AI89" s="311">
        <v>0</v>
      </c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68">
        <v>0.6</v>
      </c>
      <c r="BB89" s="137"/>
      <c r="BC89" s="168">
        <f t="shared" ref="BC89:BJ89" si="186">SUM(BS88:BZ88)</f>
        <v>0</v>
      </c>
      <c r="BD89" s="168">
        <f t="shared" si="179"/>
        <v>0</v>
      </c>
      <c r="BE89" s="168">
        <f t="shared" si="186"/>
        <v>0</v>
      </c>
      <c r="BF89" s="168">
        <f t="shared" si="186"/>
        <v>0</v>
      </c>
      <c r="BG89" s="168">
        <f t="shared" si="186"/>
        <v>0</v>
      </c>
      <c r="BH89" s="168">
        <f t="shared" si="186"/>
        <v>0</v>
      </c>
      <c r="BI89" s="168">
        <f t="shared" si="186"/>
        <v>0</v>
      </c>
      <c r="BJ89" s="168">
        <f t="shared" si="186"/>
        <v>0</v>
      </c>
      <c r="BK89" s="137"/>
      <c r="BL89" s="137"/>
      <c r="BM89" s="137"/>
      <c r="BN89" s="137"/>
      <c r="BO89" s="137"/>
      <c r="BP89" s="137"/>
      <c r="BQ89" s="137"/>
      <c r="BR89" s="137"/>
      <c r="BS89" s="137"/>
      <c r="BT89" s="137"/>
      <c r="BU89" s="137"/>
    </row>
    <row r="90" spans="1:73" ht="12.75" customHeight="1" x14ac:dyDescent="0.25">
      <c r="A90" s="200"/>
      <c r="B90" s="204" t="s">
        <v>272</v>
      </c>
      <c r="C90" s="340"/>
      <c r="D90" s="203">
        <v>1</v>
      </c>
      <c r="E90" s="203" t="s">
        <v>94</v>
      </c>
      <c r="F90" s="203"/>
      <c r="G90" s="203"/>
      <c r="H90" s="203"/>
      <c r="I90" s="203">
        <f>SUM(I85:I89)*$L$27</f>
        <v>5604.7411200000006</v>
      </c>
      <c r="J90" s="137"/>
      <c r="K90" s="137"/>
      <c r="L90" s="137"/>
      <c r="M90" s="32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310">
        <f t="shared" si="170"/>
        <v>0</v>
      </c>
      <c r="Z90" s="311">
        <f t="shared" si="171"/>
        <v>0.6</v>
      </c>
      <c r="AA90" s="311">
        <f t="shared" si="172"/>
        <v>0.6</v>
      </c>
      <c r="AB90" s="167">
        <f t="shared" si="173"/>
        <v>0.4</v>
      </c>
      <c r="AC90" s="167">
        <f t="shared" si="174"/>
        <v>0</v>
      </c>
      <c r="AD90" s="167">
        <f t="shared" si="175"/>
        <v>3362.8446720000002</v>
      </c>
      <c r="AE90" s="167">
        <f t="shared" si="176"/>
        <v>3362.8446720000002</v>
      </c>
      <c r="AF90" s="167">
        <f t="shared" si="177"/>
        <v>2241.8964480000004</v>
      </c>
      <c r="AG90" s="168">
        <f t="shared" si="180"/>
        <v>0.6</v>
      </c>
      <c r="AH90" s="137"/>
      <c r="AI90" s="311">
        <v>0</v>
      </c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68">
        <v>0.6</v>
      </c>
      <c r="BB90" s="137"/>
      <c r="BC90" s="168">
        <f t="shared" ref="BC90:BJ90" si="187">SUM(BS89:BZ89)</f>
        <v>0</v>
      </c>
      <c r="BD90" s="168">
        <f t="shared" si="179"/>
        <v>0</v>
      </c>
      <c r="BE90" s="168">
        <f t="shared" si="187"/>
        <v>0</v>
      </c>
      <c r="BF90" s="168">
        <f t="shared" si="187"/>
        <v>0</v>
      </c>
      <c r="BG90" s="168">
        <f t="shared" si="187"/>
        <v>0</v>
      </c>
      <c r="BH90" s="168">
        <f t="shared" si="187"/>
        <v>0</v>
      </c>
      <c r="BI90" s="168">
        <f t="shared" si="187"/>
        <v>0</v>
      </c>
      <c r="BJ90" s="168">
        <f t="shared" si="187"/>
        <v>0</v>
      </c>
      <c r="BK90" s="137"/>
      <c r="BL90" s="137"/>
      <c r="BM90" s="137"/>
      <c r="BN90" s="137"/>
      <c r="BO90" s="137"/>
      <c r="BP90" s="137"/>
      <c r="BQ90" s="137"/>
      <c r="BR90" s="137"/>
      <c r="BS90" s="137"/>
      <c r="BT90" s="137"/>
      <c r="BU90" s="137"/>
    </row>
    <row r="91" spans="1:73" ht="12.75" customHeight="1" x14ac:dyDescent="0.25">
      <c r="A91" s="228"/>
      <c r="B91" s="510" t="s">
        <v>301</v>
      </c>
      <c r="C91" s="501"/>
      <c r="D91" s="501"/>
      <c r="E91" s="501"/>
      <c r="F91" s="501"/>
      <c r="G91" s="501"/>
      <c r="H91" s="502"/>
      <c r="I91" s="229">
        <f>SUM(I85:I90)</f>
        <v>52310.917120000006</v>
      </c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2"/>
      <c r="Y91" s="307">
        <f t="shared" ref="Y91:AF91" si="188">SUM(Y85:Y90)</f>
        <v>0</v>
      </c>
      <c r="Z91" s="184">
        <f t="shared" si="188"/>
        <v>42.452800000000003</v>
      </c>
      <c r="AA91" s="184">
        <f t="shared" si="188"/>
        <v>42.452800000000003</v>
      </c>
      <c r="AB91" s="235">
        <f t="shared" si="188"/>
        <v>17.9832</v>
      </c>
      <c r="AC91" s="235">
        <f t="shared" si="188"/>
        <v>0</v>
      </c>
      <c r="AD91" s="235">
        <f t="shared" si="188"/>
        <v>38032.314672</v>
      </c>
      <c r="AE91" s="235">
        <f t="shared" si="188"/>
        <v>38032.314672</v>
      </c>
      <c r="AF91" s="235">
        <f t="shared" si="188"/>
        <v>14278.602448000001</v>
      </c>
      <c r="AG91" s="168">
        <f t="shared" si="180"/>
        <v>0.53333333333333333</v>
      </c>
      <c r="AH91" s="237"/>
      <c r="AI91" s="184">
        <v>0</v>
      </c>
      <c r="AJ91" s="230"/>
      <c r="AK91" s="230"/>
      <c r="AL91" s="230"/>
      <c r="AM91" s="230"/>
      <c r="AN91" s="230"/>
      <c r="AO91" s="230"/>
      <c r="AP91" s="230"/>
      <c r="AQ91" s="230"/>
      <c r="AR91" s="230"/>
      <c r="AS91" s="230"/>
      <c r="AT91" s="230"/>
      <c r="AU91" s="230"/>
      <c r="AV91" s="230"/>
      <c r="AW91" s="230"/>
      <c r="AX91" s="230"/>
      <c r="AY91" s="230"/>
      <c r="AZ91" s="230"/>
      <c r="BA91" s="308">
        <f>SUM(BA85:BA90)/COUNT(BA85:BA90)</f>
        <v>0.53333333333333333</v>
      </c>
      <c r="BB91" s="230"/>
      <c r="BC91" s="308">
        <f t="shared" ref="BC91:BJ91" si="189">SUM(BC85:BC90)/COUNT(BC85:BC90)</f>
        <v>0</v>
      </c>
      <c r="BD91" s="308">
        <f>SUM(BD85:BD90)/COUNT(BD85:BD90)</f>
        <v>0</v>
      </c>
      <c r="BE91" s="308">
        <f t="shared" si="189"/>
        <v>0</v>
      </c>
      <c r="BF91" s="308">
        <f t="shared" si="189"/>
        <v>0</v>
      </c>
      <c r="BG91" s="308">
        <f t="shared" si="189"/>
        <v>0</v>
      </c>
      <c r="BH91" s="308">
        <f t="shared" si="189"/>
        <v>0</v>
      </c>
      <c r="BI91" s="308">
        <f t="shared" si="189"/>
        <v>0</v>
      </c>
      <c r="BJ91" s="308">
        <f t="shared" si="189"/>
        <v>0</v>
      </c>
      <c r="BK91" s="230"/>
      <c r="BL91" s="230"/>
      <c r="BM91" s="230"/>
      <c r="BN91" s="230"/>
      <c r="BO91" s="230"/>
      <c r="BP91" s="230"/>
      <c r="BQ91" s="230"/>
      <c r="BR91" s="230"/>
      <c r="BS91" s="230"/>
      <c r="BT91" s="230"/>
      <c r="BU91" s="230"/>
    </row>
    <row r="92" spans="1:73" ht="12.75" customHeight="1" x14ac:dyDescent="0.25">
      <c r="A92" s="200"/>
      <c r="B92" s="339" t="s">
        <v>302</v>
      </c>
      <c r="C92" s="340"/>
      <c r="D92" s="203"/>
      <c r="E92" s="203"/>
      <c r="F92" s="203"/>
      <c r="G92" s="203"/>
      <c r="H92" s="203"/>
      <c r="I92" s="203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310"/>
      <c r="Z92" s="311"/>
      <c r="AA92" s="311"/>
      <c r="AB92" s="167"/>
      <c r="AC92" s="167"/>
      <c r="AD92" s="167"/>
      <c r="AE92" s="167"/>
      <c r="AF92" s="167"/>
      <c r="AG92" s="168">
        <f t="shared" si="180"/>
        <v>0</v>
      </c>
      <c r="AH92" s="137"/>
      <c r="AI92" s="311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/>
      <c r="BN92" s="137"/>
      <c r="BO92" s="137"/>
      <c r="BP92" s="137"/>
      <c r="BQ92" s="137"/>
      <c r="BR92" s="137"/>
      <c r="BS92" s="137"/>
      <c r="BT92" s="137"/>
      <c r="BU92" s="137"/>
    </row>
    <row r="93" spans="1:73" ht="12.75" customHeight="1" x14ac:dyDescent="0.25">
      <c r="A93" s="200"/>
      <c r="B93" s="291" t="s">
        <v>267</v>
      </c>
      <c r="C93" s="340">
        <v>30.24</v>
      </c>
      <c r="D93" s="203">
        <f t="shared" ref="D93:D97" si="190">C93*$L$23</f>
        <v>33.264000000000003</v>
      </c>
      <c r="E93" s="203" t="s">
        <v>6</v>
      </c>
      <c r="F93" s="203">
        <f>'Material and Labor Cost'!$D$21</f>
        <v>576</v>
      </c>
      <c r="G93" s="203">
        <f>'Material and Labor Cost'!$F$21</f>
        <v>300</v>
      </c>
      <c r="H93" s="203">
        <f t="shared" ref="H93:H97" si="191">SUM(F93:G93)</f>
        <v>876</v>
      </c>
      <c r="I93" s="203">
        <f t="shared" ref="I93:I97" si="192">H93*D93</f>
        <v>29139.264000000003</v>
      </c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310">
        <f t="shared" ref="Y93:Y98" si="193">SUM(AI93:AP93)</f>
        <v>0</v>
      </c>
      <c r="Z93" s="311">
        <f t="shared" ref="Z93:Z98" si="194">D93*AG93</f>
        <v>33.264000000000003</v>
      </c>
      <c r="AA93" s="311">
        <f t="shared" ref="AA93:AA98" si="195">SUM(Y93:Z93)</f>
        <v>33.264000000000003</v>
      </c>
      <c r="AB93" s="167">
        <f t="shared" ref="AB93:AB98" si="196">D93-AA93</f>
        <v>0</v>
      </c>
      <c r="AC93" s="167">
        <f t="shared" ref="AC93:AC98" si="197">SUM(AR92:AY92)</f>
        <v>0</v>
      </c>
      <c r="AD93" s="167">
        <f t="shared" ref="AD93:AD98" si="198">AG93*I93</f>
        <v>29139.264000000003</v>
      </c>
      <c r="AE93" s="167">
        <f t="shared" ref="AE93:AE98" si="199">SUM(AC93:AD93)</f>
        <v>29139.264000000003</v>
      </c>
      <c r="AF93" s="167">
        <f t="shared" ref="AF93:AF98" si="200">I93-AE93</f>
        <v>0</v>
      </c>
      <c r="AG93" s="168">
        <f t="shared" si="180"/>
        <v>1</v>
      </c>
      <c r="AH93" s="137"/>
      <c r="AI93" s="311">
        <v>0</v>
      </c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68">
        <v>1</v>
      </c>
      <c r="BB93" s="137"/>
      <c r="BC93" s="168">
        <f t="shared" ref="BC93:BJ93" si="201">SUM(BS92:BZ92)</f>
        <v>0</v>
      </c>
      <c r="BD93" s="168">
        <f t="shared" ref="BD93:BD98" si="202">SUM(BN92:BT92)</f>
        <v>0</v>
      </c>
      <c r="BE93" s="168">
        <f t="shared" si="201"/>
        <v>0</v>
      </c>
      <c r="BF93" s="168">
        <f t="shared" si="201"/>
        <v>0</v>
      </c>
      <c r="BG93" s="168">
        <f t="shared" si="201"/>
        <v>0</v>
      </c>
      <c r="BH93" s="168">
        <f t="shared" si="201"/>
        <v>0</v>
      </c>
      <c r="BI93" s="168">
        <f t="shared" si="201"/>
        <v>0</v>
      </c>
      <c r="BJ93" s="168">
        <f t="shared" si="201"/>
        <v>0</v>
      </c>
      <c r="BK93" s="137"/>
      <c r="BL93" s="137"/>
      <c r="BM93" s="137"/>
      <c r="BN93" s="137"/>
      <c r="BO93" s="137"/>
      <c r="BP93" s="137"/>
      <c r="BQ93" s="137"/>
      <c r="BR93" s="137"/>
      <c r="BS93" s="137"/>
      <c r="BT93" s="137"/>
      <c r="BU93" s="137"/>
    </row>
    <row r="94" spans="1:73" ht="12.75" customHeight="1" x14ac:dyDescent="0.25">
      <c r="A94" s="200"/>
      <c r="B94" s="291" t="s">
        <v>269</v>
      </c>
      <c r="C94" s="340">
        <v>7.8</v>
      </c>
      <c r="D94" s="203">
        <f t="shared" si="190"/>
        <v>8.58</v>
      </c>
      <c r="E94" s="203" t="s">
        <v>6</v>
      </c>
      <c r="F94" s="203">
        <f>'Material and Labor Cost'!$D$23</f>
        <v>330</v>
      </c>
      <c r="G94" s="203">
        <f>'Material and Labor Cost'!$F$23</f>
        <v>165</v>
      </c>
      <c r="H94" s="203">
        <f t="shared" si="191"/>
        <v>495</v>
      </c>
      <c r="I94" s="203">
        <f t="shared" si="192"/>
        <v>4247.1000000000004</v>
      </c>
      <c r="J94" s="137"/>
      <c r="K94" s="137"/>
      <c r="L94" s="137"/>
      <c r="M94" s="137"/>
      <c r="N94" s="345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310">
        <f t="shared" si="193"/>
        <v>0</v>
      </c>
      <c r="Z94" s="311">
        <f t="shared" si="194"/>
        <v>8.58</v>
      </c>
      <c r="AA94" s="311">
        <f t="shared" si="195"/>
        <v>8.58</v>
      </c>
      <c r="AB94" s="167">
        <f t="shared" si="196"/>
        <v>0</v>
      </c>
      <c r="AC94" s="167">
        <f t="shared" si="197"/>
        <v>0</v>
      </c>
      <c r="AD94" s="167">
        <f t="shared" si="198"/>
        <v>4247.1000000000004</v>
      </c>
      <c r="AE94" s="167">
        <f t="shared" si="199"/>
        <v>4247.1000000000004</v>
      </c>
      <c r="AF94" s="167">
        <f t="shared" si="200"/>
        <v>0</v>
      </c>
      <c r="AG94" s="168">
        <f t="shared" si="180"/>
        <v>1</v>
      </c>
      <c r="AH94" s="137"/>
      <c r="AI94" s="311">
        <v>0</v>
      </c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68">
        <v>1</v>
      </c>
      <c r="BB94" s="137"/>
      <c r="BC94" s="168">
        <f t="shared" ref="BC94:BJ94" si="203">SUM(BS93:BZ93)</f>
        <v>0</v>
      </c>
      <c r="BD94" s="168">
        <f t="shared" si="202"/>
        <v>0</v>
      </c>
      <c r="BE94" s="168">
        <f t="shared" si="203"/>
        <v>0</v>
      </c>
      <c r="BF94" s="168">
        <f t="shared" si="203"/>
        <v>0</v>
      </c>
      <c r="BG94" s="168">
        <f t="shared" si="203"/>
        <v>0</v>
      </c>
      <c r="BH94" s="168">
        <f t="shared" si="203"/>
        <v>0</v>
      </c>
      <c r="BI94" s="168">
        <f t="shared" si="203"/>
        <v>0</v>
      </c>
      <c r="BJ94" s="168">
        <f t="shared" si="203"/>
        <v>0</v>
      </c>
      <c r="BK94" s="137"/>
      <c r="BL94" s="137"/>
      <c r="BM94" s="137"/>
      <c r="BN94" s="137"/>
      <c r="BO94" s="137"/>
      <c r="BP94" s="137"/>
      <c r="BQ94" s="137"/>
      <c r="BR94" s="137"/>
      <c r="BS94" s="137"/>
      <c r="BT94" s="137"/>
      <c r="BU94" s="137"/>
    </row>
    <row r="95" spans="1:73" ht="12.75" customHeight="1" x14ac:dyDescent="0.25">
      <c r="A95" s="200"/>
      <c r="B95" s="200" t="s">
        <v>296</v>
      </c>
      <c r="C95" s="340">
        <v>4.4000000000000004</v>
      </c>
      <c r="D95" s="203">
        <f t="shared" si="190"/>
        <v>4.8400000000000007</v>
      </c>
      <c r="E95" s="203" t="s">
        <v>114</v>
      </c>
      <c r="F95" s="203">
        <f>'Material and Labor Cost'!$D$33</f>
        <v>330</v>
      </c>
      <c r="G95" s="203">
        <f>'Material and Labor Cost'!$F$33</f>
        <v>165</v>
      </c>
      <c r="H95" s="203">
        <f t="shared" si="191"/>
        <v>495</v>
      </c>
      <c r="I95" s="203">
        <f t="shared" si="192"/>
        <v>2395.8000000000002</v>
      </c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310">
        <f t="shared" si="193"/>
        <v>0</v>
      </c>
      <c r="Z95" s="311">
        <f t="shared" si="194"/>
        <v>0</v>
      </c>
      <c r="AA95" s="311">
        <f t="shared" si="195"/>
        <v>0</v>
      </c>
      <c r="AB95" s="167">
        <f t="shared" si="196"/>
        <v>4.8400000000000007</v>
      </c>
      <c r="AC95" s="167">
        <f t="shared" si="197"/>
        <v>0</v>
      </c>
      <c r="AD95" s="167">
        <f t="shared" si="198"/>
        <v>0</v>
      </c>
      <c r="AE95" s="167">
        <f t="shared" si="199"/>
        <v>0</v>
      </c>
      <c r="AF95" s="167">
        <f t="shared" si="200"/>
        <v>2395.8000000000002</v>
      </c>
      <c r="AG95" s="168">
        <f t="shared" si="180"/>
        <v>0</v>
      </c>
      <c r="AH95" s="137"/>
      <c r="AI95" s="311">
        <v>0</v>
      </c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68">
        <f t="shared" ref="BA95:BA96" si="204">SUM(BK94:BQ94)</f>
        <v>0</v>
      </c>
      <c r="BB95" s="137"/>
      <c r="BC95" s="168">
        <f t="shared" ref="BC95:BJ95" si="205">SUM(BS94:BZ94)</f>
        <v>0</v>
      </c>
      <c r="BD95" s="168">
        <f t="shared" si="202"/>
        <v>0</v>
      </c>
      <c r="BE95" s="168">
        <f t="shared" si="205"/>
        <v>0</v>
      </c>
      <c r="BF95" s="168">
        <f t="shared" si="205"/>
        <v>0</v>
      </c>
      <c r="BG95" s="168">
        <f t="shared" si="205"/>
        <v>0</v>
      </c>
      <c r="BH95" s="168">
        <f t="shared" si="205"/>
        <v>0</v>
      </c>
      <c r="BI95" s="168">
        <f t="shared" si="205"/>
        <v>0</v>
      </c>
      <c r="BJ95" s="168">
        <f t="shared" si="205"/>
        <v>0</v>
      </c>
      <c r="BK95" s="137"/>
      <c r="BL95" s="137"/>
      <c r="BM95" s="137"/>
      <c r="BN95" s="137"/>
      <c r="BO95" s="137"/>
      <c r="BP95" s="137"/>
      <c r="BQ95" s="137"/>
      <c r="BR95" s="137"/>
      <c r="BS95" s="137"/>
      <c r="BT95" s="137"/>
      <c r="BU95" s="137"/>
    </row>
    <row r="96" spans="1:73" ht="12.75" customHeight="1" x14ac:dyDescent="0.25">
      <c r="A96" s="200"/>
      <c r="B96" s="200" t="s">
        <v>270</v>
      </c>
      <c r="C96" s="340">
        <v>2.7</v>
      </c>
      <c r="D96" s="203">
        <f t="shared" si="190"/>
        <v>2.9700000000000006</v>
      </c>
      <c r="E96" s="203" t="s">
        <v>114</v>
      </c>
      <c r="F96" s="203">
        <f>'Material and Labor Cost'!$D$24</f>
        <v>220.00000000000003</v>
      </c>
      <c r="G96" s="203">
        <f>'Material and Labor Cost'!$F$24</f>
        <v>110.00000000000001</v>
      </c>
      <c r="H96" s="203">
        <f t="shared" si="191"/>
        <v>330.00000000000006</v>
      </c>
      <c r="I96" s="203">
        <f t="shared" si="192"/>
        <v>980.10000000000036</v>
      </c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310">
        <f t="shared" si="193"/>
        <v>0</v>
      </c>
      <c r="Z96" s="311">
        <f t="shared" si="194"/>
        <v>0</v>
      </c>
      <c r="AA96" s="311">
        <f t="shared" si="195"/>
        <v>0</v>
      </c>
      <c r="AB96" s="167">
        <f t="shared" si="196"/>
        <v>2.9700000000000006</v>
      </c>
      <c r="AC96" s="167">
        <f t="shared" si="197"/>
        <v>0</v>
      </c>
      <c r="AD96" s="167">
        <f t="shared" si="198"/>
        <v>0</v>
      </c>
      <c r="AE96" s="167">
        <f t="shared" si="199"/>
        <v>0</v>
      </c>
      <c r="AF96" s="167">
        <f t="shared" si="200"/>
        <v>980.10000000000036</v>
      </c>
      <c r="AG96" s="168">
        <f t="shared" si="180"/>
        <v>0</v>
      </c>
      <c r="AH96" s="137"/>
      <c r="AI96" s="311">
        <v>0</v>
      </c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68">
        <f t="shared" si="204"/>
        <v>0</v>
      </c>
      <c r="BB96" s="137"/>
      <c r="BC96" s="168">
        <f t="shared" ref="BC96:BJ96" si="206">SUM(BS95:BZ95)</f>
        <v>0</v>
      </c>
      <c r="BD96" s="168">
        <f t="shared" si="202"/>
        <v>0</v>
      </c>
      <c r="BE96" s="168">
        <f t="shared" si="206"/>
        <v>0</v>
      </c>
      <c r="BF96" s="168">
        <f t="shared" si="206"/>
        <v>0</v>
      </c>
      <c r="BG96" s="168">
        <f t="shared" si="206"/>
        <v>0</v>
      </c>
      <c r="BH96" s="168">
        <f t="shared" si="206"/>
        <v>0</v>
      </c>
      <c r="BI96" s="168">
        <f t="shared" si="206"/>
        <v>0</v>
      </c>
      <c r="BJ96" s="168">
        <f t="shared" si="206"/>
        <v>0</v>
      </c>
      <c r="BK96" s="137"/>
      <c r="BL96" s="137"/>
      <c r="BM96" s="137"/>
      <c r="BN96" s="137"/>
      <c r="BO96" s="137"/>
      <c r="BP96" s="137"/>
      <c r="BQ96" s="137"/>
      <c r="BR96" s="137"/>
      <c r="BS96" s="137"/>
      <c r="BT96" s="137"/>
      <c r="BU96" s="137"/>
    </row>
    <row r="97" spans="1:73" ht="12.75" customHeight="1" x14ac:dyDescent="0.25">
      <c r="A97" s="200"/>
      <c r="B97" s="200" t="s">
        <v>275</v>
      </c>
      <c r="C97" s="340">
        <v>22</v>
      </c>
      <c r="D97" s="203">
        <f t="shared" si="190"/>
        <v>24.200000000000003</v>
      </c>
      <c r="E97" s="203" t="s">
        <v>6</v>
      </c>
      <c r="F97" s="203">
        <f>'Material and Labor Cost'!$D$25</f>
        <v>555</v>
      </c>
      <c r="G97" s="203">
        <f>'Material and Labor Cost'!$F$25</f>
        <v>275</v>
      </c>
      <c r="H97" s="203">
        <f t="shared" si="191"/>
        <v>830</v>
      </c>
      <c r="I97" s="203">
        <f t="shared" si="192"/>
        <v>20086.000000000004</v>
      </c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310">
        <f t="shared" si="193"/>
        <v>0</v>
      </c>
      <c r="Z97" s="311">
        <f t="shared" si="194"/>
        <v>14.520000000000001</v>
      </c>
      <c r="AA97" s="311">
        <f t="shared" si="195"/>
        <v>14.520000000000001</v>
      </c>
      <c r="AB97" s="167">
        <f t="shared" si="196"/>
        <v>9.6800000000000015</v>
      </c>
      <c r="AC97" s="167">
        <f t="shared" si="197"/>
        <v>0</v>
      </c>
      <c r="AD97" s="167">
        <f t="shared" si="198"/>
        <v>12051.600000000002</v>
      </c>
      <c r="AE97" s="167">
        <f t="shared" si="199"/>
        <v>12051.600000000002</v>
      </c>
      <c r="AF97" s="167">
        <f t="shared" si="200"/>
        <v>8034.4000000000015</v>
      </c>
      <c r="AG97" s="168">
        <f t="shared" si="180"/>
        <v>0.6</v>
      </c>
      <c r="AH97" s="137"/>
      <c r="AI97" s="311">
        <v>0</v>
      </c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68">
        <v>0.6</v>
      </c>
      <c r="BB97" s="137"/>
      <c r="BC97" s="168">
        <f t="shared" ref="BC97:BJ97" si="207">SUM(BS96:BZ96)</f>
        <v>0</v>
      </c>
      <c r="BD97" s="168">
        <f t="shared" si="202"/>
        <v>0</v>
      </c>
      <c r="BE97" s="168">
        <f t="shared" si="207"/>
        <v>0</v>
      </c>
      <c r="BF97" s="168">
        <f t="shared" si="207"/>
        <v>0</v>
      </c>
      <c r="BG97" s="168">
        <f t="shared" si="207"/>
        <v>0</v>
      </c>
      <c r="BH97" s="168">
        <f t="shared" si="207"/>
        <v>0</v>
      </c>
      <c r="BI97" s="168">
        <f t="shared" si="207"/>
        <v>0</v>
      </c>
      <c r="BJ97" s="168">
        <f t="shared" si="207"/>
        <v>0</v>
      </c>
      <c r="BK97" s="137"/>
      <c r="BL97" s="137"/>
      <c r="BM97" s="137"/>
      <c r="BN97" s="137"/>
      <c r="BO97" s="137"/>
      <c r="BP97" s="137"/>
      <c r="BQ97" s="137"/>
      <c r="BR97" s="137"/>
      <c r="BS97" s="137"/>
      <c r="BT97" s="137"/>
      <c r="BU97" s="137"/>
    </row>
    <row r="98" spans="1:73" ht="12.75" customHeight="1" x14ac:dyDescent="0.25">
      <c r="A98" s="200"/>
      <c r="B98" s="204" t="s">
        <v>272</v>
      </c>
      <c r="C98" s="340"/>
      <c r="D98" s="203">
        <v>1</v>
      </c>
      <c r="E98" s="203" t="s">
        <v>94</v>
      </c>
      <c r="F98" s="203"/>
      <c r="G98" s="203"/>
      <c r="H98" s="203"/>
      <c r="I98" s="203">
        <f>SUM(I93:I97)*$L$27</f>
        <v>6821.7916800000012</v>
      </c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310">
        <f t="shared" si="193"/>
        <v>0</v>
      </c>
      <c r="Z98" s="311">
        <f t="shared" si="194"/>
        <v>0.6</v>
      </c>
      <c r="AA98" s="311">
        <f t="shared" si="195"/>
        <v>0.6</v>
      </c>
      <c r="AB98" s="167">
        <f t="shared" si="196"/>
        <v>0.4</v>
      </c>
      <c r="AC98" s="167">
        <f t="shared" si="197"/>
        <v>0</v>
      </c>
      <c r="AD98" s="167">
        <f t="shared" si="198"/>
        <v>4093.0750080000007</v>
      </c>
      <c r="AE98" s="167">
        <f t="shared" si="199"/>
        <v>4093.0750080000007</v>
      </c>
      <c r="AF98" s="167">
        <f t="shared" si="200"/>
        <v>2728.7166720000005</v>
      </c>
      <c r="AG98" s="168">
        <f t="shared" si="180"/>
        <v>0.6</v>
      </c>
      <c r="AH98" s="137"/>
      <c r="AI98" s="311">
        <v>0</v>
      </c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68">
        <v>0.6</v>
      </c>
      <c r="BB98" s="137"/>
      <c r="BC98" s="168">
        <f t="shared" ref="BC98:BJ98" si="208">SUM(BS97:BZ97)</f>
        <v>0</v>
      </c>
      <c r="BD98" s="168">
        <f t="shared" si="202"/>
        <v>0</v>
      </c>
      <c r="BE98" s="168">
        <f t="shared" si="208"/>
        <v>0</v>
      </c>
      <c r="BF98" s="168">
        <f t="shared" si="208"/>
        <v>0</v>
      </c>
      <c r="BG98" s="168">
        <f t="shared" si="208"/>
        <v>0</v>
      </c>
      <c r="BH98" s="168">
        <f t="shared" si="208"/>
        <v>0</v>
      </c>
      <c r="BI98" s="168">
        <f t="shared" si="208"/>
        <v>0</v>
      </c>
      <c r="BJ98" s="168">
        <f t="shared" si="208"/>
        <v>0</v>
      </c>
      <c r="BK98" s="137"/>
      <c r="BL98" s="137"/>
      <c r="BM98" s="137"/>
      <c r="BN98" s="137"/>
      <c r="BO98" s="137"/>
      <c r="BP98" s="137"/>
      <c r="BQ98" s="137"/>
      <c r="BR98" s="137"/>
      <c r="BS98" s="137"/>
      <c r="BT98" s="137"/>
      <c r="BU98" s="137"/>
    </row>
    <row r="99" spans="1:73" ht="12.75" customHeight="1" x14ac:dyDescent="0.25">
      <c r="A99" s="228"/>
      <c r="B99" s="510" t="s">
        <v>303</v>
      </c>
      <c r="C99" s="501"/>
      <c r="D99" s="501"/>
      <c r="E99" s="501"/>
      <c r="F99" s="501"/>
      <c r="G99" s="501"/>
      <c r="H99" s="502"/>
      <c r="I99" s="229">
        <f>SUM(I93:I98)</f>
        <v>63670.055680000012</v>
      </c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2"/>
      <c r="Y99" s="307">
        <f t="shared" ref="Y99:AF99" si="209">SUM(Y93:Y98)</f>
        <v>0</v>
      </c>
      <c r="Z99" s="184">
        <f t="shared" si="209"/>
        <v>56.964000000000006</v>
      </c>
      <c r="AA99" s="184">
        <f t="shared" si="209"/>
        <v>56.964000000000006</v>
      </c>
      <c r="AB99" s="235">
        <f t="shared" si="209"/>
        <v>17.89</v>
      </c>
      <c r="AC99" s="235">
        <f t="shared" si="209"/>
        <v>0</v>
      </c>
      <c r="AD99" s="235">
        <f t="shared" si="209"/>
        <v>49531.039008000007</v>
      </c>
      <c r="AE99" s="235">
        <f t="shared" si="209"/>
        <v>49531.039008000007</v>
      </c>
      <c r="AF99" s="235">
        <f t="shared" si="209"/>
        <v>14139.016672000003</v>
      </c>
      <c r="AG99" s="168">
        <f t="shared" si="180"/>
        <v>0.53333333333333333</v>
      </c>
      <c r="AH99" s="237"/>
      <c r="AI99" s="184">
        <v>0</v>
      </c>
      <c r="AJ99" s="230"/>
      <c r="AK99" s="230"/>
      <c r="AL99" s="230"/>
      <c r="AM99" s="230"/>
      <c r="AN99" s="230"/>
      <c r="AO99" s="230"/>
      <c r="AP99" s="230"/>
      <c r="AQ99" s="230"/>
      <c r="AR99" s="230"/>
      <c r="AS99" s="230"/>
      <c r="AT99" s="230"/>
      <c r="AU99" s="230"/>
      <c r="AV99" s="230"/>
      <c r="AW99" s="230"/>
      <c r="AX99" s="230"/>
      <c r="AY99" s="230"/>
      <c r="AZ99" s="230"/>
      <c r="BA99" s="308">
        <f>SUM(BA93:BA98)/COUNT(BA93:BA98)</f>
        <v>0.53333333333333333</v>
      </c>
      <c r="BB99" s="230"/>
      <c r="BC99" s="308">
        <f t="shared" ref="BC99:BJ99" si="210">SUM(BC93:BC98)/COUNT(BC93:BC98)</f>
        <v>0</v>
      </c>
      <c r="BD99" s="308">
        <f>SUM(BD93:BD98)/COUNT(BD93:BD98)</f>
        <v>0</v>
      </c>
      <c r="BE99" s="308">
        <f t="shared" si="210"/>
        <v>0</v>
      </c>
      <c r="BF99" s="308">
        <f t="shared" si="210"/>
        <v>0</v>
      </c>
      <c r="BG99" s="308">
        <f t="shared" si="210"/>
        <v>0</v>
      </c>
      <c r="BH99" s="308">
        <f t="shared" si="210"/>
        <v>0</v>
      </c>
      <c r="BI99" s="308">
        <f t="shared" si="210"/>
        <v>0</v>
      </c>
      <c r="BJ99" s="308">
        <f t="shared" si="210"/>
        <v>0</v>
      </c>
      <c r="BK99" s="230"/>
      <c r="BL99" s="230"/>
      <c r="BM99" s="230"/>
      <c r="BN99" s="230"/>
      <c r="BO99" s="230"/>
      <c r="BP99" s="230"/>
      <c r="BQ99" s="230"/>
      <c r="BR99" s="230"/>
      <c r="BS99" s="230"/>
      <c r="BT99" s="230"/>
      <c r="BU99" s="230"/>
    </row>
    <row r="100" spans="1:73" ht="12.75" customHeight="1" x14ac:dyDescent="0.25">
      <c r="A100" s="200"/>
      <c r="B100" s="339" t="s">
        <v>304</v>
      </c>
      <c r="C100" s="340"/>
      <c r="D100" s="203"/>
      <c r="E100" s="203"/>
      <c r="F100" s="203"/>
      <c r="G100" s="203"/>
      <c r="H100" s="203"/>
      <c r="I100" s="203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310"/>
      <c r="Z100" s="311"/>
      <c r="AA100" s="311"/>
      <c r="AB100" s="167"/>
      <c r="AC100" s="167"/>
      <c r="AD100" s="167"/>
      <c r="AE100" s="167"/>
      <c r="AF100" s="167"/>
      <c r="AG100" s="168">
        <f t="shared" si="180"/>
        <v>0</v>
      </c>
      <c r="AH100" s="137"/>
      <c r="AI100" s="311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137"/>
      <c r="BO100" s="137"/>
      <c r="BP100" s="137"/>
      <c r="BQ100" s="137"/>
      <c r="BR100" s="137"/>
      <c r="BS100" s="137"/>
      <c r="BT100" s="137"/>
      <c r="BU100" s="137"/>
    </row>
    <row r="101" spans="1:73" ht="12.75" customHeight="1" x14ac:dyDescent="0.25">
      <c r="A101" s="200"/>
      <c r="B101" s="291" t="s">
        <v>267</v>
      </c>
      <c r="C101" s="340">
        <v>10.3992</v>
      </c>
      <c r="D101" s="203">
        <f t="shared" ref="D101:D105" si="211">C101*$L$23</f>
        <v>11.439120000000001</v>
      </c>
      <c r="E101" s="203" t="s">
        <v>6</v>
      </c>
      <c r="F101" s="203">
        <f>'Material and Labor Cost'!$D$21</f>
        <v>576</v>
      </c>
      <c r="G101" s="203">
        <f>'Material and Labor Cost'!$F$21</f>
        <v>300</v>
      </c>
      <c r="H101" s="203">
        <f t="shared" ref="H101:H105" si="212">SUM(F101:G101)</f>
        <v>876</v>
      </c>
      <c r="I101" s="203">
        <f t="shared" ref="I101:I105" si="213">H101*D101</f>
        <v>10020.66912</v>
      </c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310">
        <f t="shared" ref="Y101:Y106" si="214">SUM(AI101:AP101)</f>
        <v>0</v>
      </c>
      <c r="Z101" s="311">
        <f t="shared" ref="Z101:Z106" si="215">D101*AG101</f>
        <v>11.439120000000001</v>
      </c>
      <c r="AA101" s="311">
        <f t="shared" ref="AA101:AA106" si="216">SUM(Y101:Z101)</f>
        <v>11.439120000000001</v>
      </c>
      <c r="AB101" s="167">
        <f t="shared" ref="AB101:AB106" si="217">D101-AA101</f>
        <v>0</v>
      </c>
      <c r="AC101" s="167">
        <f t="shared" ref="AC101:AC106" si="218">SUM(AR100:AY100)</f>
        <v>0</v>
      </c>
      <c r="AD101" s="167">
        <f t="shared" ref="AD101:AD106" si="219">AG101*I101</f>
        <v>10020.66912</v>
      </c>
      <c r="AE101" s="167">
        <f t="shared" ref="AE101:AE106" si="220">SUM(AC101:AD101)</f>
        <v>10020.66912</v>
      </c>
      <c r="AF101" s="167">
        <f t="shared" ref="AF101:AF106" si="221">I101-AE101</f>
        <v>0</v>
      </c>
      <c r="AG101" s="168">
        <f t="shared" si="180"/>
        <v>1</v>
      </c>
      <c r="AH101" s="137"/>
      <c r="AI101" s="311">
        <v>0</v>
      </c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68">
        <v>1</v>
      </c>
      <c r="BB101" s="137"/>
      <c r="BC101" s="168">
        <f t="shared" ref="BC101:BJ101" si="222">SUM(BS100:BZ100)</f>
        <v>0</v>
      </c>
      <c r="BD101" s="168">
        <f t="shared" ref="BD101:BD106" si="223">SUM(BN100:BT100)</f>
        <v>0</v>
      </c>
      <c r="BE101" s="168">
        <f t="shared" si="222"/>
        <v>0</v>
      </c>
      <c r="BF101" s="168">
        <f t="shared" si="222"/>
        <v>0</v>
      </c>
      <c r="BG101" s="168">
        <f t="shared" si="222"/>
        <v>0</v>
      </c>
      <c r="BH101" s="168">
        <f t="shared" si="222"/>
        <v>0</v>
      </c>
      <c r="BI101" s="168">
        <f t="shared" si="222"/>
        <v>0</v>
      </c>
      <c r="BJ101" s="168">
        <f t="shared" si="222"/>
        <v>0</v>
      </c>
      <c r="BK101" s="137"/>
      <c r="BL101" s="137"/>
      <c r="BM101" s="137"/>
      <c r="BN101" s="137"/>
      <c r="BO101" s="137"/>
      <c r="BP101" s="137"/>
      <c r="BQ101" s="137"/>
      <c r="BR101" s="137"/>
      <c r="BS101" s="137"/>
      <c r="BT101" s="137"/>
      <c r="BU101" s="137"/>
    </row>
    <row r="102" spans="1:73" ht="12.75" customHeight="1" x14ac:dyDescent="0.25">
      <c r="A102" s="200"/>
      <c r="B102" s="291" t="s">
        <v>269</v>
      </c>
      <c r="C102" s="340">
        <v>2.4</v>
      </c>
      <c r="D102" s="203">
        <f t="shared" si="211"/>
        <v>2.64</v>
      </c>
      <c r="E102" s="203" t="s">
        <v>6</v>
      </c>
      <c r="F102" s="203">
        <f>'Material and Labor Cost'!$D$23</f>
        <v>330</v>
      </c>
      <c r="G102" s="203">
        <f>'Material and Labor Cost'!$F$23</f>
        <v>165</v>
      </c>
      <c r="H102" s="203">
        <f t="shared" si="212"/>
        <v>495</v>
      </c>
      <c r="I102" s="203">
        <f t="shared" si="213"/>
        <v>1306.8</v>
      </c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310">
        <f t="shared" si="214"/>
        <v>0</v>
      </c>
      <c r="Z102" s="311">
        <f t="shared" si="215"/>
        <v>2.64</v>
      </c>
      <c r="AA102" s="311">
        <f t="shared" si="216"/>
        <v>2.64</v>
      </c>
      <c r="AB102" s="167">
        <f t="shared" si="217"/>
        <v>0</v>
      </c>
      <c r="AC102" s="167">
        <f t="shared" si="218"/>
        <v>0</v>
      </c>
      <c r="AD102" s="167">
        <f t="shared" si="219"/>
        <v>1306.8</v>
      </c>
      <c r="AE102" s="167">
        <f t="shared" si="220"/>
        <v>1306.8</v>
      </c>
      <c r="AF102" s="167">
        <f t="shared" si="221"/>
        <v>0</v>
      </c>
      <c r="AG102" s="168">
        <f t="shared" si="180"/>
        <v>1</v>
      </c>
      <c r="AH102" s="137"/>
      <c r="AI102" s="311">
        <v>0</v>
      </c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68">
        <v>1</v>
      </c>
      <c r="BB102" s="137"/>
      <c r="BC102" s="168">
        <f t="shared" ref="BC102:BJ102" si="224">SUM(BS101:BZ101)</f>
        <v>0</v>
      </c>
      <c r="BD102" s="168">
        <f t="shared" si="223"/>
        <v>0</v>
      </c>
      <c r="BE102" s="168">
        <f t="shared" si="224"/>
        <v>0</v>
      </c>
      <c r="BF102" s="168">
        <f t="shared" si="224"/>
        <v>0</v>
      </c>
      <c r="BG102" s="168">
        <f t="shared" si="224"/>
        <v>0</v>
      </c>
      <c r="BH102" s="168">
        <f t="shared" si="224"/>
        <v>0</v>
      </c>
      <c r="BI102" s="168">
        <f t="shared" si="224"/>
        <v>0</v>
      </c>
      <c r="BJ102" s="168">
        <f t="shared" si="224"/>
        <v>0</v>
      </c>
      <c r="BK102" s="137"/>
      <c r="BL102" s="137"/>
      <c r="BM102" s="137"/>
      <c r="BN102" s="137"/>
      <c r="BO102" s="137"/>
      <c r="BP102" s="137"/>
      <c r="BQ102" s="137"/>
      <c r="BR102" s="137"/>
      <c r="BS102" s="137"/>
      <c r="BT102" s="137"/>
      <c r="BU102" s="137"/>
    </row>
    <row r="103" spans="1:73" ht="12.75" customHeight="1" x14ac:dyDescent="0.25">
      <c r="A103" s="200"/>
      <c r="B103" s="204" t="s">
        <v>305</v>
      </c>
      <c r="C103" s="340">
        <v>2.2000000000000002</v>
      </c>
      <c r="D103" s="203">
        <f t="shared" si="211"/>
        <v>2.4200000000000004</v>
      </c>
      <c r="E103" s="203" t="s">
        <v>114</v>
      </c>
      <c r="F103" s="203">
        <f>'Material and Labor Cost'!$D$35</f>
        <v>70.180000000000007</v>
      </c>
      <c r="G103" s="203">
        <f>'Material and Labor Cost'!$F$35</f>
        <v>35.090000000000003</v>
      </c>
      <c r="H103" s="203">
        <f t="shared" si="212"/>
        <v>105.27000000000001</v>
      </c>
      <c r="I103" s="203">
        <f t="shared" si="213"/>
        <v>254.75340000000006</v>
      </c>
      <c r="J103" s="137"/>
      <c r="K103" s="146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310">
        <f t="shared" si="214"/>
        <v>0</v>
      </c>
      <c r="Z103" s="311">
        <f t="shared" si="215"/>
        <v>0.4840000000000001</v>
      </c>
      <c r="AA103" s="311">
        <f t="shared" si="216"/>
        <v>0.4840000000000001</v>
      </c>
      <c r="AB103" s="167">
        <f t="shared" si="217"/>
        <v>1.9360000000000004</v>
      </c>
      <c r="AC103" s="167">
        <f t="shared" si="218"/>
        <v>0</v>
      </c>
      <c r="AD103" s="167">
        <f t="shared" si="219"/>
        <v>50.950680000000013</v>
      </c>
      <c r="AE103" s="167">
        <f t="shared" si="220"/>
        <v>50.950680000000013</v>
      </c>
      <c r="AF103" s="167">
        <f t="shared" si="221"/>
        <v>203.80272000000005</v>
      </c>
      <c r="AG103" s="168">
        <f t="shared" si="180"/>
        <v>0.2</v>
      </c>
      <c r="AH103" s="137"/>
      <c r="AI103" s="311">
        <v>0</v>
      </c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68">
        <v>0.2</v>
      </c>
      <c r="BB103" s="137"/>
      <c r="BC103" s="168">
        <f t="shared" ref="BC103:BJ103" si="225">SUM(BS102:BZ102)</f>
        <v>0</v>
      </c>
      <c r="BD103" s="168">
        <f t="shared" si="223"/>
        <v>0</v>
      </c>
      <c r="BE103" s="168">
        <f t="shared" si="225"/>
        <v>0</v>
      </c>
      <c r="BF103" s="168">
        <f t="shared" si="225"/>
        <v>0</v>
      </c>
      <c r="BG103" s="168">
        <f t="shared" si="225"/>
        <v>0</v>
      </c>
      <c r="BH103" s="168">
        <f t="shared" si="225"/>
        <v>0</v>
      </c>
      <c r="BI103" s="168">
        <f t="shared" si="225"/>
        <v>0</v>
      </c>
      <c r="BJ103" s="168">
        <f t="shared" si="225"/>
        <v>0</v>
      </c>
      <c r="BK103" s="137"/>
      <c r="BL103" s="137"/>
      <c r="BM103" s="137"/>
      <c r="BN103" s="137"/>
      <c r="BO103" s="137"/>
      <c r="BP103" s="137"/>
      <c r="BQ103" s="137"/>
      <c r="BR103" s="137"/>
      <c r="BS103" s="137"/>
      <c r="BT103" s="137"/>
      <c r="BU103" s="137"/>
    </row>
    <row r="104" spans="1:73" ht="12.75" customHeight="1" x14ac:dyDescent="0.25">
      <c r="A104" s="200"/>
      <c r="B104" s="200" t="s">
        <v>270</v>
      </c>
      <c r="C104" s="340">
        <v>1.62</v>
      </c>
      <c r="D104" s="203">
        <f t="shared" si="211"/>
        <v>1.7820000000000003</v>
      </c>
      <c r="E104" s="203" t="s">
        <v>114</v>
      </c>
      <c r="F104" s="203">
        <f>'Material and Labor Cost'!$D$24</f>
        <v>220.00000000000003</v>
      </c>
      <c r="G104" s="203">
        <f>'Material and Labor Cost'!$F$24</f>
        <v>110.00000000000001</v>
      </c>
      <c r="H104" s="203">
        <f t="shared" si="212"/>
        <v>330.00000000000006</v>
      </c>
      <c r="I104" s="203">
        <f t="shared" si="213"/>
        <v>588.06000000000017</v>
      </c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310">
        <f t="shared" si="214"/>
        <v>0</v>
      </c>
      <c r="Z104" s="311">
        <f t="shared" si="215"/>
        <v>0.35640000000000005</v>
      </c>
      <c r="AA104" s="311">
        <f t="shared" si="216"/>
        <v>0.35640000000000005</v>
      </c>
      <c r="AB104" s="167">
        <f t="shared" si="217"/>
        <v>1.4256000000000002</v>
      </c>
      <c r="AC104" s="167">
        <f t="shared" si="218"/>
        <v>0</v>
      </c>
      <c r="AD104" s="167">
        <f t="shared" si="219"/>
        <v>117.61200000000004</v>
      </c>
      <c r="AE104" s="167">
        <f t="shared" si="220"/>
        <v>117.61200000000004</v>
      </c>
      <c r="AF104" s="167">
        <f t="shared" si="221"/>
        <v>470.44800000000015</v>
      </c>
      <c r="AG104" s="168">
        <f t="shared" si="180"/>
        <v>0.2</v>
      </c>
      <c r="AH104" s="137"/>
      <c r="AI104" s="311">
        <v>0</v>
      </c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68">
        <v>0.2</v>
      </c>
      <c r="BB104" s="137"/>
      <c r="BC104" s="168">
        <f t="shared" ref="BC104:BJ104" si="226">SUM(BS103:BZ103)</f>
        <v>0</v>
      </c>
      <c r="BD104" s="168">
        <f t="shared" si="223"/>
        <v>0</v>
      </c>
      <c r="BE104" s="168">
        <f t="shared" si="226"/>
        <v>0</v>
      </c>
      <c r="BF104" s="168">
        <f t="shared" si="226"/>
        <v>0</v>
      </c>
      <c r="BG104" s="168">
        <f t="shared" si="226"/>
        <v>0</v>
      </c>
      <c r="BH104" s="168">
        <f t="shared" si="226"/>
        <v>0</v>
      </c>
      <c r="BI104" s="168">
        <f t="shared" si="226"/>
        <v>0</v>
      </c>
      <c r="BJ104" s="168">
        <f t="shared" si="226"/>
        <v>0</v>
      </c>
      <c r="BK104" s="137"/>
      <c r="BL104" s="137"/>
      <c r="BM104" s="137"/>
      <c r="BN104" s="137"/>
      <c r="BO104" s="137"/>
      <c r="BP104" s="137"/>
      <c r="BQ104" s="137"/>
      <c r="BR104" s="137"/>
      <c r="BS104" s="137"/>
      <c r="BT104" s="137"/>
      <c r="BU104" s="137"/>
    </row>
    <row r="105" spans="1:73" ht="12.75" customHeight="1" x14ac:dyDescent="0.25">
      <c r="A105" s="200"/>
      <c r="B105" s="200" t="s">
        <v>275</v>
      </c>
      <c r="C105" s="340">
        <v>7.28</v>
      </c>
      <c r="D105" s="203">
        <f t="shared" si="211"/>
        <v>8.0080000000000009</v>
      </c>
      <c r="E105" s="203" t="s">
        <v>6</v>
      </c>
      <c r="F105" s="203">
        <f>'Material and Labor Cost'!$D$25</f>
        <v>555</v>
      </c>
      <c r="G105" s="203">
        <f>'Material and Labor Cost'!$F$25</f>
        <v>275</v>
      </c>
      <c r="H105" s="203">
        <f t="shared" si="212"/>
        <v>830</v>
      </c>
      <c r="I105" s="203">
        <f t="shared" si="213"/>
        <v>6646.64</v>
      </c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310">
        <f t="shared" si="214"/>
        <v>0</v>
      </c>
      <c r="Z105" s="311">
        <f t="shared" si="215"/>
        <v>4.8048000000000002</v>
      </c>
      <c r="AA105" s="311">
        <f t="shared" si="216"/>
        <v>4.8048000000000002</v>
      </c>
      <c r="AB105" s="167">
        <f t="shared" si="217"/>
        <v>3.2032000000000007</v>
      </c>
      <c r="AC105" s="167">
        <f t="shared" si="218"/>
        <v>0</v>
      </c>
      <c r="AD105" s="167">
        <f t="shared" si="219"/>
        <v>3987.9839999999999</v>
      </c>
      <c r="AE105" s="167">
        <f t="shared" si="220"/>
        <v>3987.9839999999999</v>
      </c>
      <c r="AF105" s="167">
        <f t="shared" si="221"/>
        <v>2658.6560000000004</v>
      </c>
      <c r="AG105" s="168">
        <f t="shared" si="180"/>
        <v>0.6</v>
      </c>
      <c r="AH105" s="137"/>
      <c r="AI105" s="311">
        <v>0</v>
      </c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68">
        <v>0.6</v>
      </c>
      <c r="BB105" s="137"/>
      <c r="BC105" s="168">
        <f t="shared" ref="BC105:BJ105" si="227">SUM(BS104:BZ104)</f>
        <v>0</v>
      </c>
      <c r="BD105" s="168">
        <f t="shared" si="223"/>
        <v>0</v>
      </c>
      <c r="BE105" s="168">
        <f t="shared" si="227"/>
        <v>0</v>
      </c>
      <c r="BF105" s="168">
        <f t="shared" si="227"/>
        <v>0</v>
      </c>
      <c r="BG105" s="168">
        <f t="shared" si="227"/>
        <v>0</v>
      </c>
      <c r="BH105" s="168">
        <f t="shared" si="227"/>
        <v>0</v>
      </c>
      <c r="BI105" s="168">
        <f t="shared" si="227"/>
        <v>0</v>
      </c>
      <c r="BJ105" s="168">
        <f t="shared" si="227"/>
        <v>0</v>
      </c>
      <c r="BK105" s="137"/>
      <c r="BL105" s="137"/>
      <c r="BM105" s="137"/>
      <c r="BN105" s="137"/>
      <c r="BO105" s="137"/>
      <c r="BP105" s="137"/>
      <c r="BQ105" s="137"/>
      <c r="BR105" s="137"/>
      <c r="BS105" s="137"/>
      <c r="BT105" s="137"/>
      <c r="BU105" s="137"/>
    </row>
    <row r="106" spans="1:73" ht="12.75" customHeight="1" x14ac:dyDescent="0.25">
      <c r="A106" s="200"/>
      <c r="B106" s="204" t="s">
        <v>272</v>
      </c>
      <c r="C106" s="340"/>
      <c r="D106" s="203">
        <v>1</v>
      </c>
      <c r="E106" s="203" t="s">
        <v>94</v>
      </c>
      <c r="F106" s="203"/>
      <c r="G106" s="203"/>
      <c r="H106" s="203"/>
      <c r="I106" s="203">
        <f>SUM(I101:I105)*L72</f>
        <v>9408.46126</v>
      </c>
      <c r="J106" s="137"/>
      <c r="K106" s="137"/>
      <c r="L106" s="137"/>
      <c r="M106" s="32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310">
        <f t="shared" si="214"/>
        <v>0</v>
      </c>
      <c r="Z106" s="311">
        <f t="shared" si="215"/>
        <v>0.6</v>
      </c>
      <c r="AA106" s="311">
        <f t="shared" si="216"/>
        <v>0.6</v>
      </c>
      <c r="AB106" s="167">
        <f t="shared" si="217"/>
        <v>0.4</v>
      </c>
      <c r="AC106" s="167">
        <f t="shared" si="218"/>
        <v>0</v>
      </c>
      <c r="AD106" s="167">
        <f t="shared" si="219"/>
        <v>5645.0767559999995</v>
      </c>
      <c r="AE106" s="167">
        <f t="shared" si="220"/>
        <v>5645.0767559999995</v>
      </c>
      <c r="AF106" s="167">
        <f t="shared" si="221"/>
        <v>3763.3845040000006</v>
      </c>
      <c r="AG106" s="168">
        <f t="shared" si="180"/>
        <v>0.6</v>
      </c>
      <c r="AH106" s="137"/>
      <c r="AI106" s="311">
        <v>0</v>
      </c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68">
        <v>0.6</v>
      </c>
      <c r="BB106" s="137"/>
      <c r="BC106" s="168">
        <f t="shared" ref="BC106:BJ106" si="228">SUM(BS105:BZ105)</f>
        <v>0</v>
      </c>
      <c r="BD106" s="168">
        <f t="shared" si="223"/>
        <v>0</v>
      </c>
      <c r="BE106" s="168">
        <f t="shared" si="228"/>
        <v>0</v>
      </c>
      <c r="BF106" s="168">
        <f t="shared" si="228"/>
        <v>0</v>
      </c>
      <c r="BG106" s="168">
        <f t="shared" si="228"/>
        <v>0</v>
      </c>
      <c r="BH106" s="168">
        <f t="shared" si="228"/>
        <v>0</v>
      </c>
      <c r="BI106" s="168">
        <f t="shared" si="228"/>
        <v>0</v>
      </c>
      <c r="BJ106" s="168">
        <f t="shared" si="228"/>
        <v>0</v>
      </c>
      <c r="BK106" s="137"/>
      <c r="BL106" s="137"/>
      <c r="BM106" s="137"/>
      <c r="BN106" s="137"/>
      <c r="BO106" s="137"/>
      <c r="BP106" s="137"/>
      <c r="BQ106" s="137"/>
      <c r="BR106" s="137"/>
      <c r="BS106" s="137"/>
      <c r="BT106" s="137"/>
      <c r="BU106" s="137"/>
    </row>
    <row r="107" spans="1:73" ht="12.75" customHeight="1" x14ac:dyDescent="0.25">
      <c r="A107" s="228"/>
      <c r="B107" s="510" t="s">
        <v>306</v>
      </c>
      <c r="C107" s="501"/>
      <c r="D107" s="501"/>
      <c r="E107" s="501"/>
      <c r="F107" s="501"/>
      <c r="G107" s="501"/>
      <c r="H107" s="502"/>
      <c r="I107" s="229">
        <f>SUM(I101:I106)</f>
        <v>28225.38378</v>
      </c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  <c r="V107" s="230"/>
      <c r="W107" s="230"/>
      <c r="X107" s="232"/>
      <c r="Y107" s="307">
        <f t="shared" ref="Y107:AF107" si="229">SUM(Y101:Y106)</f>
        <v>0</v>
      </c>
      <c r="Z107" s="184">
        <f t="shared" si="229"/>
        <v>20.324320000000004</v>
      </c>
      <c r="AA107" s="184">
        <f t="shared" si="229"/>
        <v>20.324320000000004</v>
      </c>
      <c r="AB107" s="235">
        <f t="shared" si="229"/>
        <v>6.9648000000000021</v>
      </c>
      <c r="AC107" s="235">
        <f t="shared" si="229"/>
        <v>0</v>
      </c>
      <c r="AD107" s="235">
        <f t="shared" si="229"/>
        <v>21129.092556</v>
      </c>
      <c r="AE107" s="235">
        <f t="shared" si="229"/>
        <v>21129.092556</v>
      </c>
      <c r="AF107" s="235">
        <f t="shared" si="229"/>
        <v>7096.2912240000014</v>
      </c>
      <c r="AG107" s="168">
        <f t="shared" si="180"/>
        <v>0.60000000000000009</v>
      </c>
      <c r="AH107" s="237"/>
      <c r="AI107" s="184">
        <v>0</v>
      </c>
      <c r="AJ107" s="230"/>
      <c r="AK107" s="230"/>
      <c r="AL107" s="230"/>
      <c r="AM107" s="230"/>
      <c r="AN107" s="230"/>
      <c r="AO107" s="230"/>
      <c r="AP107" s="230"/>
      <c r="AQ107" s="230"/>
      <c r="AR107" s="230"/>
      <c r="AS107" s="230"/>
      <c r="AT107" s="230"/>
      <c r="AU107" s="230"/>
      <c r="AV107" s="230"/>
      <c r="AW107" s="230"/>
      <c r="AX107" s="230"/>
      <c r="AY107" s="230"/>
      <c r="AZ107" s="230"/>
      <c r="BA107" s="308">
        <f>SUM(BA101:BA106)/COUNT(BA101:BA106)</f>
        <v>0.60000000000000009</v>
      </c>
      <c r="BB107" s="230"/>
      <c r="BC107" s="308">
        <f t="shared" ref="BC107:BJ107" si="230">SUM(BC101:BC106)/COUNT(BC101:BC106)</f>
        <v>0</v>
      </c>
      <c r="BD107" s="308">
        <f>SUM(BD101:BD106)/COUNT(BD101:BD106)</f>
        <v>0</v>
      </c>
      <c r="BE107" s="308">
        <f t="shared" si="230"/>
        <v>0</v>
      </c>
      <c r="BF107" s="308">
        <f t="shared" si="230"/>
        <v>0</v>
      </c>
      <c r="BG107" s="308">
        <f t="shared" si="230"/>
        <v>0</v>
      </c>
      <c r="BH107" s="308">
        <f t="shared" si="230"/>
        <v>0</v>
      </c>
      <c r="BI107" s="308">
        <f t="shared" si="230"/>
        <v>0</v>
      </c>
      <c r="BJ107" s="308">
        <f t="shared" si="230"/>
        <v>0</v>
      </c>
      <c r="BK107" s="230"/>
      <c r="BL107" s="230"/>
      <c r="BM107" s="230"/>
      <c r="BN107" s="230"/>
      <c r="BO107" s="230"/>
      <c r="BP107" s="230"/>
      <c r="BQ107" s="230"/>
      <c r="BR107" s="230"/>
      <c r="BS107" s="230"/>
      <c r="BT107" s="230"/>
      <c r="BU107" s="230"/>
    </row>
    <row r="108" spans="1:73" ht="12.75" customHeight="1" x14ac:dyDescent="0.25">
      <c r="A108" s="200"/>
      <c r="B108" s="339" t="s">
        <v>307</v>
      </c>
      <c r="C108" s="340"/>
      <c r="D108" s="203"/>
      <c r="E108" s="203"/>
      <c r="F108" s="203"/>
      <c r="G108" s="203"/>
      <c r="H108" s="203"/>
      <c r="I108" s="203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310"/>
      <c r="Z108" s="311"/>
      <c r="AA108" s="311"/>
      <c r="AB108" s="167"/>
      <c r="AC108" s="167"/>
      <c r="AD108" s="167"/>
      <c r="AE108" s="167"/>
      <c r="AF108" s="167"/>
      <c r="AG108" s="168">
        <f t="shared" si="180"/>
        <v>0</v>
      </c>
      <c r="AH108" s="137"/>
      <c r="AI108" s="311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  <c r="BN108" s="137"/>
      <c r="BO108" s="137"/>
      <c r="BP108" s="137"/>
      <c r="BQ108" s="137"/>
      <c r="BR108" s="137"/>
      <c r="BS108" s="137"/>
      <c r="BT108" s="137"/>
      <c r="BU108" s="137"/>
    </row>
    <row r="109" spans="1:73" ht="12.75" customHeight="1" x14ac:dyDescent="0.25">
      <c r="A109" s="200"/>
      <c r="B109" s="291" t="s">
        <v>267</v>
      </c>
      <c r="C109" s="340">
        <v>24.72</v>
      </c>
      <c r="D109" s="203">
        <f t="shared" ref="D109:D113" si="231">C109*$L$23</f>
        <v>27.192</v>
      </c>
      <c r="E109" s="203" t="s">
        <v>6</v>
      </c>
      <c r="F109" s="203">
        <f>'Material and Labor Cost'!$D$21</f>
        <v>576</v>
      </c>
      <c r="G109" s="203">
        <f>'Material and Labor Cost'!$F$21</f>
        <v>300</v>
      </c>
      <c r="H109" s="203">
        <f t="shared" ref="H109:H113" si="232">SUM(F109:G109)</f>
        <v>876</v>
      </c>
      <c r="I109" s="203">
        <f t="shared" ref="I109:I113" si="233">H109*D109</f>
        <v>23820.191999999999</v>
      </c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310">
        <f t="shared" ref="Y109:Y114" si="234">SUM(AI109:AP109)</f>
        <v>0</v>
      </c>
      <c r="Z109" s="311">
        <f t="shared" ref="Z109:Z114" si="235">D109*AG109</f>
        <v>27.192</v>
      </c>
      <c r="AA109" s="311">
        <f t="shared" ref="AA109:AA114" si="236">SUM(Y109:Z109)</f>
        <v>27.192</v>
      </c>
      <c r="AB109" s="167">
        <f t="shared" ref="AB109:AB114" si="237">D109-AA109</f>
        <v>0</v>
      </c>
      <c r="AC109" s="167">
        <f t="shared" ref="AC109:AC114" si="238">SUM(AR108:AY108)</f>
        <v>0</v>
      </c>
      <c r="AD109" s="167">
        <f t="shared" ref="AD109:AD114" si="239">AG109*I109</f>
        <v>23820.191999999999</v>
      </c>
      <c r="AE109" s="167">
        <f t="shared" ref="AE109:AE114" si="240">SUM(AC109:AD109)</f>
        <v>23820.191999999999</v>
      </c>
      <c r="AF109" s="167">
        <f t="shared" ref="AF109:AF114" si="241">I109-AE109</f>
        <v>0</v>
      </c>
      <c r="AG109" s="168">
        <f t="shared" si="180"/>
        <v>1</v>
      </c>
      <c r="AH109" s="137"/>
      <c r="AI109" s="311">
        <v>0</v>
      </c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68">
        <v>1</v>
      </c>
      <c r="BB109" s="137"/>
      <c r="BC109" s="168">
        <f t="shared" ref="BC109:BJ109" si="242">SUM(BS108:BZ108)</f>
        <v>0</v>
      </c>
      <c r="BD109" s="168">
        <f t="shared" ref="BD109:BD114" si="243">SUM(BN108:BT108)</f>
        <v>0</v>
      </c>
      <c r="BE109" s="168">
        <f t="shared" si="242"/>
        <v>0</v>
      </c>
      <c r="BF109" s="168">
        <f t="shared" si="242"/>
        <v>0</v>
      </c>
      <c r="BG109" s="168">
        <f t="shared" si="242"/>
        <v>0</v>
      </c>
      <c r="BH109" s="168">
        <f t="shared" si="242"/>
        <v>0</v>
      </c>
      <c r="BI109" s="168">
        <f t="shared" si="242"/>
        <v>0</v>
      </c>
      <c r="BJ109" s="168">
        <f t="shared" si="242"/>
        <v>0</v>
      </c>
      <c r="BK109" s="137"/>
      <c r="BL109" s="137"/>
      <c r="BM109" s="137"/>
      <c r="BN109" s="137"/>
      <c r="BO109" s="137"/>
      <c r="BP109" s="137"/>
      <c r="BQ109" s="137"/>
      <c r="BR109" s="137"/>
      <c r="BS109" s="137"/>
      <c r="BT109" s="137"/>
      <c r="BU109" s="137"/>
    </row>
    <row r="110" spans="1:73" ht="12.75" customHeight="1" x14ac:dyDescent="0.25">
      <c r="A110" s="200"/>
      <c r="B110" s="291" t="s">
        <v>269</v>
      </c>
      <c r="C110" s="340">
        <v>6.4</v>
      </c>
      <c r="D110" s="203">
        <f t="shared" si="231"/>
        <v>7.0400000000000009</v>
      </c>
      <c r="E110" s="203" t="s">
        <v>6</v>
      </c>
      <c r="F110" s="203">
        <f>'Material and Labor Cost'!$D$23</f>
        <v>330</v>
      </c>
      <c r="G110" s="203">
        <f>'Material and Labor Cost'!$F$23</f>
        <v>165</v>
      </c>
      <c r="H110" s="203">
        <f t="shared" si="232"/>
        <v>495</v>
      </c>
      <c r="I110" s="203">
        <f t="shared" si="233"/>
        <v>3484.8000000000006</v>
      </c>
      <c r="J110" s="137"/>
      <c r="K110" s="137"/>
      <c r="L110" s="137"/>
      <c r="M110" s="137"/>
      <c r="N110" s="345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310">
        <f t="shared" si="234"/>
        <v>0</v>
      </c>
      <c r="Z110" s="311">
        <f t="shared" si="235"/>
        <v>7.0400000000000009</v>
      </c>
      <c r="AA110" s="311">
        <f t="shared" si="236"/>
        <v>7.0400000000000009</v>
      </c>
      <c r="AB110" s="167">
        <f t="shared" si="237"/>
        <v>0</v>
      </c>
      <c r="AC110" s="167">
        <f t="shared" si="238"/>
        <v>0</v>
      </c>
      <c r="AD110" s="167">
        <f t="shared" si="239"/>
        <v>3484.8000000000006</v>
      </c>
      <c r="AE110" s="167">
        <f t="shared" si="240"/>
        <v>3484.8000000000006</v>
      </c>
      <c r="AF110" s="167">
        <f t="shared" si="241"/>
        <v>0</v>
      </c>
      <c r="AG110" s="168">
        <f t="shared" si="180"/>
        <v>1</v>
      </c>
      <c r="AH110" s="137"/>
      <c r="AI110" s="311">
        <v>0</v>
      </c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68">
        <v>1</v>
      </c>
      <c r="BB110" s="137"/>
      <c r="BC110" s="168">
        <f t="shared" ref="BC110:BJ110" si="244">SUM(BS109:BZ109)</f>
        <v>0</v>
      </c>
      <c r="BD110" s="168">
        <f t="shared" si="243"/>
        <v>0</v>
      </c>
      <c r="BE110" s="168">
        <f t="shared" si="244"/>
        <v>0</v>
      </c>
      <c r="BF110" s="168">
        <f t="shared" si="244"/>
        <v>0</v>
      </c>
      <c r="BG110" s="168">
        <f t="shared" si="244"/>
        <v>0</v>
      </c>
      <c r="BH110" s="168">
        <f t="shared" si="244"/>
        <v>0</v>
      </c>
      <c r="BI110" s="168">
        <f t="shared" si="244"/>
        <v>0</v>
      </c>
      <c r="BJ110" s="168">
        <f t="shared" si="244"/>
        <v>0</v>
      </c>
      <c r="BK110" s="137"/>
      <c r="BL110" s="137"/>
      <c r="BM110" s="137"/>
      <c r="BN110" s="137"/>
      <c r="BO110" s="137"/>
      <c r="BP110" s="137"/>
      <c r="BQ110" s="137"/>
      <c r="BR110" s="137"/>
      <c r="BS110" s="137"/>
      <c r="BT110" s="137"/>
      <c r="BU110" s="137"/>
    </row>
    <row r="111" spans="1:73" ht="12.75" customHeight="1" x14ac:dyDescent="0.25">
      <c r="A111" s="200"/>
      <c r="B111" s="200" t="s">
        <v>296</v>
      </c>
      <c r="C111" s="340">
        <v>4.5999999999999996</v>
      </c>
      <c r="D111" s="203">
        <f t="shared" si="231"/>
        <v>5.0599999999999996</v>
      </c>
      <c r="E111" s="203" t="s">
        <v>114</v>
      </c>
      <c r="F111" s="203">
        <f>'Material and Labor Cost'!$D$33</f>
        <v>330</v>
      </c>
      <c r="G111" s="203">
        <f>'Material and Labor Cost'!$F$33</f>
        <v>165</v>
      </c>
      <c r="H111" s="203">
        <f t="shared" si="232"/>
        <v>495</v>
      </c>
      <c r="I111" s="203">
        <f t="shared" si="233"/>
        <v>2504.6999999999998</v>
      </c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310">
        <f t="shared" si="234"/>
        <v>0</v>
      </c>
      <c r="Z111" s="311">
        <f t="shared" si="235"/>
        <v>0</v>
      </c>
      <c r="AA111" s="311">
        <f t="shared" si="236"/>
        <v>0</v>
      </c>
      <c r="AB111" s="167">
        <f t="shared" si="237"/>
        <v>5.0599999999999996</v>
      </c>
      <c r="AC111" s="167">
        <f t="shared" si="238"/>
        <v>0</v>
      </c>
      <c r="AD111" s="167">
        <f t="shared" si="239"/>
        <v>0</v>
      </c>
      <c r="AE111" s="167">
        <f t="shared" si="240"/>
        <v>0</v>
      </c>
      <c r="AF111" s="167">
        <f t="shared" si="241"/>
        <v>2504.6999999999998</v>
      </c>
      <c r="AG111" s="168">
        <f t="shared" si="180"/>
        <v>0</v>
      </c>
      <c r="AH111" s="137"/>
      <c r="AI111" s="311">
        <v>0</v>
      </c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68">
        <f t="shared" ref="BA111:BA112" si="245">SUM(BK110:BQ110)</f>
        <v>0</v>
      </c>
      <c r="BB111" s="137"/>
      <c r="BC111" s="168">
        <f t="shared" ref="BC111:BJ111" si="246">SUM(BS110:BZ110)</f>
        <v>0</v>
      </c>
      <c r="BD111" s="168">
        <f t="shared" si="243"/>
        <v>0</v>
      </c>
      <c r="BE111" s="168">
        <f t="shared" si="246"/>
        <v>0</v>
      </c>
      <c r="BF111" s="168">
        <f t="shared" si="246"/>
        <v>0</v>
      </c>
      <c r="BG111" s="168">
        <f t="shared" si="246"/>
        <v>0</v>
      </c>
      <c r="BH111" s="168">
        <f t="shared" si="246"/>
        <v>0</v>
      </c>
      <c r="BI111" s="168">
        <f t="shared" si="246"/>
        <v>0</v>
      </c>
      <c r="BJ111" s="168">
        <f t="shared" si="246"/>
        <v>0</v>
      </c>
      <c r="BK111" s="137"/>
      <c r="BL111" s="137"/>
      <c r="BM111" s="137"/>
      <c r="BN111" s="137"/>
      <c r="BO111" s="137"/>
      <c r="BP111" s="137"/>
      <c r="BQ111" s="137"/>
      <c r="BR111" s="137"/>
      <c r="BS111" s="137"/>
      <c r="BT111" s="137"/>
      <c r="BU111" s="137"/>
    </row>
    <row r="112" spans="1:73" ht="12.75" customHeight="1" x14ac:dyDescent="0.25">
      <c r="A112" s="200"/>
      <c r="B112" s="200" t="s">
        <v>270</v>
      </c>
      <c r="C112" s="340">
        <v>2.2999999999999998</v>
      </c>
      <c r="D112" s="203">
        <f t="shared" si="231"/>
        <v>2.5299999999999998</v>
      </c>
      <c r="E112" s="203" t="s">
        <v>114</v>
      </c>
      <c r="F112" s="203">
        <f>'Material and Labor Cost'!$D$24</f>
        <v>220.00000000000003</v>
      </c>
      <c r="G112" s="203">
        <f>'Material and Labor Cost'!$F$24</f>
        <v>110.00000000000001</v>
      </c>
      <c r="H112" s="203">
        <f t="shared" si="232"/>
        <v>330.00000000000006</v>
      </c>
      <c r="I112" s="203">
        <f t="shared" si="233"/>
        <v>834.90000000000009</v>
      </c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310">
        <f t="shared" si="234"/>
        <v>0</v>
      </c>
      <c r="Z112" s="311">
        <f t="shared" si="235"/>
        <v>0</v>
      </c>
      <c r="AA112" s="311">
        <f t="shared" si="236"/>
        <v>0</v>
      </c>
      <c r="AB112" s="167">
        <f t="shared" si="237"/>
        <v>2.5299999999999998</v>
      </c>
      <c r="AC112" s="167">
        <f t="shared" si="238"/>
        <v>0</v>
      </c>
      <c r="AD112" s="167">
        <f t="shared" si="239"/>
        <v>0</v>
      </c>
      <c r="AE112" s="167">
        <f t="shared" si="240"/>
        <v>0</v>
      </c>
      <c r="AF112" s="167">
        <f t="shared" si="241"/>
        <v>834.90000000000009</v>
      </c>
      <c r="AG112" s="168">
        <f t="shared" si="180"/>
        <v>0</v>
      </c>
      <c r="AH112" s="137"/>
      <c r="AI112" s="311">
        <v>0</v>
      </c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68">
        <f t="shared" si="245"/>
        <v>0</v>
      </c>
      <c r="BB112" s="137"/>
      <c r="BC112" s="168">
        <f t="shared" ref="BC112:BJ112" si="247">SUM(BS111:BZ111)</f>
        <v>0</v>
      </c>
      <c r="BD112" s="168">
        <f t="shared" si="243"/>
        <v>0</v>
      </c>
      <c r="BE112" s="168">
        <f t="shared" si="247"/>
        <v>0</v>
      </c>
      <c r="BF112" s="168">
        <f t="shared" si="247"/>
        <v>0</v>
      </c>
      <c r="BG112" s="168">
        <f t="shared" si="247"/>
        <v>0</v>
      </c>
      <c r="BH112" s="168">
        <f t="shared" si="247"/>
        <v>0</v>
      </c>
      <c r="BI112" s="168">
        <f t="shared" si="247"/>
        <v>0</v>
      </c>
      <c r="BJ112" s="168">
        <f t="shared" si="247"/>
        <v>0</v>
      </c>
      <c r="BK112" s="137"/>
      <c r="BL112" s="137"/>
      <c r="BM112" s="137"/>
      <c r="BN112" s="137"/>
      <c r="BO112" s="137"/>
      <c r="BP112" s="137"/>
      <c r="BQ112" s="137"/>
      <c r="BR112" s="137"/>
      <c r="BS112" s="137"/>
      <c r="BT112" s="137"/>
      <c r="BU112" s="137"/>
    </row>
    <row r="113" spans="1:73" ht="12.75" customHeight="1" x14ac:dyDescent="0.25">
      <c r="A113" s="200"/>
      <c r="B113" s="200" t="s">
        <v>275</v>
      </c>
      <c r="C113" s="340">
        <v>19.78</v>
      </c>
      <c r="D113" s="203">
        <f t="shared" si="231"/>
        <v>21.758000000000003</v>
      </c>
      <c r="E113" s="203" t="s">
        <v>6</v>
      </c>
      <c r="F113" s="203">
        <f>'Material and Labor Cost'!$D$25</f>
        <v>555</v>
      </c>
      <c r="G113" s="203">
        <f>'Material and Labor Cost'!$F$25</f>
        <v>275</v>
      </c>
      <c r="H113" s="203">
        <f t="shared" si="232"/>
        <v>830</v>
      </c>
      <c r="I113" s="203">
        <f t="shared" si="233"/>
        <v>18059.140000000003</v>
      </c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310">
        <f t="shared" si="234"/>
        <v>0</v>
      </c>
      <c r="Z113" s="311">
        <f t="shared" si="235"/>
        <v>6.527400000000001</v>
      </c>
      <c r="AA113" s="311">
        <f t="shared" si="236"/>
        <v>6.527400000000001</v>
      </c>
      <c r="AB113" s="167">
        <f t="shared" si="237"/>
        <v>15.230600000000003</v>
      </c>
      <c r="AC113" s="167">
        <f t="shared" si="238"/>
        <v>0</v>
      </c>
      <c r="AD113" s="167">
        <f t="shared" si="239"/>
        <v>5417.7420000000011</v>
      </c>
      <c r="AE113" s="167">
        <f t="shared" si="240"/>
        <v>5417.7420000000011</v>
      </c>
      <c r="AF113" s="167">
        <f t="shared" si="241"/>
        <v>12641.398000000001</v>
      </c>
      <c r="AG113" s="168">
        <f t="shared" si="180"/>
        <v>0.3</v>
      </c>
      <c r="AH113" s="137"/>
      <c r="AI113" s="311">
        <v>0</v>
      </c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68">
        <v>0.3</v>
      </c>
      <c r="BB113" s="137"/>
      <c r="BC113" s="168">
        <f t="shared" ref="BC113:BJ113" si="248">SUM(BS112:BZ112)</f>
        <v>0</v>
      </c>
      <c r="BD113" s="168">
        <f t="shared" si="243"/>
        <v>0</v>
      </c>
      <c r="BE113" s="168">
        <f t="shared" si="248"/>
        <v>0</v>
      </c>
      <c r="BF113" s="168">
        <f t="shared" si="248"/>
        <v>0</v>
      </c>
      <c r="BG113" s="168">
        <f t="shared" si="248"/>
        <v>0</v>
      </c>
      <c r="BH113" s="168">
        <f t="shared" si="248"/>
        <v>0</v>
      </c>
      <c r="BI113" s="168">
        <f t="shared" si="248"/>
        <v>0</v>
      </c>
      <c r="BJ113" s="168">
        <f t="shared" si="248"/>
        <v>0</v>
      </c>
      <c r="BK113" s="137"/>
      <c r="BL113" s="137"/>
      <c r="BM113" s="137"/>
      <c r="BN113" s="137"/>
      <c r="BO113" s="137"/>
      <c r="BP113" s="137"/>
      <c r="BQ113" s="137"/>
      <c r="BR113" s="137"/>
      <c r="BS113" s="137"/>
      <c r="BT113" s="137"/>
      <c r="BU113" s="137"/>
    </row>
    <row r="114" spans="1:73" ht="12.75" customHeight="1" x14ac:dyDescent="0.25">
      <c r="A114" s="200"/>
      <c r="B114" s="204" t="s">
        <v>272</v>
      </c>
      <c r="C114" s="340"/>
      <c r="D114" s="203">
        <v>1</v>
      </c>
      <c r="E114" s="203" t="s">
        <v>94</v>
      </c>
      <c r="F114" s="203"/>
      <c r="G114" s="203"/>
      <c r="H114" s="203"/>
      <c r="I114" s="203">
        <f>SUM(I109:I113)*$L$27</f>
        <v>5844.4478399999998</v>
      </c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310">
        <f t="shared" si="234"/>
        <v>0</v>
      </c>
      <c r="Z114" s="311">
        <f t="shared" si="235"/>
        <v>0.4</v>
      </c>
      <c r="AA114" s="311">
        <f t="shared" si="236"/>
        <v>0.4</v>
      </c>
      <c r="AB114" s="167">
        <f t="shared" si="237"/>
        <v>0.6</v>
      </c>
      <c r="AC114" s="167">
        <f t="shared" si="238"/>
        <v>0</v>
      </c>
      <c r="AD114" s="167">
        <f t="shared" si="239"/>
        <v>2337.7791360000001</v>
      </c>
      <c r="AE114" s="167">
        <f t="shared" si="240"/>
        <v>2337.7791360000001</v>
      </c>
      <c r="AF114" s="167">
        <f t="shared" si="241"/>
        <v>3506.6687039999997</v>
      </c>
      <c r="AG114" s="168">
        <f t="shared" si="180"/>
        <v>0.4</v>
      </c>
      <c r="AH114" s="137"/>
      <c r="AI114" s="311">
        <v>0</v>
      </c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68">
        <v>0.4</v>
      </c>
      <c r="BB114" s="137"/>
      <c r="BC114" s="168">
        <f t="shared" ref="BC114:BJ114" si="249">SUM(BS113:BZ113)</f>
        <v>0</v>
      </c>
      <c r="BD114" s="168">
        <f t="shared" si="243"/>
        <v>0</v>
      </c>
      <c r="BE114" s="168">
        <f t="shared" si="249"/>
        <v>0</v>
      </c>
      <c r="BF114" s="168">
        <f t="shared" si="249"/>
        <v>0</v>
      </c>
      <c r="BG114" s="168">
        <f t="shared" si="249"/>
        <v>0</v>
      </c>
      <c r="BH114" s="168">
        <f t="shared" si="249"/>
        <v>0</v>
      </c>
      <c r="BI114" s="168">
        <f t="shared" si="249"/>
        <v>0</v>
      </c>
      <c r="BJ114" s="168">
        <f t="shared" si="249"/>
        <v>0</v>
      </c>
      <c r="BK114" s="137"/>
      <c r="BL114" s="137"/>
      <c r="BM114" s="137"/>
      <c r="BN114" s="137"/>
      <c r="BO114" s="137"/>
      <c r="BP114" s="137"/>
      <c r="BQ114" s="137"/>
      <c r="BR114" s="137"/>
      <c r="BS114" s="137"/>
      <c r="BT114" s="137"/>
      <c r="BU114" s="137"/>
    </row>
    <row r="115" spans="1:73" ht="12.75" customHeight="1" x14ac:dyDescent="0.25">
      <c r="A115" s="228"/>
      <c r="B115" s="510" t="s">
        <v>308</v>
      </c>
      <c r="C115" s="501"/>
      <c r="D115" s="501"/>
      <c r="E115" s="501"/>
      <c r="F115" s="501"/>
      <c r="G115" s="501"/>
      <c r="H115" s="502"/>
      <c r="I115" s="229">
        <f>SUM(I109:I114)</f>
        <v>54548.179840000004</v>
      </c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  <c r="V115" s="230"/>
      <c r="W115" s="230"/>
      <c r="X115" s="232"/>
      <c r="Y115" s="307">
        <f t="shared" ref="Y115:AF115" si="250">SUM(Y109:Y114)</f>
        <v>0</v>
      </c>
      <c r="Z115" s="184">
        <f t="shared" si="250"/>
        <v>41.159399999999998</v>
      </c>
      <c r="AA115" s="184">
        <f t="shared" si="250"/>
        <v>41.159399999999998</v>
      </c>
      <c r="AB115" s="235">
        <f t="shared" si="250"/>
        <v>23.420600000000004</v>
      </c>
      <c r="AC115" s="235">
        <f t="shared" si="250"/>
        <v>0</v>
      </c>
      <c r="AD115" s="235">
        <f t="shared" si="250"/>
        <v>35060.513136000001</v>
      </c>
      <c r="AE115" s="235">
        <f t="shared" si="250"/>
        <v>35060.513136000001</v>
      </c>
      <c r="AF115" s="235">
        <f t="shared" si="250"/>
        <v>19487.666704000003</v>
      </c>
      <c r="AG115" s="168">
        <f t="shared" si="180"/>
        <v>0.44999999999999996</v>
      </c>
      <c r="AH115" s="237"/>
      <c r="AI115" s="184">
        <v>0</v>
      </c>
      <c r="AJ115" s="230"/>
      <c r="AK115" s="230"/>
      <c r="AL115" s="230"/>
      <c r="AM115" s="230"/>
      <c r="AN115" s="230"/>
      <c r="AO115" s="230"/>
      <c r="AP115" s="230"/>
      <c r="AQ115" s="230"/>
      <c r="AR115" s="230"/>
      <c r="AS115" s="230"/>
      <c r="AT115" s="230"/>
      <c r="AU115" s="230"/>
      <c r="AV115" s="230"/>
      <c r="AW115" s="230"/>
      <c r="AX115" s="230"/>
      <c r="AY115" s="230"/>
      <c r="AZ115" s="230"/>
      <c r="BA115" s="308">
        <f>SUM(BA109:BA114)/COUNT(BA109:BA114)</f>
        <v>0.44999999999999996</v>
      </c>
      <c r="BB115" s="230"/>
      <c r="BC115" s="308">
        <f t="shared" ref="BC115:BJ115" si="251">SUM(BC109:BC114)/COUNT(BC109:BC114)</f>
        <v>0</v>
      </c>
      <c r="BD115" s="308">
        <f>SUM(BD109:BD114)/COUNT(BD109:BD114)</f>
        <v>0</v>
      </c>
      <c r="BE115" s="308">
        <f t="shared" si="251"/>
        <v>0</v>
      </c>
      <c r="BF115" s="308">
        <f t="shared" si="251"/>
        <v>0</v>
      </c>
      <c r="BG115" s="308">
        <f t="shared" si="251"/>
        <v>0</v>
      </c>
      <c r="BH115" s="308">
        <f t="shared" si="251"/>
        <v>0</v>
      </c>
      <c r="BI115" s="308">
        <f t="shared" si="251"/>
        <v>0</v>
      </c>
      <c r="BJ115" s="308">
        <f t="shared" si="251"/>
        <v>0</v>
      </c>
      <c r="BK115" s="230"/>
      <c r="BL115" s="230"/>
      <c r="BM115" s="230"/>
      <c r="BN115" s="230"/>
      <c r="BO115" s="230"/>
      <c r="BP115" s="230"/>
      <c r="BQ115" s="230"/>
      <c r="BR115" s="230"/>
      <c r="BS115" s="230"/>
      <c r="BT115" s="230"/>
      <c r="BU115" s="230"/>
    </row>
    <row r="116" spans="1:73" ht="12.75" customHeight="1" x14ac:dyDescent="0.25">
      <c r="A116" s="200"/>
      <c r="B116" s="339" t="s">
        <v>309</v>
      </c>
      <c r="C116" s="340"/>
      <c r="D116" s="203"/>
      <c r="E116" s="203"/>
      <c r="F116" s="203"/>
      <c r="G116" s="203"/>
      <c r="H116" s="203"/>
      <c r="I116" s="203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310"/>
      <c r="Z116" s="311"/>
      <c r="AA116" s="311"/>
      <c r="AB116" s="167"/>
      <c r="AC116" s="167"/>
      <c r="AD116" s="167"/>
      <c r="AE116" s="167"/>
      <c r="AF116" s="167"/>
      <c r="AG116" s="168">
        <f t="shared" si="180"/>
        <v>0</v>
      </c>
      <c r="AH116" s="137"/>
      <c r="AI116" s="311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  <c r="BO116" s="137"/>
      <c r="BP116" s="137"/>
      <c r="BQ116" s="137"/>
      <c r="BR116" s="137"/>
      <c r="BS116" s="137"/>
      <c r="BT116" s="137"/>
      <c r="BU116" s="137"/>
    </row>
    <row r="117" spans="1:73" ht="12.75" customHeight="1" x14ac:dyDescent="0.25">
      <c r="A117" s="200"/>
      <c r="B117" s="291" t="s">
        <v>267</v>
      </c>
      <c r="C117" s="340">
        <v>10.36</v>
      </c>
      <c r="D117" s="203">
        <f t="shared" ref="D117:D118" si="252">C117*$L$23</f>
        <v>11.396000000000001</v>
      </c>
      <c r="E117" s="203" t="s">
        <v>6</v>
      </c>
      <c r="F117" s="203">
        <f>'Material and Labor Cost'!$D$21</f>
        <v>576</v>
      </c>
      <c r="G117" s="203">
        <f>'Material and Labor Cost'!$F$21</f>
        <v>300</v>
      </c>
      <c r="H117" s="203">
        <f t="shared" ref="H117:H124" si="253">SUM(F117:G117)</f>
        <v>876</v>
      </c>
      <c r="I117" s="203">
        <f t="shared" ref="I117:I124" si="254">H117*D117</f>
        <v>9982.8960000000006</v>
      </c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310">
        <f t="shared" ref="Y117:Y125" si="255">SUM(AI117:AP117)</f>
        <v>0</v>
      </c>
      <c r="Z117" s="311">
        <f t="shared" ref="Z117:Z125" si="256">D117*AG117</f>
        <v>11.396000000000001</v>
      </c>
      <c r="AA117" s="311">
        <f t="shared" ref="AA117:AA125" si="257">SUM(Y117:Z117)</f>
        <v>11.396000000000001</v>
      </c>
      <c r="AB117" s="167">
        <f t="shared" ref="AB117:AB125" si="258">D117-AA117</f>
        <v>0</v>
      </c>
      <c r="AC117" s="167">
        <f t="shared" ref="AC117:AC125" si="259">SUM(AR116:AY116)</f>
        <v>0</v>
      </c>
      <c r="AD117" s="167">
        <f t="shared" ref="AD117:AD125" si="260">AG117*I117</f>
        <v>9982.8960000000006</v>
      </c>
      <c r="AE117" s="167">
        <f t="shared" ref="AE117:AE125" si="261">SUM(AC117:AD117)</f>
        <v>9982.8960000000006</v>
      </c>
      <c r="AF117" s="167">
        <f t="shared" ref="AF117:AF125" si="262">I117-AE117</f>
        <v>0</v>
      </c>
      <c r="AG117" s="168">
        <f t="shared" si="180"/>
        <v>1</v>
      </c>
      <c r="AH117" s="137"/>
      <c r="AI117" s="311">
        <v>0</v>
      </c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68">
        <v>1</v>
      </c>
      <c r="BB117" s="137"/>
      <c r="BC117" s="168">
        <f t="shared" ref="BC117:BJ117" si="263">SUM(BS116:BZ116)</f>
        <v>0</v>
      </c>
      <c r="BD117" s="168">
        <f t="shared" ref="BD117:BD125" si="264">SUM(BN116:BT116)</f>
        <v>0</v>
      </c>
      <c r="BE117" s="168">
        <f t="shared" si="263"/>
        <v>0</v>
      </c>
      <c r="BF117" s="168">
        <f t="shared" si="263"/>
        <v>0</v>
      </c>
      <c r="BG117" s="168">
        <f t="shared" si="263"/>
        <v>0</v>
      </c>
      <c r="BH117" s="168">
        <f t="shared" si="263"/>
        <v>0</v>
      </c>
      <c r="BI117" s="168">
        <f t="shared" si="263"/>
        <v>0</v>
      </c>
      <c r="BJ117" s="168">
        <f t="shared" si="263"/>
        <v>0</v>
      </c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</row>
    <row r="118" spans="1:73" ht="12.75" customHeight="1" x14ac:dyDescent="0.25">
      <c r="A118" s="200"/>
      <c r="B118" s="291" t="s">
        <v>269</v>
      </c>
      <c r="C118" s="340">
        <v>3.5</v>
      </c>
      <c r="D118" s="203">
        <f t="shared" si="252"/>
        <v>3.8500000000000005</v>
      </c>
      <c r="E118" s="203" t="s">
        <v>6</v>
      </c>
      <c r="F118" s="203">
        <f>'Material and Labor Cost'!$D$23</f>
        <v>330</v>
      </c>
      <c r="G118" s="203">
        <f>'Material and Labor Cost'!$F$23</f>
        <v>165</v>
      </c>
      <c r="H118" s="203">
        <f t="shared" si="253"/>
        <v>495</v>
      </c>
      <c r="I118" s="203">
        <f t="shared" si="254"/>
        <v>1905.7500000000002</v>
      </c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310">
        <f t="shared" si="255"/>
        <v>0</v>
      </c>
      <c r="Z118" s="311">
        <f t="shared" si="256"/>
        <v>3.8500000000000005</v>
      </c>
      <c r="AA118" s="311">
        <f t="shared" si="257"/>
        <v>3.8500000000000005</v>
      </c>
      <c r="AB118" s="167">
        <f t="shared" si="258"/>
        <v>0</v>
      </c>
      <c r="AC118" s="167">
        <f t="shared" si="259"/>
        <v>0</v>
      </c>
      <c r="AD118" s="167">
        <f t="shared" si="260"/>
        <v>1905.7500000000002</v>
      </c>
      <c r="AE118" s="167">
        <f t="shared" si="261"/>
        <v>1905.7500000000002</v>
      </c>
      <c r="AF118" s="167">
        <f t="shared" si="262"/>
        <v>0</v>
      </c>
      <c r="AG118" s="168">
        <f t="shared" si="180"/>
        <v>1</v>
      </c>
      <c r="AH118" s="137"/>
      <c r="AI118" s="311">
        <v>0</v>
      </c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68">
        <v>1</v>
      </c>
      <c r="BB118" s="137"/>
      <c r="BC118" s="168">
        <f t="shared" ref="BC118:BJ118" si="265">SUM(BS117:BZ117)</f>
        <v>0</v>
      </c>
      <c r="BD118" s="168">
        <f t="shared" si="264"/>
        <v>0</v>
      </c>
      <c r="BE118" s="168">
        <f t="shared" si="265"/>
        <v>0</v>
      </c>
      <c r="BF118" s="168">
        <f t="shared" si="265"/>
        <v>0</v>
      </c>
      <c r="BG118" s="168">
        <f t="shared" si="265"/>
        <v>0</v>
      </c>
      <c r="BH118" s="168">
        <f t="shared" si="265"/>
        <v>0</v>
      </c>
      <c r="BI118" s="168">
        <f t="shared" si="265"/>
        <v>0</v>
      </c>
      <c r="BJ118" s="168">
        <f t="shared" si="265"/>
        <v>0</v>
      </c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</row>
    <row r="119" spans="1:73" ht="12.75" customHeight="1" x14ac:dyDescent="0.25">
      <c r="A119" s="200"/>
      <c r="B119" s="200" t="s">
        <v>299</v>
      </c>
      <c r="C119" s="340"/>
      <c r="D119" s="203">
        <v>6</v>
      </c>
      <c r="E119" s="203" t="s">
        <v>118</v>
      </c>
      <c r="F119" s="203">
        <f>'Material and Labor Cost'!$D$24</f>
        <v>220.00000000000003</v>
      </c>
      <c r="G119" s="203">
        <f>'Material and Labor Cost'!$F$24</f>
        <v>110.00000000000001</v>
      </c>
      <c r="H119" s="203">
        <f t="shared" si="253"/>
        <v>330.00000000000006</v>
      </c>
      <c r="I119" s="203">
        <f t="shared" si="254"/>
        <v>1980.0000000000005</v>
      </c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310">
        <f t="shared" si="255"/>
        <v>0</v>
      </c>
      <c r="Z119" s="311">
        <f t="shared" si="256"/>
        <v>1.7999999999999998</v>
      </c>
      <c r="AA119" s="311">
        <f t="shared" si="257"/>
        <v>1.7999999999999998</v>
      </c>
      <c r="AB119" s="167">
        <f t="shared" si="258"/>
        <v>4.2</v>
      </c>
      <c r="AC119" s="167">
        <f t="shared" si="259"/>
        <v>0</v>
      </c>
      <c r="AD119" s="167">
        <f t="shared" si="260"/>
        <v>594.00000000000011</v>
      </c>
      <c r="AE119" s="167">
        <f t="shared" si="261"/>
        <v>594.00000000000011</v>
      </c>
      <c r="AF119" s="167">
        <f t="shared" si="262"/>
        <v>1386.0000000000005</v>
      </c>
      <c r="AG119" s="168">
        <f t="shared" si="180"/>
        <v>0.3</v>
      </c>
      <c r="AH119" s="137"/>
      <c r="AI119" s="311">
        <v>0</v>
      </c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68">
        <v>0.3</v>
      </c>
      <c r="BB119" s="137"/>
      <c r="BC119" s="168">
        <f t="shared" ref="BC119:BJ119" si="266">SUM(BS118:BZ118)</f>
        <v>0</v>
      </c>
      <c r="BD119" s="168">
        <f t="shared" si="264"/>
        <v>0</v>
      </c>
      <c r="BE119" s="168">
        <f t="shared" si="266"/>
        <v>0</v>
      </c>
      <c r="BF119" s="168">
        <f t="shared" si="266"/>
        <v>0</v>
      </c>
      <c r="BG119" s="168">
        <f t="shared" si="266"/>
        <v>0</v>
      </c>
      <c r="BH119" s="168">
        <f t="shared" si="266"/>
        <v>0</v>
      </c>
      <c r="BI119" s="168">
        <f t="shared" si="266"/>
        <v>0</v>
      </c>
      <c r="BJ119" s="168">
        <f t="shared" si="266"/>
        <v>0</v>
      </c>
      <c r="BK119" s="137"/>
      <c r="BL119" s="137"/>
      <c r="BM119" s="137"/>
      <c r="BN119" s="137"/>
      <c r="BO119" s="137"/>
      <c r="BP119" s="137"/>
      <c r="BQ119" s="137"/>
      <c r="BR119" s="137"/>
      <c r="BS119" s="137"/>
      <c r="BT119" s="137"/>
      <c r="BU119" s="137"/>
    </row>
    <row r="120" spans="1:73" ht="12.75" customHeight="1" x14ac:dyDescent="0.25">
      <c r="A120" s="200"/>
      <c r="B120" s="200" t="s">
        <v>300</v>
      </c>
      <c r="C120" s="340">
        <v>1.4</v>
      </c>
      <c r="D120" s="203">
        <f t="shared" ref="D120:D124" si="267">C120*$L$23</f>
        <v>1.54</v>
      </c>
      <c r="E120" s="203" t="s">
        <v>6</v>
      </c>
      <c r="F120" s="203">
        <f>'Material and Labor Cost'!$D$34</f>
        <v>1265</v>
      </c>
      <c r="G120" s="203">
        <f>'Material and Labor Cost'!$F$34</f>
        <v>640</v>
      </c>
      <c r="H120" s="203">
        <f t="shared" si="253"/>
        <v>1905</v>
      </c>
      <c r="I120" s="203">
        <f t="shared" si="254"/>
        <v>2933.7000000000003</v>
      </c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310">
        <f t="shared" si="255"/>
        <v>0</v>
      </c>
      <c r="Z120" s="311">
        <f t="shared" si="256"/>
        <v>0.15400000000000003</v>
      </c>
      <c r="AA120" s="311">
        <f t="shared" si="257"/>
        <v>0.15400000000000003</v>
      </c>
      <c r="AB120" s="167">
        <f t="shared" si="258"/>
        <v>1.3860000000000001</v>
      </c>
      <c r="AC120" s="167">
        <f t="shared" si="259"/>
        <v>0</v>
      </c>
      <c r="AD120" s="167">
        <f t="shared" si="260"/>
        <v>293.37000000000006</v>
      </c>
      <c r="AE120" s="167">
        <f t="shared" si="261"/>
        <v>293.37000000000006</v>
      </c>
      <c r="AF120" s="167">
        <f t="shared" si="262"/>
        <v>2640.3300000000004</v>
      </c>
      <c r="AG120" s="168">
        <f t="shared" si="180"/>
        <v>0.1</v>
      </c>
      <c r="AH120" s="137"/>
      <c r="AI120" s="311">
        <v>0</v>
      </c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68">
        <v>0.1</v>
      </c>
      <c r="BB120" s="137"/>
      <c r="BC120" s="168">
        <f t="shared" ref="BC120:BJ120" si="268">SUM(BS119:BZ119)</f>
        <v>0</v>
      </c>
      <c r="BD120" s="168">
        <f t="shared" si="264"/>
        <v>0</v>
      </c>
      <c r="BE120" s="168">
        <f t="shared" si="268"/>
        <v>0</v>
      </c>
      <c r="BF120" s="168">
        <f t="shared" si="268"/>
        <v>0</v>
      </c>
      <c r="BG120" s="168">
        <f t="shared" si="268"/>
        <v>0</v>
      </c>
      <c r="BH120" s="168">
        <f t="shared" si="268"/>
        <v>0</v>
      </c>
      <c r="BI120" s="168">
        <f t="shared" si="268"/>
        <v>0</v>
      </c>
      <c r="BJ120" s="168">
        <f t="shared" si="268"/>
        <v>0</v>
      </c>
      <c r="BK120" s="137"/>
      <c r="BL120" s="137"/>
      <c r="BM120" s="137"/>
      <c r="BN120" s="137"/>
      <c r="BO120" s="137"/>
      <c r="BP120" s="137"/>
      <c r="BQ120" s="137"/>
      <c r="BR120" s="137"/>
      <c r="BS120" s="137"/>
      <c r="BT120" s="137"/>
      <c r="BU120" s="137"/>
    </row>
    <row r="121" spans="1:73" ht="12.75" customHeight="1" x14ac:dyDescent="0.25">
      <c r="A121" s="200"/>
      <c r="B121" s="200" t="s">
        <v>270</v>
      </c>
      <c r="C121" s="340">
        <v>2.4</v>
      </c>
      <c r="D121" s="203">
        <f t="shared" si="267"/>
        <v>2.64</v>
      </c>
      <c r="E121" s="203" t="s">
        <v>114</v>
      </c>
      <c r="F121" s="203">
        <f>'Material and Labor Cost'!$D$24</f>
        <v>220.00000000000003</v>
      </c>
      <c r="G121" s="203">
        <f>'Material and Labor Cost'!$F$24</f>
        <v>110.00000000000001</v>
      </c>
      <c r="H121" s="203">
        <f t="shared" si="253"/>
        <v>330.00000000000006</v>
      </c>
      <c r="I121" s="203">
        <f t="shared" si="254"/>
        <v>871.20000000000016</v>
      </c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310">
        <f t="shared" si="255"/>
        <v>0</v>
      </c>
      <c r="Z121" s="311">
        <f t="shared" si="256"/>
        <v>0.26400000000000001</v>
      </c>
      <c r="AA121" s="311">
        <f t="shared" si="257"/>
        <v>0.26400000000000001</v>
      </c>
      <c r="AB121" s="167">
        <f t="shared" si="258"/>
        <v>2.3760000000000003</v>
      </c>
      <c r="AC121" s="167">
        <f t="shared" si="259"/>
        <v>0</v>
      </c>
      <c r="AD121" s="167">
        <f t="shared" si="260"/>
        <v>87.120000000000019</v>
      </c>
      <c r="AE121" s="167">
        <f t="shared" si="261"/>
        <v>87.120000000000019</v>
      </c>
      <c r="AF121" s="167">
        <f t="shared" si="262"/>
        <v>784.08000000000015</v>
      </c>
      <c r="AG121" s="168">
        <f t="shared" si="180"/>
        <v>0.1</v>
      </c>
      <c r="AH121" s="137"/>
      <c r="AI121" s="311">
        <v>0</v>
      </c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68">
        <v>0.1</v>
      </c>
      <c r="BB121" s="137"/>
      <c r="BC121" s="168">
        <f t="shared" ref="BC121:BJ121" si="269">SUM(BS120:BZ120)</f>
        <v>0</v>
      </c>
      <c r="BD121" s="168">
        <f t="shared" si="264"/>
        <v>0</v>
      </c>
      <c r="BE121" s="168">
        <f t="shared" si="269"/>
        <v>0</v>
      </c>
      <c r="BF121" s="168">
        <f t="shared" si="269"/>
        <v>0</v>
      </c>
      <c r="BG121" s="168">
        <f t="shared" si="269"/>
        <v>0</v>
      </c>
      <c r="BH121" s="168">
        <f t="shared" si="269"/>
        <v>0</v>
      </c>
      <c r="BI121" s="168">
        <f t="shared" si="269"/>
        <v>0</v>
      </c>
      <c r="BJ121" s="168">
        <f t="shared" si="269"/>
        <v>0</v>
      </c>
      <c r="BK121" s="137"/>
      <c r="BL121" s="137"/>
      <c r="BM121" s="137"/>
      <c r="BN121" s="137"/>
      <c r="BO121" s="137"/>
      <c r="BP121" s="137"/>
      <c r="BQ121" s="137"/>
      <c r="BR121" s="137"/>
      <c r="BS121" s="137"/>
      <c r="BT121" s="137"/>
      <c r="BU121" s="137"/>
    </row>
    <row r="122" spans="1:73" ht="12.75" customHeight="1" x14ac:dyDescent="0.25">
      <c r="A122" s="200"/>
      <c r="B122" s="204" t="s">
        <v>310</v>
      </c>
      <c r="C122" s="340">
        <v>2.5</v>
      </c>
      <c r="D122" s="203">
        <f t="shared" si="267"/>
        <v>2.75</v>
      </c>
      <c r="E122" s="203" t="s">
        <v>6</v>
      </c>
      <c r="F122" s="203">
        <f>'Material and Labor Cost'!$D$28</f>
        <v>2640</v>
      </c>
      <c r="G122" s="203">
        <f>'Material and Labor Cost'!$F$28</f>
        <v>880</v>
      </c>
      <c r="H122" s="203">
        <f t="shared" si="253"/>
        <v>3520</v>
      </c>
      <c r="I122" s="203">
        <f t="shared" si="254"/>
        <v>9680</v>
      </c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310">
        <f t="shared" si="255"/>
        <v>0</v>
      </c>
      <c r="Z122" s="311">
        <f t="shared" si="256"/>
        <v>0.27500000000000002</v>
      </c>
      <c r="AA122" s="311">
        <f t="shared" si="257"/>
        <v>0.27500000000000002</v>
      </c>
      <c r="AB122" s="167">
        <f t="shared" si="258"/>
        <v>2.4750000000000001</v>
      </c>
      <c r="AC122" s="167">
        <f t="shared" si="259"/>
        <v>0</v>
      </c>
      <c r="AD122" s="167">
        <f t="shared" si="260"/>
        <v>968</v>
      </c>
      <c r="AE122" s="167">
        <f t="shared" si="261"/>
        <v>968</v>
      </c>
      <c r="AF122" s="167">
        <f t="shared" si="262"/>
        <v>8712</v>
      </c>
      <c r="AG122" s="168">
        <f t="shared" si="180"/>
        <v>0.1</v>
      </c>
      <c r="AH122" s="137"/>
      <c r="AI122" s="311">
        <v>0</v>
      </c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68">
        <v>0.1</v>
      </c>
      <c r="BB122" s="137"/>
      <c r="BC122" s="168">
        <f t="shared" ref="BC122:BJ122" si="270">SUM(BS121:BZ121)</f>
        <v>0</v>
      </c>
      <c r="BD122" s="168">
        <f t="shared" si="264"/>
        <v>0</v>
      </c>
      <c r="BE122" s="168">
        <f t="shared" si="270"/>
        <v>0</v>
      </c>
      <c r="BF122" s="168">
        <f t="shared" si="270"/>
        <v>0</v>
      </c>
      <c r="BG122" s="168">
        <f t="shared" si="270"/>
        <v>0</v>
      </c>
      <c r="BH122" s="168">
        <f t="shared" si="270"/>
        <v>0</v>
      </c>
      <c r="BI122" s="168">
        <f t="shared" si="270"/>
        <v>0</v>
      </c>
      <c r="BJ122" s="168">
        <f t="shared" si="270"/>
        <v>0</v>
      </c>
      <c r="BK122" s="137"/>
      <c r="BL122" s="137"/>
      <c r="BM122" s="137"/>
      <c r="BN122" s="137"/>
      <c r="BO122" s="137"/>
      <c r="BP122" s="137"/>
      <c r="BQ122" s="137"/>
      <c r="BR122" s="137"/>
      <c r="BS122" s="137"/>
      <c r="BT122" s="137"/>
      <c r="BU122" s="137"/>
    </row>
    <row r="123" spans="1:73" ht="12.75" customHeight="1" x14ac:dyDescent="0.25">
      <c r="A123" s="200"/>
      <c r="B123" s="204" t="s">
        <v>288</v>
      </c>
      <c r="C123" s="340">
        <v>9.6</v>
      </c>
      <c r="D123" s="203">
        <f t="shared" si="267"/>
        <v>10.56</v>
      </c>
      <c r="E123" s="203" t="s">
        <v>114</v>
      </c>
      <c r="F123" s="203">
        <f>'Material and Labor Cost'!$D$32</f>
        <v>55.000000000000007</v>
      </c>
      <c r="G123" s="203">
        <f>'Material and Labor Cost'!$F$32</f>
        <v>30.000000000000004</v>
      </c>
      <c r="H123" s="203">
        <f t="shared" si="253"/>
        <v>85.000000000000014</v>
      </c>
      <c r="I123" s="203">
        <f t="shared" si="254"/>
        <v>897.60000000000014</v>
      </c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310">
        <f t="shared" si="255"/>
        <v>0</v>
      </c>
      <c r="Z123" s="311">
        <f t="shared" si="256"/>
        <v>1.056</v>
      </c>
      <c r="AA123" s="311">
        <f t="shared" si="257"/>
        <v>1.056</v>
      </c>
      <c r="AB123" s="167">
        <f t="shared" si="258"/>
        <v>9.5040000000000013</v>
      </c>
      <c r="AC123" s="167">
        <f t="shared" si="259"/>
        <v>0</v>
      </c>
      <c r="AD123" s="167">
        <f t="shared" si="260"/>
        <v>89.760000000000019</v>
      </c>
      <c r="AE123" s="167">
        <f t="shared" si="261"/>
        <v>89.760000000000019</v>
      </c>
      <c r="AF123" s="167">
        <f t="shared" si="262"/>
        <v>807.84000000000015</v>
      </c>
      <c r="AG123" s="168">
        <f t="shared" si="180"/>
        <v>0.1</v>
      </c>
      <c r="AH123" s="137"/>
      <c r="AI123" s="311">
        <v>0</v>
      </c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68">
        <v>0.1</v>
      </c>
      <c r="BB123" s="137"/>
      <c r="BC123" s="168">
        <f t="shared" ref="BC123:BJ123" si="271">SUM(BS122:BZ122)</f>
        <v>0</v>
      </c>
      <c r="BD123" s="168">
        <f t="shared" si="264"/>
        <v>0</v>
      </c>
      <c r="BE123" s="168">
        <f t="shared" si="271"/>
        <v>0</v>
      </c>
      <c r="BF123" s="168">
        <f t="shared" si="271"/>
        <v>0</v>
      </c>
      <c r="BG123" s="168">
        <f t="shared" si="271"/>
        <v>0</v>
      </c>
      <c r="BH123" s="168">
        <f t="shared" si="271"/>
        <v>0</v>
      </c>
      <c r="BI123" s="168">
        <f t="shared" si="271"/>
        <v>0</v>
      </c>
      <c r="BJ123" s="168">
        <f t="shared" si="271"/>
        <v>0</v>
      </c>
      <c r="BK123" s="137"/>
      <c r="BL123" s="137"/>
      <c r="BM123" s="137"/>
      <c r="BN123" s="137"/>
      <c r="BO123" s="137"/>
      <c r="BP123" s="137"/>
      <c r="BQ123" s="137"/>
      <c r="BR123" s="137"/>
      <c r="BS123" s="137"/>
      <c r="BT123" s="137"/>
      <c r="BU123" s="137"/>
    </row>
    <row r="124" spans="1:73" ht="12.75" customHeight="1" x14ac:dyDescent="0.25">
      <c r="A124" s="200"/>
      <c r="B124" s="200" t="s">
        <v>275</v>
      </c>
      <c r="C124" s="340">
        <f>C117*0.8</f>
        <v>8.2880000000000003</v>
      </c>
      <c r="D124" s="203">
        <f t="shared" si="267"/>
        <v>9.1168000000000013</v>
      </c>
      <c r="E124" s="203" t="s">
        <v>6</v>
      </c>
      <c r="F124" s="203">
        <f>'Material and Labor Cost'!$D$25</f>
        <v>555</v>
      </c>
      <c r="G124" s="203">
        <f>'Material and Labor Cost'!$F$25</f>
        <v>275</v>
      </c>
      <c r="H124" s="203">
        <f t="shared" si="253"/>
        <v>830</v>
      </c>
      <c r="I124" s="203">
        <f t="shared" si="254"/>
        <v>7566.9440000000013</v>
      </c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310">
        <f t="shared" si="255"/>
        <v>0</v>
      </c>
      <c r="Z124" s="311">
        <f t="shared" si="256"/>
        <v>5.4700800000000003</v>
      </c>
      <c r="AA124" s="311">
        <f t="shared" si="257"/>
        <v>5.4700800000000003</v>
      </c>
      <c r="AB124" s="167">
        <f t="shared" si="258"/>
        <v>3.6467200000000011</v>
      </c>
      <c r="AC124" s="167">
        <f t="shared" si="259"/>
        <v>0</v>
      </c>
      <c r="AD124" s="167">
        <f t="shared" si="260"/>
        <v>4540.166400000001</v>
      </c>
      <c r="AE124" s="167">
        <f t="shared" si="261"/>
        <v>4540.166400000001</v>
      </c>
      <c r="AF124" s="167">
        <f t="shared" si="262"/>
        <v>3026.7776000000003</v>
      </c>
      <c r="AG124" s="168">
        <f t="shared" si="180"/>
        <v>0.6</v>
      </c>
      <c r="AH124" s="137"/>
      <c r="AI124" s="311">
        <v>0</v>
      </c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68">
        <v>0.6</v>
      </c>
      <c r="BB124" s="137"/>
      <c r="BC124" s="168">
        <f t="shared" ref="BC124:BJ124" si="272">SUM(BS123:BZ123)</f>
        <v>0</v>
      </c>
      <c r="BD124" s="168">
        <f t="shared" si="264"/>
        <v>0</v>
      </c>
      <c r="BE124" s="168">
        <f t="shared" si="272"/>
        <v>0</v>
      </c>
      <c r="BF124" s="168">
        <f t="shared" si="272"/>
        <v>0</v>
      </c>
      <c r="BG124" s="168">
        <f t="shared" si="272"/>
        <v>0</v>
      </c>
      <c r="BH124" s="168">
        <f t="shared" si="272"/>
        <v>0</v>
      </c>
      <c r="BI124" s="168">
        <f t="shared" si="272"/>
        <v>0</v>
      </c>
      <c r="BJ124" s="168">
        <f t="shared" si="272"/>
        <v>0</v>
      </c>
      <c r="BK124" s="137"/>
      <c r="BL124" s="137"/>
      <c r="BM124" s="137"/>
      <c r="BN124" s="137"/>
      <c r="BO124" s="137"/>
      <c r="BP124" s="137"/>
      <c r="BQ124" s="137"/>
      <c r="BR124" s="137"/>
      <c r="BS124" s="137"/>
      <c r="BT124" s="137"/>
      <c r="BU124" s="137"/>
    </row>
    <row r="125" spans="1:73" ht="12.75" customHeight="1" x14ac:dyDescent="0.25">
      <c r="A125" s="200"/>
      <c r="B125" s="204" t="s">
        <v>272</v>
      </c>
      <c r="C125" s="340"/>
      <c r="D125" s="203">
        <v>1</v>
      </c>
      <c r="E125" s="203" t="s">
        <v>94</v>
      </c>
      <c r="F125" s="203"/>
      <c r="G125" s="203"/>
      <c r="H125" s="203"/>
      <c r="I125" s="203">
        <f>SUM(I117:I124)*$L$72</f>
        <v>17909.045000000002</v>
      </c>
      <c r="J125" s="137"/>
      <c r="K125" s="137"/>
      <c r="L125" s="137"/>
      <c r="M125" s="32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310">
        <f t="shared" si="255"/>
        <v>0</v>
      </c>
      <c r="Z125" s="311">
        <f t="shared" si="256"/>
        <v>0.6</v>
      </c>
      <c r="AA125" s="311">
        <f t="shared" si="257"/>
        <v>0.6</v>
      </c>
      <c r="AB125" s="167">
        <f t="shared" si="258"/>
        <v>0.4</v>
      </c>
      <c r="AC125" s="167">
        <f t="shared" si="259"/>
        <v>0</v>
      </c>
      <c r="AD125" s="167">
        <f t="shared" si="260"/>
        <v>10745.427000000001</v>
      </c>
      <c r="AE125" s="167">
        <f t="shared" si="261"/>
        <v>10745.427000000001</v>
      </c>
      <c r="AF125" s="167">
        <f t="shared" si="262"/>
        <v>7163.6180000000004</v>
      </c>
      <c r="AG125" s="168">
        <f t="shared" si="180"/>
        <v>0.6</v>
      </c>
      <c r="AH125" s="137"/>
      <c r="AI125" s="311">
        <v>0</v>
      </c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68">
        <v>0.6</v>
      </c>
      <c r="BB125" s="137"/>
      <c r="BC125" s="168">
        <f t="shared" ref="BC125:BJ125" si="273">SUM(BS124:BZ124)</f>
        <v>0</v>
      </c>
      <c r="BD125" s="168">
        <f t="shared" si="264"/>
        <v>0</v>
      </c>
      <c r="BE125" s="168">
        <f t="shared" si="273"/>
        <v>0</v>
      </c>
      <c r="BF125" s="168">
        <f t="shared" si="273"/>
        <v>0</v>
      </c>
      <c r="BG125" s="168">
        <f t="shared" si="273"/>
        <v>0</v>
      </c>
      <c r="BH125" s="168">
        <f t="shared" si="273"/>
        <v>0</v>
      </c>
      <c r="BI125" s="168">
        <f t="shared" si="273"/>
        <v>0</v>
      </c>
      <c r="BJ125" s="168">
        <f t="shared" si="273"/>
        <v>0</v>
      </c>
      <c r="BK125" s="137"/>
      <c r="BL125" s="137"/>
      <c r="BM125" s="137"/>
      <c r="BN125" s="137"/>
      <c r="BO125" s="137"/>
      <c r="BP125" s="137"/>
      <c r="BQ125" s="137"/>
      <c r="BR125" s="137"/>
      <c r="BS125" s="137"/>
      <c r="BT125" s="137"/>
      <c r="BU125" s="137"/>
    </row>
    <row r="126" spans="1:73" ht="12.75" customHeight="1" x14ac:dyDescent="0.25">
      <c r="A126" s="228"/>
      <c r="B126" s="510" t="s">
        <v>311</v>
      </c>
      <c r="C126" s="501"/>
      <c r="D126" s="501"/>
      <c r="E126" s="501"/>
      <c r="F126" s="501"/>
      <c r="G126" s="501"/>
      <c r="H126" s="502"/>
      <c r="I126" s="229">
        <f>SUM(I117:I125)</f>
        <v>53727.135000000009</v>
      </c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  <c r="V126" s="230"/>
      <c r="W126" s="230"/>
      <c r="X126" s="232"/>
      <c r="Y126" s="307">
        <f t="shared" ref="Y126:AF126" si="274">SUM(Y117:Y125)</f>
        <v>0</v>
      </c>
      <c r="Z126" s="184">
        <f t="shared" si="274"/>
        <v>24.865080000000003</v>
      </c>
      <c r="AA126" s="184">
        <f t="shared" si="274"/>
        <v>24.865080000000003</v>
      </c>
      <c r="AB126" s="235">
        <f t="shared" si="274"/>
        <v>23.987720000000003</v>
      </c>
      <c r="AC126" s="235">
        <f t="shared" si="274"/>
        <v>0</v>
      </c>
      <c r="AD126" s="235">
        <f t="shared" si="274"/>
        <v>29206.489400000006</v>
      </c>
      <c r="AE126" s="235">
        <f t="shared" si="274"/>
        <v>29206.489400000006</v>
      </c>
      <c r="AF126" s="235">
        <f t="shared" si="274"/>
        <v>24520.645600000003</v>
      </c>
      <c r="AG126" s="168">
        <f t="shared" si="180"/>
        <v>0.43333333333333335</v>
      </c>
      <c r="AH126" s="237"/>
      <c r="AI126" s="184">
        <v>0</v>
      </c>
      <c r="AJ126" s="230"/>
      <c r="AK126" s="230"/>
      <c r="AL126" s="230"/>
      <c r="AM126" s="230"/>
      <c r="AN126" s="230"/>
      <c r="AO126" s="230"/>
      <c r="AP126" s="230"/>
      <c r="AQ126" s="230"/>
      <c r="AR126" s="230"/>
      <c r="AS126" s="230"/>
      <c r="AT126" s="230"/>
      <c r="AU126" s="230"/>
      <c r="AV126" s="230"/>
      <c r="AW126" s="230"/>
      <c r="AX126" s="230"/>
      <c r="AY126" s="230"/>
      <c r="AZ126" s="230"/>
      <c r="BA126" s="308">
        <f>SUM(BA117:BA125)/COUNT(BA117:BA125)</f>
        <v>0.43333333333333335</v>
      </c>
      <c r="BB126" s="230"/>
      <c r="BC126" s="308">
        <f t="shared" ref="BC126:BJ126" si="275">SUM(BC117:BC125)/COUNT(BC117:BC125)</f>
        <v>0</v>
      </c>
      <c r="BD126" s="308">
        <f>SUM(BD117:BD125)/COUNT(BD117:BD125)</f>
        <v>0</v>
      </c>
      <c r="BE126" s="308">
        <f t="shared" si="275"/>
        <v>0</v>
      </c>
      <c r="BF126" s="308">
        <f t="shared" si="275"/>
        <v>0</v>
      </c>
      <c r="BG126" s="308">
        <f t="shared" si="275"/>
        <v>0</v>
      </c>
      <c r="BH126" s="308">
        <f t="shared" si="275"/>
        <v>0</v>
      </c>
      <c r="BI126" s="308">
        <f t="shared" si="275"/>
        <v>0</v>
      </c>
      <c r="BJ126" s="308">
        <f t="shared" si="275"/>
        <v>0</v>
      </c>
      <c r="BK126" s="230"/>
      <c r="BL126" s="230"/>
      <c r="BM126" s="230"/>
      <c r="BN126" s="230"/>
      <c r="BO126" s="230"/>
      <c r="BP126" s="230"/>
      <c r="BQ126" s="230"/>
      <c r="BR126" s="230"/>
      <c r="BS126" s="230"/>
      <c r="BT126" s="230"/>
      <c r="BU126" s="230"/>
    </row>
    <row r="127" spans="1:73" ht="12.75" customHeight="1" x14ac:dyDescent="0.25">
      <c r="A127" s="200"/>
      <c r="B127" s="339" t="s">
        <v>312</v>
      </c>
      <c r="C127" s="340"/>
      <c r="D127" s="203"/>
      <c r="E127" s="203"/>
      <c r="F127" s="203"/>
      <c r="G127" s="203"/>
      <c r="H127" s="203"/>
      <c r="I127" s="203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310"/>
      <c r="Z127" s="311"/>
      <c r="AA127" s="311"/>
      <c r="AB127" s="167"/>
      <c r="AC127" s="167"/>
      <c r="AD127" s="167"/>
      <c r="AE127" s="167"/>
      <c r="AF127" s="167"/>
      <c r="AG127" s="168">
        <f t="shared" si="180"/>
        <v>0</v>
      </c>
      <c r="AH127" s="137"/>
      <c r="AI127" s="311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  <c r="BO127" s="137"/>
      <c r="BP127" s="137"/>
      <c r="BQ127" s="137"/>
      <c r="BR127" s="137"/>
      <c r="BS127" s="137"/>
      <c r="BT127" s="137"/>
      <c r="BU127" s="137"/>
    </row>
    <row r="128" spans="1:73" ht="12.75" customHeight="1" x14ac:dyDescent="0.25">
      <c r="A128" s="200"/>
      <c r="B128" s="291" t="s">
        <v>267</v>
      </c>
      <c r="C128" s="340">
        <v>26.12</v>
      </c>
      <c r="D128" s="203">
        <f t="shared" ref="D128:D129" si="276">C128*$L$23</f>
        <v>28.732000000000003</v>
      </c>
      <c r="E128" s="203" t="s">
        <v>6</v>
      </c>
      <c r="F128" s="203">
        <f>'Material and Labor Cost'!$D$21</f>
        <v>576</v>
      </c>
      <c r="G128" s="203">
        <f>'Material and Labor Cost'!$F$21</f>
        <v>300</v>
      </c>
      <c r="H128" s="203">
        <f t="shared" ref="H128:H135" si="277">SUM(F128:G128)</f>
        <v>876</v>
      </c>
      <c r="I128" s="203">
        <f t="shared" ref="I128:I135" si="278">H128*D128</f>
        <v>25169.232000000004</v>
      </c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310">
        <f t="shared" ref="Y128:Y136" si="279">SUM(AI128:AP128)</f>
        <v>0</v>
      </c>
      <c r="Z128" s="311">
        <f t="shared" ref="Z128:Z136" si="280">D128*AG128</f>
        <v>28.732000000000003</v>
      </c>
      <c r="AA128" s="311">
        <f t="shared" ref="AA128:AA136" si="281">SUM(Y128:Z128)</f>
        <v>28.732000000000003</v>
      </c>
      <c r="AB128" s="167">
        <f t="shared" ref="AB128:AB136" si="282">D128-AA128</f>
        <v>0</v>
      </c>
      <c r="AC128" s="167">
        <f t="shared" ref="AC128:AC136" si="283">SUM(AR127:AY127)</f>
        <v>0</v>
      </c>
      <c r="AD128" s="167">
        <f t="shared" ref="AD128:AD136" si="284">AG128*I128</f>
        <v>25169.232000000004</v>
      </c>
      <c r="AE128" s="167">
        <f t="shared" ref="AE128:AE136" si="285">SUM(AC128:AD128)</f>
        <v>25169.232000000004</v>
      </c>
      <c r="AF128" s="167">
        <f t="shared" ref="AF128:AF136" si="286">I128-AE128</f>
        <v>0</v>
      </c>
      <c r="AG128" s="168">
        <f t="shared" si="180"/>
        <v>1</v>
      </c>
      <c r="AH128" s="137"/>
      <c r="AI128" s="311">
        <v>0</v>
      </c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68">
        <v>1</v>
      </c>
      <c r="BB128" s="137"/>
      <c r="BC128" s="168">
        <f t="shared" ref="BC128:BJ128" si="287">SUM(BS127:BZ127)</f>
        <v>0</v>
      </c>
      <c r="BD128" s="168">
        <f t="shared" ref="BD128:BD136" si="288">SUM(BN127:BT127)</f>
        <v>0</v>
      </c>
      <c r="BE128" s="168">
        <f t="shared" si="287"/>
        <v>0</v>
      </c>
      <c r="BF128" s="168">
        <f t="shared" si="287"/>
        <v>0</v>
      </c>
      <c r="BG128" s="168">
        <f t="shared" si="287"/>
        <v>0</v>
      </c>
      <c r="BH128" s="168">
        <f t="shared" si="287"/>
        <v>0</v>
      </c>
      <c r="BI128" s="168">
        <f t="shared" si="287"/>
        <v>0</v>
      </c>
      <c r="BJ128" s="168">
        <f t="shared" si="287"/>
        <v>0</v>
      </c>
      <c r="BK128" s="137"/>
      <c r="BL128" s="137"/>
      <c r="BM128" s="137"/>
      <c r="BN128" s="137"/>
      <c r="BO128" s="137"/>
      <c r="BP128" s="137"/>
      <c r="BQ128" s="137"/>
      <c r="BR128" s="137"/>
      <c r="BS128" s="137"/>
      <c r="BT128" s="137"/>
      <c r="BU128" s="137"/>
    </row>
    <row r="129" spans="1:73" ht="12.75" customHeight="1" x14ac:dyDescent="0.25">
      <c r="A129" s="200"/>
      <c r="B129" s="291" t="s">
        <v>269</v>
      </c>
      <c r="C129" s="340">
        <v>4.9000000000000004</v>
      </c>
      <c r="D129" s="203">
        <f t="shared" si="276"/>
        <v>5.3900000000000006</v>
      </c>
      <c r="E129" s="203" t="s">
        <v>6</v>
      </c>
      <c r="F129" s="203">
        <f>'Material and Labor Cost'!$D$23</f>
        <v>330</v>
      </c>
      <c r="G129" s="203">
        <f>'Material and Labor Cost'!$F$23</f>
        <v>165</v>
      </c>
      <c r="H129" s="203">
        <f t="shared" si="277"/>
        <v>495</v>
      </c>
      <c r="I129" s="203">
        <f t="shared" si="278"/>
        <v>2668.05</v>
      </c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310">
        <f t="shared" si="279"/>
        <v>0</v>
      </c>
      <c r="Z129" s="311">
        <f t="shared" si="280"/>
        <v>5.3900000000000006</v>
      </c>
      <c r="AA129" s="311">
        <f t="shared" si="281"/>
        <v>5.3900000000000006</v>
      </c>
      <c r="AB129" s="167">
        <f t="shared" si="282"/>
        <v>0</v>
      </c>
      <c r="AC129" s="167">
        <f t="shared" si="283"/>
        <v>0</v>
      </c>
      <c r="AD129" s="167">
        <f t="shared" si="284"/>
        <v>2668.05</v>
      </c>
      <c r="AE129" s="167">
        <f t="shared" si="285"/>
        <v>2668.05</v>
      </c>
      <c r="AF129" s="167">
        <f t="shared" si="286"/>
        <v>0</v>
      </c>
      <c r="AG129" s="168">
        <f t="shared" si="180"/>
        <v>1</v>
      </c>
      <c r="AH129" s="137"/>
      <c r="AI129" s="311">
        <v>0</v>
      </c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68">
        <v>1</v>
      </c>
      <c r="BB129" s="137"/>
      <c r="BC129" s="168">
        <f t="shared" ref="BC129:BJ129" si="289">SUM(BS128:BZ128)</f>
        <v>0</v>
      </c>
      <c r="BD129" s="168">
        <f t="shared" si="288"/>
        <v>0</v>
      </c>
      <c r="BE129" s="168">
        <f t="shared" si="289"/>
        <v>0</v>
      </c>
      <c r="BF129" s="168">
        <f t="shared" si="289"/>
        <v>0</v>
      </c>
      <c r="BG129" s="168">
        <f t="shared" si="289"/>
        <v>0</v>
      </c>
      <c r="BH129" s="168">
        <f t="shared" si="289"/>
        <v>0</v>
      </c>
      <c r="BI129" s="168">
        <f t="shared" si="289"/>
        <v>0</v>
      </c>
      <c r="BJ129" s="168">
        <f t="shared" si="289"/>
        <v>0</v>
      </c>
      <c r="BK129" s="137"/>
      <c r="BL129" s="137"/>
      <c r="BM129" s="137"/>
      <c r="BN129" s="137"/>
      <c r="BO129" s="137"/>
      <c r="BP129" s="137"/>
      <c r="BQ129" s="137"/>
      <c r="BR129" s="137"/>
      <c r="BS129" s="137"/>
      <c r="BT129" s="137"/>
      <c r="BU129" s="137"/>
    </row>
    <row r="130" spans="1:73" ht="12.75" customHeight="1" x14ac:dyDescent="0.25">
      <c r="A130" s="200"/>
      <c r="B130" s="200" t="s">
        <v>299</v>
      </c>
      <c r="C130" s="340"/>
      <c r="D130" s="203">
        <v>6</v>
      </c>
      <c r="E130" s="203" t="s">
        <v>118</v>
      </c>
      <c r="F130" s="203">
        <f>'Material and Labor Cost'!$D$24</f>
        <v>220.00000000000003</v>
      </c>
      <c r="G130" s="203">
        <f>'Material and Labor Cost'!$F$24</f>
        <v>110.00000000000001</v>
      </c>
      <c r="H130" s="203">
        <f t="shared" si="277"/>
        <v>330.00000000000006</v>
      </c>
      <c r="I130" s="203">
        <f t="shared" si="278"/>
        <v>1980.0000000000005</v>
      </c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310">
        <f t="shared" si="279"/>
        <v>0</v>
      </c>
      <c r="Z130" s="311">
        <f t="shared" si="280"/>
        <v>0</v>
      </c>
      <c r="AA130" s="311">
        <f t="shared" si="281"/>
        <v>0</v>
      </c>
      <c r="AB130" s="167">
        <f t="shared" si="282"/>
        <v>6</v>
      </c>
      <c r="AC130" s="167">
        <f t="shared" si="283"/>
        <v>0</v>
      </c>
      <c r="AD130" s="167">
        <f t="shared" si="284"/>
        <v>0</v>
      </c>
      <c r="AE130" s="167">
        <f t="shared" si="285"/>
        <v>0</v>
      </c>
      <c r="AF130" s="167">
        <f t="shared" si="286"/>
        <v>1980.0000000000005</v>
      </c>
      <c r="AG130" s="168">
        <f t="shared" si="180"/>
        <v>0</v>
      </c>
      <c r="AH130" s="137"/>
      <c r="AI130" s="311">
        <v>0</v>
      </c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68">
        <f t="shared" ref="BA130:BA132" si="290">SUM(BK129:BQ129)</f>
        <v>0</v>
      </c>
      <c r="BB130" s="137"/>
      <c r="BC130" s="168">
        <f t="shared" ref="BC130:BJ130" si="291">SUM(BS129:BZ129)</f>
        <v>0</v>
      </c>
      <c r="BD130" s="168">
        <f t="shared" si="288"/>
        <v>0</v>
      </c>
      <c r="BE130" s="168">
        <f t="shared" si="291"/>
        <v>0</v>
      </c>
      <c r="BF130" s="168">
        <f t="shared" si="291"/>
        <v>0</v>
      </c>
      <c r="BG130" s="168">
        <f t="shared" si="291"/>
        <v>0</v>
      </c>
      <c r="BH130" s="168">
        <f t="shared" si="291"/>
        <v>0</v>
      </c>
      <c r="BI130" s="168">
        <f t="shared" si="291"/>
        <v>0</v>
      </c>
      <c r="BJ130" s="168">
        <f t="shared" si="291"/>
        <v>0</v>
      </c>
      <c r="BK130" s="137"/>
      <c r="BL130" s="137"/>
      <c r="BM130" s="137"/>
      <c r="BN130" s="137"/>
      <c r="BO130" s="137"/>
      <c r="BP130" s="137"/>
      <c r="BQ130" s="137"/>
      <c r="BR130" s="137"/>
      <c r="BS130" s="137"/>
      <c r="BT130" s="137"/>
      <c r="BU130" s="137"/>
    </row>
    <row r="131" spans="1:73" ht="12.75" customHeight="1" x14ac:dyDescent="0.25">
      <c r="A131" s="200"/>
      <c r="B131" s="200" t="s">
        <v>300</v>
      </c>
      <c r="C131" s="340">
        <v>1.5</v>
      </c>
      <c r="D131" s="203">
        <f t="shared" ref="D131:D135" si="292">C131*$L$23</f>
        <v>1.6500000000000001</v>
      </c>
      <c r="E131" s="203" t="s">
        <v>6</v>
      </c>
      <c r="F131" s="203">
        <f>'Material and Labor Cost'!$D$34</f>
        <v>1265</v>
      </c>
      <c r="G131" s="203">
        <f>'Material and Labor Cost'!$F$34</f>
        <v>640</v>
      </c>
      <c r="H131" s="203">
        <f t="shared" si="277"/>
        <v>1905</v>
      </c>
      <c r="I131" s="203">
        <f t="shared" si="278"/>
        <v>3143.2500000000005</v>
      </c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310">
        <f t="shared" si="279"/>
        <v>0</v>
      </c>
      <c r="Z131" s="311">
        <f t="shared" si="280"/>
        <v>0</v>
      </c>
      <c r="AA131" s="311">
        <f t="shared" si="281"/>
        <v>0</v>
      </c>
      <c r="AB131" s="167">
        <f t="shared" si="282"/>
        <v>1.6500000000000001</v>
      </c>
      <c r="AC131" s="167">
        <f t="shared" si="283"/>
        <v>0</v>
      </c>
      <c r="AD131" s="167">
        <f t="shared" si="284"/>
        <v>0</v>
      </c>
      <c r="AE131" s="167">
        <f t="shared" si="285"/>
        <v>0</v>
      </c>
      <c r="AF131" s="167">
        <f t="shared" si="286"/>
        <v>3143.2500000000005</v>
      </c>
      <c r="AG131" s="168">
        <f t="shared" si="180"/>
        <v>0</v>
      </c>
      <c r="AH131" s="137"/>
      <c r="AI131" s="311">
        <v>0</v>
      </c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68">
        <f t="shared" si="290"/>
        <v>0</v>
      </c>
      <c r="BB131" s="137"/>
      <c r="BC131" s="168">
        <f t="shared" ref="BC131:BJ131" si="293">SUM(BS130:BZ130)</f>
        <v>0</v>
      </c>
      <c r="BD131" s="168">
        <f t="shared" si="288"/>
        <v>0</v>
      </c>
      <c r="BE131" s="168">
        <f t="shared" si="293"/>
        <v>0</v>
      </c>
      <c r="BF131" s="168">
        <f t="shared" si="293"/>
        <v>0</v>
      </c>
      <c r="BG131" s="168">
        <f t="shared" si="293"/>
        <v>0</v>
      </c>
      <c r="BH131" s="168">
        <f t="shared" si="293"/>
        <v>0</v>
      </c>
      <c r="BI131" s="168">
        <f t="shared" si="293"/>
        <v>0</v>
      </c>
      <c r="BJ131" s="168">
        <f t="shared" si="293"/>
        <v>0</v>
      </c>
      <c r="BK131" s="137"/>
      <c r="BL131" s="137"/>
      <c r="BM131" s="137"/>
      <c r="BN131" s="137"/>
      <c r="BO131" s="137"/>
      <c r="BP131" s="137"/>
      <c r="BQ131" s="137"/>
      <c r="BR131" s="137"/>
      <c r="BS131" s="137"/>
      <c r="BT131" s="137"/>
      <c r="BU131" s="137"/>
    </row>
    <row r="132" spans="1:73" ht="12.75" customHeight="1" x14ac:dyDescent="0.25">
      <c r="A132" s="200"/>
      <c r="B132" s="200" t="s">
        <v>270</v>
      </c>
      <c r="C132" s="340">
        <v>2</v>
      </c>
      <c r="D132" s="203">
        <f t="shared" si="292"/>
        <v>2.2000000000000002</v>
      </c>
      <c r="E132" s="203" t="s">
        <v>114</v>
      </c>
      <c r="F132" s="203">
        <f>'Material and Labor Cost'!$D$24</f>
        <v>220.00000000000003</v>
      </c>
      <c r="G132" s="203">
        <f>'Material and Labor Cost'!$F$24</f>
        <v>110.00000000000001</v>
      </c>
      <c r="H132" s="203">
        <f t="shared" si="277"/>
        <v>330.00000000000006</v>
      </c>
      <c r="I132" s="203">
        <f t="shared" si="278"/>
        <v>726.00000000000023</v>
      </c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310">
        <f t="shared" si="279"/>
        <v>0</v>
      </c>
      <c r="Z132" s="311">
        <f t="shared" si="280"/>
        <v>0</v>
      </c>
      <c r="AA132" s="311">
        <f t="shared" si="281"/>
        <v>0</v>
      </c>
      <c r="AB132" s="167">
        <f t="shared" si="282"/>
        <v>2.2000000000000002</v>
      </c>
      <c r="AC132" s="167">
        <f t="shared" si="283"/>
        <v>0</v>
      </c>
      <c r="AD132" s="167">
        <f t="shared" si="284"/>
        <v>0</v>
      </c>
      <c r="AE132" s="167">
        <f t="shared" si="285"/>
        <v>0</v>
      </c>
      <c r="AF132" s="167">
        <f t="shared" si="286"/>
        <v>726.00000000000023</v>
      </c>
      <c r="AG132" s="168">
        <f t="shared" si="180"/>
        <v>0</v>
      </c>
      <c r="AH132" s="137"/>
      <c r="AI132" s="311">
        <v>0</v>
      </c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68">
        <f t="shared" si="290"/>
        <v>0</v>
      </c>
      <c r="BB132" s="137"/>
      <c r="BC132" s="168">
        <f t="shared" ref="BC132:BJ132" si="294">SUM(BS131:BZ131)</f>
        <v>0</v>
      </c>
      <c r="BD132" s="168">
        <f t="shared" si="288"/>
        <v>0</v>
      </c>
      <c r="BE132" s="168">
        <f t="shared" si="294"/>
        <v>0</v>
      </c>
      <c r="BF132" s="168">
        <f t="shared" si="294"/>
        <v>0</v>
      </c>
      <c r="BG132" s="168">
        <f t="shared" si="294"/>
        <v>0</v>
      </c>
      <c r="BH132" s="168">
        <f t="shared" si="294"/>
        <v>0</v>
      </c>
      <c r="BI132" s="168">
        <f t="shared" si="294"/>
        <v>0</v>
      </c>
      <c r="BJ132" s="168">
        <f t="shared" si="294"/>
        <v>0</v>
      </c>
      <c r="BK132" s="137"/>
      <c r="BL132" s="137"/>
      <c r="BM132" s="137"/>
      <c r="BN132" s="137"/>
      <c r="BO132" s="137"/>
      <c r="BP132" s="137"/>
      <c r="BQ132" s="137"/>
      <c r="BR132" s="137"/>
      <c r="BS132" s="137"/>
      <c r="BT132" s="137"/>
      <c r="BU132" s="137"/>
    </row>
    <row r="133" spans="1:73" ht="12.75" customHeight="1" x14ac:dyDescent="0.25">
      <c r="A133" s="200"/>
      <c r="B133" s="204" t="s">
        <v>310</v>
      </c>
      <c r="C133" s="340">
        <f>C129+C128</f>
        <v>31.020000000000003</v>
      </c>
      <c r="D133" s="203">
        <f t="shared" si="292"/>
        <v>34.122000000000007</v>
      </c>
      <c r="E133" s="203" t="s">
        <v>6</v>
      </c>
      <c r="F133" s="203">
        <f>'Material and Labor Cost'!$D$28</f>
        <v>2640</v>
      </c>
      <c r="G133" s="203">
        <f>'Material and Labor Cost'!$F$28</f>
        <v>880</v>
      </c>
      <c r="H133" s="203">
        <f t="shared" si="277"/>
        <v>3520</v>
      </c>
      <c r="I133" s="203">
        <f t="shared" si="278"/>
        <v>120109.44000000003</v>
      </c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310">
        <f t="shared" si="279"/>
        <v>0</v>
      </c>
      <c r="Z133" s="311">
        <f t="shared" si="280"/>
        <v>34.122000000000007</v>
      </c>
      <c r="AA133" s="311">
        <f t="shared" si="281"/>
        <v>34.122000000000007</v>
      </c>
      <c r="AB133" s="167">
        <f t="shared" si="282"/>
        <v>0</v>
      </c>
      <c r="AC133" s="167">
        <f t="shared" si="283"/>
        <v>0</v>
      </c>
      <c r="AD133" s="167">
        <f t="shared" si="284"/>
        <v>120109.44000000003</v>
      </c>
      <c r="AE133" s="167">
        <f t="shared" si="285"/>
        <v>120109.44000000003</v>
      </c>
      <c r="AF133" s="167">
        <f t="shared" si="286"/>
        <v>0</v>
      </c>
      <c r="AG133" s="168">
        <f t="shared" si="180"/>
        <v>1</v>
      </c>
      <c r="AH133" s="137"/>
      <c r="AI133" s="311">
        <v>0</v>
      </c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68">
        <v>1</v>
      </c>
      <c r="BB133" s="137"/>
      <c r="BC133" s="168">
        <f t="shared" ref="BC133:BJ133" si="295">SUM(BS132:BZ132)</f>
        <v>0</v>
      </c>
      <c r="BD133" s="168">
        <f t="shared" si="288"/>
        <v>0</v>
      </c>
      <c r="BE133" s="168">
        <f t="shared" si="295"/>
        <v>0</v>
      </c>
      <c r="BF133" s="168">
        <f t="shared" si="295"/>
        <v>0</v>
      </c>
      <c r="BG133" s="168">
        <f t="shared" si="295"/>
        <v>0</v>
      </c>
      <c r="BH133" s="168">
        <f t="shared" si="295"/>
        <v>0</v>
      </c>
      <c r="BI133" s="168">
        <f t="shared" si="295"/>
        <v>0</v>
      </c>
      <c r="BJ133" s="168">
        <f t="shared" si="295"/>
        <v>0</v>
      </c>
      <c r="BK133" s="137"/>
      <c r="BL133" s="137"/>
      <c r="BM133" s="137"/>
      <c r="BN133" s="137"/>
      <c r="BO133" s="137"/>
      <c r="BP133" s="137"/>
      <c r="BQ133" s="137"/>
      <c r="BR133" s="137"/>
      <c r="BS133" s="137"/>
      <c r="BT133" s="137"/>
      <c r="BU133" s="137"/>
    </row>
    <row r="134" spans="1:73" ht="12.75" customHeight="1" x14ac:dyDescent="0.25">
      <c r="A134" s="200"/>
      <c r="B134" s="204" t="s">
        <v>288</v>
      </c>
      <c r="C134" s="340">
        <v>41.1</v>
      </c>
      <c r="D134" s="203">
        <f t="shared" si="292"/>
        <v>45.210000000000008</v>
      </c>
      <c r="E134" s="203" t="s">
        <v>114</v>
      </c>
      <c r="F134" s="203">
        <f>'Material and Labor Cost'!$D$32</f>
        <v>55.000000000000007</v>
      </c>
      <c r="G134" s="203">
        <f>'Material and Labor Cost'!$F$32</f>
        <v>30.000000000000004</v>
      </c>
      <c r="H134" s="203">
        <f t="shared" si="277"/>
        <v>85.000000000000014</v>
      </c>
      <c r="I134" s="203">
        <f t="shared" si="278"/>
        <v>3842.8500000000013</v>
      </c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310">
        <f t="shared" si="279"/>
        <v>0</v>
      </c>
      <c r="Z134" s="311">
        <f t="shared" si="280"/>
        <v>45.210000000000008</v>
      </c>
      <c r="AA134" s="311">
        <f t="shared" si="281"/>
        <v>45.210000000000008</v>
      </c>
      <c r="AB134" s="167">
        <f t="shared" si="282"/>
        <v>0</v>
      </c>
      <c r="AC134" s="167">
        <f t="shared" si="283"/>
        <v>0</v>
      </c>
      <c r="AD134" s="167">
        <f t="shared" si="284"/>
        <v>3842.8500000000013</v>
      </c>
      <c r="AE134" s="167">
        <f t="shared" si="285"/>
        <v>3842.8500000000013</v>
      </c>
      <c r="AF134" s="167">
        <f t="shared" si="286"/>
        <v>0</v>
      </c>
      <c r="AG134" s="168">
        <f t="shared" si="180"/>
        <v>1</v>
      </c>
      <c r="AH134" s="137"/>
      <c r="AI134" s="311">
        <v>0</v>
      </c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68">
        <v>1</v>
      </c>
      <c r="BB134" s="137"/>
      <c r="BC134" s="168">
        <f t="shared" ref="BC134:BJ134" si="296">SUM(BS133:BZ133)</f>
        <v>0</v>
      </c>
      <c r="BD134" s="168">
        <f t="shared" si="288"/>
        <v>0</v>
      </c>
      <c r="BE134" s="168">
        <f t="shared" si="296"/>
        <v>0</v>
      </c>
      <c r="BF134" s="168">
        <f t="shared" si="296"/>
        <v>0</v>
      </c>
      <c r="BG134" s="168">
        <f t="shared" si="296"/>
        <v>0</v>
      </c>
      <c r="BH134" s="168">
        <f t="shared" si="296"/>
        <v>0</v>
      </c>
      <c r="BI134" s="168">
        <f t="shared" si="296"/>
        <v>0</v>
      </c>
      <c r="BJ134" s="168">
        <f t="shared" si="296"/>
        <v>0</v>
      </c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</row>
    <row r="135" spans="1:73" ht="12.75" customHeight="1" x14ac:dyDescent="0.25">
      <c r="A135" s="200"/>
      <c r="B135" s="200" t="s">
        <v>275</v>
      </c>
      <c r="C135" s="340">
        <v>2.1</v>
      </c>
      <c r="D135" s="203">
        <f t="shared" si="292"/>
        <v>2.3100000000000005</v>
      </c>
      <c r="E135" s="203" t="s">
        <v>6</v>
      </c>
      <c r="F135" s="203">
        <f>'Material and Labor Cost'!$D$25</f>
        <v>555</v>
      </c>
      <c r="G135" s="203">
        <f>'Material and Labor Cost'!$F$25</f>
        <v>275</v>
      </c>
      <c r="H135" s="203">
        <f t="shared" si="277"/>
        <v>830</v>
      </c>
      <c r="I135" s="203">
        <f t="shared" si="278"/>
        <v>1917.3000000000004</v>
      </c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310">
        <f t="shared" si="279"/>
        <v>0</v>
      </c>
      <c r="Z135" s="311">
        <f t="shared" si="280"/>
        <v>2.3100000000000005</v>
      </c>
      <c r="AA135" s="311">
        <f t="shared" si="281"/>
        <v>2.3100000000000005</v>
      </c>
      <c r="AB135" s="167">
        <f t="shared" si="282"/>
        <v>0</v>
      </c>
      <c r="AC135" s="167">
        <f t="shared" si="283"/>
        <v>0</v>
      </c>
      <c r="AD135" s="167">
        <f t="shared" si="284"/>
        <v>1917.3000000000004</v>
      </c>
      <c r="AE135" s="167">
        <f t="shared" si="285"/>
        <v>1917.3000000000004</v>
      </c>
      <c r="AF135" s="167">
        <f t="shared" si="286"/>
        <v>0</v>
      </c>
      <c r="AG135" s="168">
        <f t="shared" si="180"/>
        <v>1</v>
      </c>
      <c r="AH135" s="137"/>
      <c r="AI135" s="311">
        <v>0</v>
      </c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68">
        <v>1</v>
      </c>
      <c r="BB135" s="137"/>
      <c r="BC135" s="168">
        <f t="shared" ref="BC135:BJ135" si="297">SUM(BS134:BZ134)</f>
        <v>0</v>
      </c>
      <c r="BD135" s="168">
        <f t="shared" si="288"/>
        <v>0</v>
      </c>
      <c r="BE135" s="168">
        <f t="shared" si="297"/>
        <v>0</v>
      </c>
      <c r="BF135" s="168">
        <f t="shared" si="297"/>
        <v>0</v>
      </c>
      <c r="BG135" s="168">
        <f t="shared" si="297"/>
        <v>0</v>
      </c>
      <c r="BH135" s="168">
        <f t="shared" si="297"/>
        <v>0</v>
      </c>
      <c r="BI135" s="168">
        <f t="shared" si="297"/>
        <v>0</v>
      </c>
      <c r="BJ135" s="168">
        <f t="shared" si="297"/>
        <v>0</v>
      </c>
      <c r="BK135" s="137"/>
      <c r="BL135" s="137"/>
      <c r="BM135" s="137"/>
      <c r="BN135" s="137"/>
      <c r="BO135" s="137"/>
      <c r="BP135" s="137"/>
      <c r="BQ135" s="137"/>
      <c r="BR135" s="137"/>
      <c r="BS135" s="137"/>
      <c r="BT135" s="137"/>
      <c r="BU135" s="137"/>
    </row>
    <row r="136" spans="1:73" ht="12.75" customHeight="1" x14ac:dyDescent="0.25">
      <c r="A136" s="200"/>
      <c r="B136" s="204" t="s">
        <v>272</v>
      </c>
      <c r="C136" s="340"/>
      <c r="D136" s="203">
        <v>1</v>
      </c>
      <c r="E136" s="203" t="s">
        <v>94</v>
      </c>
      <c r="F136" s="203"/>
      <c r="G136" s="203"/>
      <c r="H136" s="203"/>
      <c r="I136" s="203">
        <f>SUM(I128:I135)*$L$27</f>
        <v>19146.734640000002</v>
      </c>
      <c r="J136" s="137"/>
      <c r="K136" s="137"/>
      <c r="L136" s="137"/>
      <c r="M136" s="32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310">
        <f t="shared" si="279"/>
        <v>0</v>
      </c>
      <c r="Z136" s="311">
        <f t="shared" si="280"/>
        <v>0.7</v>
      </c>
      <c r="AA136" s="311">
        <f t="shared" si="281"/>
        <v>0.7</v>
      </c>
      <c r="AB136" s="167">
        <f t="shared" si="282"/>
        <v>0.30000000000000004</v>
      </c>
      <c r="AC136" s="167">
        <f t="shared" si="283"/>
        <v>0</v>
      </c>
      <c r="AD136" s="167">
        <f t="shared" si="284"/>
        <v>13402.714248</v>
      </c>
      <c r="AE136" s="167">
        <f t="shared" si="285"/>
        <v>13402.714248</v>
      </c>
      <c r="AF136" s="167">
        <f t="shared" si="286"/>
        <v>5744.0203920000022</v>
      </c>
      <c r="AG136" s="168">
        <f t="shared" si="180"/>
        <v>0.7</v>
      </c>
      <c r="AH136" s="137"/>
      <c r="AI136" s="311">
        <v>0</v>
      </c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68">
        <v>0.7</v>
      </c>
      <c r="BB136" s="137"/>
      <c r="BC136" s="168">
        <f t="shared" ref="BC136:BJ136" si="298">SUM(BS135:BZ135)</f>
        <v>0</v>
      </c>
      <c r="BD136" s="168">
        <f t="shared" si="288"/>
        <v>0</v>
      </c>
      <c r="BE136" s="168">
        <f t="shared" si="298"/>
        <v>0</v>
      </c>
      <c r="BF136" s="168">
        <f t="shared" si="298"/>
        <v>0</v>
      </c>
      <c r="BG136" s="168">
        <f t="shared" si="298"/>
        <v>0</v>
      </c>
      <c r="BH136" s="168">
        <f t="shared" si="298"/>
        <v>0</v>
      </c>
      <c r="BI136" s="168">
        <f t="shared" si="298"/>
        <v>0</v>
      </c>
      <c r="BJ136" s="168">
        <f t="shared" si="298"/>
        <v>0</v>
      </c>
      <c r="BK136" s="137"/>
      <c r="BL136" s="137"/>
      <c r="BM136" s="137"/>
      <c r="BN136" s="137"/>
      <c r="BO136" s="137"/>
      <c r="BP136" s="137"/>
      <c r="BQ136" s="137"/>
      <c r="BR136" s="137"/>
      <c r="BS136" s="137"/>
      <c r="BT136" s="137"/>
      <c r="BU136" s="137"/>
    </row>
    <row r="137" spans="1:73" ht="12.75" customHeight="1" x14ac:dyDescent="0.25">
      <c r="A137" s="228"/>
      <c r="B137" s="510" t="s">
        <v>313</v>
      </c>
      <c r="C137" s="501"/>
      <c r="D137" s="501"/>
      <c r="E137" s="501"/>
      <c r="F137" s="501"/>
      <c r="G137" s="501"/>
      <c r="H137" s="502"/>
      <c r="I137" s="229">
        <f>SUM(I128:I136)</f>
        <v>178702.85664000004</v>
      </c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2"/>
      <c r="Y137" s="307">
        <f t="shared" ref="Y137:AF137" si="299">SUM(Y128:Y136)</f>
        <v>0</v>
      </c>
      <c r="Z137" s="184">
        <f t="shared" si="299"/>
        <v>116.46400000000001</v>
      </c>
      <c r="AA137" s="184">
        <f t="shared" si="299"/>
        <v>116.46400000000001</v>
      </c>
      <c r="AB137" s="235">
        <f t="shared" si="299"/>
        <v>10.150000000000002</v>
      </c>
      <c r="AC137" s="235">
        <f t="shared" si="299"/>
        <v>0</v>
      </c>
      <c r="AD137" s="235">
        <f t="shared" si="299"/>
        <v>167109.58624800004</v>
      </c>
      <c r="AE137" s="235">
        <f t="shared" si="299"/>
        <v>167109.58624800004</v>
      </c>
      <c r="AF137" s="235">
        <f t="shared" si="299"/>
        <v>11593.270392000002</v>
      </c>
      <c r="AG137" s="168">
        <f t="shared" si="180"/>
        <v>0.6333333333333333</v>
      </c>
      <c r="AH137" s="237"/>
      <c r="AI137" s="184">
        <v>0</v>
      </c>
      <c r="AJ137" s="230"/>
      <c r="AK137" s="230"/>
      <c r="AL137" s="230"/>
      <c r="AM137" s="230"/>
      <c r="AN137" s="230"/>
      <c r="AO137" s="230"/>
      <c r="AP137" s="230"/>
      <c r="AQ137" s="230"/>
      <c r="AR137" s="230"/>
      <c r="AS137" s="230"/>
      <c r="AT137" s="230"/>
      <c r="AU137" s="230"/>
      <c r="AV137" s="230"/>
      <c r="AW137" s="230"/>
      <c r="AX137" s="230"/>
      <c r="AY137" s="230"/>
      <c r="AZ137" s="230"/>
      <c r="BA137" s="308">
        <f>SUM(BA128:BA136)/COUNT(BA128:BA136)</f>
        <v>0.6333333333333333</v>
      </c>
      <c r="BB137" s="230"/>
      <c r="BC137" s="308">
        <f t="shared" ref="BC137:BJ137" si="300">SUM(BC128:BC136)/COUNT(BC128:BC136)</f>
        <v>0</v>
      </c>
      <c r="BD137" s="308">
        <f>SUM(BD128:BD136)/COUNT(BD128:BD136)</f>
        <v>0</v>
      </c>
      <c r="BE137" s="308">
        <f t="shared" si="300"/>
        <v>0</v>
      </c>
      <c r="BF137" s="308">
        <f t="shared" si="300"/>
        <v>0</v>
      </c>
      <c r="BG137" s="308">
        <f t="shared" si="300"/>
        <v>0</v>
      </c>
      <c r="BH137" s="308">
        <f t="shared" si="300"/>
        <v>0</v>
      </c>
      <c r="BI137" s="308">
        <f t="shared" si="300"/>
        <v>0</v>
      </c>
      <c r="BJ137" s="308">
        <f t="shared" si="300"/>
        <v>0</v>
      </c>
      <c r="BK137" s="230"/>
      <c r="BL137" s="230"/>
      <c r="BM137" s="230"/>
      <c r="BN137" s="230"/>
      <c r="BO137" s="230"/>
      <c r="BP137" s="230"/>
      <c r="BQ137" s="230"/>
      <c r="BR137" s="230"/>
      <c r="BS137" s="230"/>
      <c r="BT137" s="230"/>
      <c r="BU137" s="230"/>
    </row>
    <row r="138" spans="1:73" ht="12.75" customHeight="1" x14ac:dyDescent="0.25">
      <c r="A138" s="200"/>
      <c r="B138" s="339" t="s">
        <v>314</v>
      </c>
      <c r="C138" s="340"/>
      <c r="D138" s="203"/>
      <c r="E138" s="203"/>
      <c r="F138" s="203"/>
      <c r="G138" s="203"/>
      <c r="H138" s="203"/>
      <c r="I138" s="203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310"/>
      <c r="Z138" s="311"/>
      <c r="AA138" s="311"/>
      <c r="AB138" s="167"/>
      <c r="AC138" s="167"/>
      <c r="AD138" s="167"/>
      <c r="AE138" s="167"/>
      <c r="AF138" s="167"/>
      <c r="AG138" s="168">
        <f t="shared" si="180"/>
        <v>0</v>
      </c>
      <c r="AH138" s="137"/>
      <c r="AI138" s="311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  <c r="BO138" s="137"/>
      <c r="BP138" s="137"/>
      <c r="BQ138" s="137"/>
      <c r="BR138" s="137"/>
      <c r="BS138" s="137"/>
      <c r="BT138" s="137"/>
      <c r="BU138" s="137"/>
    </row>
    <row r="139" spans="1:73" ht="12.75" customHeight="1" x14ac:dyDescent="0.25">
      <c r="A139" s="200"/>
      <c r="B139" s="291" t="s">
        <v>267</v>
      </c>
      <c r="C139" s="340">
        <v>24.92</v>
      </c>
      <c r="D139" s="203">
        <f t="shared" ref="D139:D144" si="301">C139*$L$23</f>
        <v>27.412000000000003</v>
      </c>
      <c r="E139" s="203" t="s">
        <v>6</v>
      </c>
      <c r="F139" s="203">
        <f>'Material and Labor Cost'!$D$21</f>
        <v>576</v>
      </c>
      <c r="G139" s="203">
        <f>'Material and Labor Cost'!$F$21</f>
        <v>300</v>
      </c>
      <c r="H139" s="203">
        <f t="shared" ref="H139:H144" si="302">SUM(F139:G139)</f>
        <v>876</v>
      </c>
      <c r="I139" s="203">
        <f t="shared" ref="I139:I144" si="303">H139*D139</f>
        <v>24012.912000000004</v>
      </c>
      <c r="J139" s="137"/>
      <c r="K139" s="137"/>
      <c r="L139" s="137">
        <v>21.8</v>
      </c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310">
        <f t="shared" ref="Y139:Y145" si="304">SUM(AI139:AP139)</f>
        <v>0</v>
      </c>
      <c r="Z139" s="311">
        <f t="shared" ref="Z139:Z145" si="305">D139*AG139</f>
        <v>0</v>
      </c>
      <c r="AA139" s="311">
        <f t="shared" ref="AA139:AA145" si="306">SUM(Y139:Z139)</f>
        <v>0</v>
      </c>
      <c r="AB139" s="167">
        <f t="shared" ref="AB139:AB145" si="307">D139-AA139</f>
        <v>27.412000000000003</v>
      </c>
      <c r="AC139" s="167">
        <f t="shared" ref="AC139:AC145" si="308">SUM(AR138:AY138)</f>
        <v>0</v>
      </c>
      <c r="AD139" s="167">
        <f t="shared" ref="AD139:AD145" si="309">AG139*I139</f>
        <v>0</v>
      </c>
      <c r="AE139" s="167">
        <f t="shared" ref="AE139:AE145" si="310">SUM(AC139:AD139)</f>
        <v>0</v>
      </c>
      <c r="AF139" s="167">
        <f t="shared" ref="AF139:AF145" si="311">I139-AE139</f>
        <v>24012.912000000004</v>
      </c>
      <c r="AG139" s="168">
        <f t="shared" si="180"/>
        <v>0</v>
      </c>
      <c r="AH139" s="137"/>
      <c r="AI139" s="311">
        <v>0</v>
      </c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68">
        <v>0</v>
      </c>
      <c r="BB139" s="137"/>
      <c r="BC139" s="168">
        <f t="shared" ref="BC139:BJ139" si="312">SUM(BS138:BZ138)</f>
        <v>0</v>
      </c>
      <c r="BD139" s="168">
        <v>1</v>
      </c>
      <c r="BE139" s="168">
        <f t="shared" si="312"/>
        <v>0</v>
      </c>
      <c r="BF139" s="168">
        <f t="shared" si="312"/>
        <v>0</v>
      </c>
      <c r="BG139" s="168">
        <f t="shared" si="312"/>
        <v>0</v>
      </c>
      <c r="BH139" s="168">
        <f t="shared" si="312"/>
        <v>0</v>
      </c>
      <c r="BI139" s="168">
        <f t="shared" si="312"/>
        <v>0</v>
      </c>
      <c r="BJ139" s="168">
        <f t="shared" si="312"/>
        <v>0</v>
      </c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</row>
    <row r="140" spans="1:73" ht="12.75" customHeight="1" x14ac:dyDescent="0.25">
      <c r="A140" s="200"/>
      <c r="B140" s="291" t="s">
        <v>269</v>
      </c>
      <c r="C140" s="340">
        <v>5.4</v>
      </c>
      <c r="D140" s="203">
        <f t="shared" si="301"/>
        <v>5.9400000000000013</v>
      </c>
      <c r="E140" s="203" t="s">
        <v>6</v>
      </c>
      <c r="F140" s="203">
        <f>'Material and Labor Cost'!$D$23</f>
        <v>330</v>
      </c>
      <c r="G140" s="203">
        <f>'Material and Labor Cost'!$F$23</f>
        <v>165</v>
      </c>
      <c r="H140" s="203">
        <f t="shared" si="302"/>
        <v>495</v>
      </c>
      <c r="I140" s="203">
        <f t="shared" si="303"/>
        <v>2940.3000000000006</v>
      </c>
      <c r="J140" s="137"/>
      <c r="K140" s="137"/>
      <c r="L140" s="137">
        <v>3.8</v>
      </c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310">
        <f t="shared" si="304"/>
        <v>0</v>
      </c>
      <c r="Z140" s="311">
        <f t="shared" si="305"/>
        <v>0</v>
      </c>
      <c r="AA140" s="311">
        <f t="shared" si="306"/>
        <v>0</v>
      </c>
      <c r="AB140" s="167">
        <f t="shared" si="307"/>
        <v>5.9400000000000013</v>
      </c>
      <c r="AC140" s="167">
        <f t="shared" si="308"/>
        <v>0</v>
      </c>
      <c r="AD140" s="167">
        <f t="shared" si="309"/>
        <v>0</v>
      </c>
      <c r="AE140" s="167">
        <f t="shared" si="310"/>
        <v>0</v>
      </c>
      <c r="AF140" s="167">
        <f t="shared" si="311"/>
        <v>2940.3000000000006</v>
      </c>
      <c r="AG140" s="168">
        <f t="shared" si="180"/>
        <v>0</v>
      </c>
      <c r="AH140" s="137"/>
      <c r="AI140" s="311">
        <v>0</v>
      </c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68">
        <v>0</v>
      </c>
      <c r="BB140" s="137"/>
      <c r="BC140" s="168">
        <f t="shared" ref="BC140:BJ140" si="313">SUM(BS139:BZ139)</f>
        <v>0</v>
      </c>
      <c r="BD140" s="168">
        <v>1</v>
      </c>
      <c r="BE140" s="168">
        <f t="shared" si="313"/>
        <v>0</v>
      </c>
      <c r="BF140" s="168">
        <f t="shared" si="313"/>
        <v>0</v>
      </c>
      <c r="BG140" s="168">
        <f t="shared" si="313"/>
        <v>0</v>
      </c>
      <c r="BH140" s="168">
        <f t="shared" si="313"/>
        <v>0</v>
      </c>
      <c r="BI140" s="168">
        <f t="shared" si="313"/>
        <v>0</v>
      </c>
      <c r="BJ140" s="168">
        <f t="shared" si="313"/>
        <v>0</v>
      </c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</row>
    <row r="141" spans="1:73" ht="12.75" customHeight="1" x14ac:dyDescent="0.25">
      <c r="A141" s="200"/>
      <c r="B141" s="204" t="s">
        <v>310</v>
      </c>
      <c r="C141" s="340">
        <f>C140+C139</f>
        <v>30.32</v>
      </c>
      <c r="D141" s="203">
        <f t="shared" si="301"/>
        <v>33.352000000000004</v>
      </c>
      <c r="E141" s="203" t="s">
        <v>6</v>
      </c>
      <c r="F141" s="203">
        <f>'Material and Labor Cost'!$D$28</f>
        <v>2640</v>
      </c>
      <c r="G141" s="203">
        <f>'Material and Labor Cost'!$F$28</f>
        <v>880</v>
      </c>
      <c r="H141" s="203">
        <f t="shared" si="302"/>
        <v>3520</v>
      </c>
      <c r="I141" s="203">
        <f t="shared" si="303"/>
        <v>117399.04000000001</v>
      </c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310">
        <f t="shared" si="304"/>
        <v>0</v>
      </c>
      <c r="Z141" s="311">
        <f t="shared" si="305"/>
        <v>23.346400000000003</v>
      </c>
      <c r="AA141" s="311">
        <f t="shared" si="306"/>
        <v>23.346400000000003</v>
      </c>
      <c r="AB141" s="167">
        <f t="shared" si="307"/>
        <v>10.005600000000001</v>
      </c>
      <c r="AC141" s="167">
        <f t="shared" si="308"/>
        <v>0</v>
      </c>
      <c r="AD141" s="167">
        <f t="shared" si="309"/>
        <v>82179.327999999994</v>
      </c>
      <c r="AE141" s="167">
        <f t="shared" si="310"/>
        <v>82179.327999999994</v>
      </c>
      <c r="AF141" s="167">
        <f t="shared" si="311"/>
        <v>35219.712000000014</v>
      </c>
      <c r="AG141" s="168">
        <f t="shared" si="180"/>
        <v>0.7</v>
      </c>
      <c r="AH141" s="137"/>
      <c r="AI141" s="311">
        <v>0</v>
      </c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68">
        <v>0.7</v>
      </c>
      <c r="BB141" s="137"/>
      <c r="BC141" s="168">
        <f t="shared" ref="BC141:BJ141" si="314">SUM(BS140:BZ140)</f>
        <v>0</v>
      </c>
      <c r="BD141" s="168">
        <v>0.3</v>
      </c>
      <c r="BE141" s="168">
        <f t="shared" si="314"/>
        <v>0</v>
      </c>
      <c r="BF141" s="168">
        <f t="shared" si="314"/>
        <v>0</v>
      </c>
      <c r="BG141" s="168">
        <f t="shared" si="314"/>
        <v>0</v>
      </c>
      <c r="BH141" s="168">
        <f t="shared" si="314"/>
        <v>0</v>
      </c>
      <c r="BI141" s="168">
        <f t="shared" si="314"/>
        <v>0</v>
      </c>
      <c r="BJ141" s="168">
        <f t="shared" si="314"/>
        <v>0</v>
      </c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137"/>
    </row>
    <row r="142" spans="1:73" ht="12.75" customHeight="1" x14ac:dyDescent="0.25">
      <c r="A142" s="200"/>
      <c r="B142" s="204" t="s">
        <v>315</v>
      </c>
      <c r="C142" s="340">
        <v>2.4</v>
      </c>
      <c r="D142" s="203">
        <f t="shared" si="301"/>
        <v>2.64</v>
      </c>
      <c r="E142" s="203" t="s">
        <v>6</v>
      </c>
      <c r="F142" s="203">
        <f>'Material and Labor Cost'!$D$36</f>
        <v>550</v>
      </c>
      <c r="G142" s="203">
        <f>'Material and Labor Cost'!$F$36</f>
        <v>275</v>
      </c>
      <c r="H142" s="203">
        <f t="shared" si="302"/>
        <v>825</v>
      </c>
      <c r="I142" s="203">
        <f t="shared" si="303"/>
        <v>2178</v>
      </c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310">
        <f t="shared" si="304"/>
        <v>0</v>
      </c>
      <c r="Z142" s="311">
        <f t="shared" si="305"/>
        <v>1.8479999999999999</v>
      </c>
      <c r="AA142" s="311">
        <f t="shared" si="306"/>
        <v>1.8479999999999999</v>
      </c>
      <c r="AB142" s="167">
        <f t="shared" si="307"/>
        <v>0.79200000000000026</v>
      </c>
      <c r="AC142" s="167">
        <f t="shared" si="308"/>
        <v>0</v>
      </c>
      <c r="AD142" s="167">
        <f t="shared" si="309"/>
        <v>1524.6</v>
      </c>
      <c r="AE142" s="167">
        <f t="shared" si="310"/>
        <v>1524.6</v>
      </c>
      <c r="AF142" s="167">
        <f t="shared" si="311"/>
        <v>653.40000000000009</v>
      </c>
      <c r="AG142" s="168">
        <f t="shared" si="180"/>
        <v>0.7</v>
      </c>
      <c r="AH142" s="137"/>
      <c r="AI142" s="311">
        <v>0</v>
      </c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68">
        <v>0.7</v>
      </c>
      <c r="BB142" s="137"/>
      <c r="BC142" s="168">
        <f t="shared" ref="BC142:BJ142" si="315">SUM(BS141:BZ141)</f>
        <v>0</v>
      </c>
      <c r="BD142" s="168">
        <v>0.3</v>
      </c>
      <c r="BE142" s="168">
        <f t="shared" si="315"/>
        <v>0</v>
      </c>
      <c r="BF142" s="168">
        <f t="shared" si="315"/>
        <v>0</v>
      </c>
      <c r="BG142" s="168">
        <f t="shared" si="315"/>
        <v>0</v>
      </c>
      <c r="BH142" s="168">
        <f t="shared" si="315"/>
        <v>0</v>
      </c>
      <c r="BI142" s="168">
        <f t="shared" si="315"/>
        <v>0</v>
      </c>
      <c r="BJ142" s="168">
        <f t="shared" si="315"/>
        <v>0</v>
      </c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137"/>
    </row>
    <row r="143" spans="1:73" ht="12.75" customHeight="1" x14ac:dyDescent="0.25">
      <c r="A143" s="200"/>
      <c r="B143" s="204" t="s">
        <v>288</v>
      </c>
      <c r="C143" s="340">
        <v>21.8</v>
      </c>
      <c r="D143" s="203">
        <f t="shared" si="301"/>
        <v>23.980000000000004</v>
      </c>
      <c r="E143" s="203" t="s">
        <v>114</v>
      </c>
      <c r="F143" s="203">
        <f>'Material and Labor Cost'!$D$32</f>
        <v>55.000000000000007</v>
      </c>
      <c r="G143" s="203">
        <f>'Material and Labor Cost'!$F$32</f>
        <v>30.000000000000004</v>
      </c>
      <c r="H143" s="203">
        <f t="shared" si="302"/>
        <v>85.000000000000014</v>
      </c>
      <c r="I143" s="203">
        <f t="shared" si="303"/>
        <v>2038.3000000000006</v>
      </c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310">
        <f t="shared" si="304"/>
        <v>0</v>
      </c>
      <c r="Z143" s="311">
        <f t="shared" si="305"/>
        <v>23.980000000000004</v>
      </c>
      <c r="AA143" s="311">
        <f t="shared" si="306"/>
        <v>23.980000000000004</v>
      </c>
      <c r="AB143" s="167">
        <f t="shared" si="307"/>
        <v>0</v>
      </c>
      <c r="AC143" s="167">
        <f t="shared" si="308"/>
        <v>0</v>
      </c>
      <c r="AD143" s="167">
        <f t="shared" si="309"/>
        <v>2038.3000000000006</v>
      </c>
      <c r="AE143" s="167">
        <f t="shared" si="310"/>
        <v>2038.3000000000006</v>
      </c>
      <c r="AF143" s="167">
        <f t="shared" si="311"/>
        <v>0</v>
      </c>
      <c r="AG143" s="168">
        <f t="shared" si="180"/>
        <v>1</v>
      </c>
      <c r="AH143" s="137"/>
      <c r="AI143" s="311">
        <v>0</v>
      </c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68">
        <v>1</v>
      </c>
      <c r="BB143" s="137"/>
      <c r="BC143" s="168">
        <f t="shared" ref="BC143:BJ143" si="316">SUM(BS142:BZ142)</f>
        <v>0</v>
      </c>
      <c r="BD143" s="168">
        <f t="shared" ref="BD143:BD144" si="317">SUM(BN142:BT142)</f>
        <v>0</v>
      </c>
      <c r="BE143" s="168">
        <f t="shared" si="316"/>
        <v>0</v>
      </c>
      <c r="BF143" s="168">
        <f t="shared" si="316"/>
        <v>0</v>
      </c>
      <c r="BG143" s="168">
        <f t="shared" si="316"/>
        <v>0</v>
      </c>
      <c r="BH143" s="168">
        <f t="shared" si="316"/>
        <v>0</v>
      </c>
      <c r="BI143" s="168">
        <f t="shared" si="316"/>
        <v>0</v>
      </c>
      <c r="BJ143" s="168">
        <f t="shared" si="316"/>
        <v>0</v>
      </c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137"/>
    </row>
    <row r="144" spans="1:73" ht="12.75" customHeight="1" x14ac:dyDescent="0.25">
      <c r="A144" s="200"/>
      <c r="B144" s="200" t="s">
        <v>275</v>
      </c>
      <c r="C144" s="340">
        <v>2.8</v>
      </c>
      <c r="D144" s="203">
        <f t="shared" si="301"/>
        <v>3.08</v>
      </c>
      <c r="E144" s="203" t="s">
        <v>6</v>
      </c>
      <c r="F144" s="203">
        <f>'Material and Labor Cost'!$D$25</f>
        <v>555</v>
      </c>
      <c r="G144" s="203">
        <f>'Material and Labor Cost'!$F$25</f>
        <v>275</v>
      </c>
      <c r="H144" s="203">
        <f t="shared" si="302"/>
        <v>830</v>
      </c>
      <c r="I144" s="203">
        <f t="shared" si="303"/>
        <v>2556.4</v>
      </c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310">
        <f t="shared" si="304"/>
        <v>0</v>
      </c>
      <c r="Z144" s="311">
        <f t="shared" si="305"/>
        <v>3.08</v>
      </c>
      <c r="AA144" s="311">
        <f t="shared" si="306"/>
        <v>3.08</v>
      </c>
      <c r="AB144" s="167">
        <f t="shared" si="307"/>
        <v>0</v>
      </c>
      <c r="AC144" s="167">
        <f t="shared" si="308"/>
        <v>0</v>
      </c>
      <c r="AD144" s="167">
        <f t="shared" si="309"/>
        <v>2556.4</v>
      </c>
      <c r="AE144" s="167">
        <f t="shared" si="310"/>
        <v>2556.4</v>
      </c>
      <c r="AF144" s="167">
        <f t="shared" si="311"/>
        <v>0</v>
      </c>
      <c r="AG144" s="168">
        <f t="shared" si="180"/>
        <v>1</v>
      </c>
      <c r="AH144" s="137"/>
      <c r="AI144" s="311">
        <v>0</v>
      </c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68">
        <v>1</v>
      </c>
      <c r="BB144" s="137"/>
      <c r="BC144" s="168">
        <f t="shared" ref="BC144:BJ144" si="318">SUM(BS143:BZ143)</f>
        <v>0</v>
      </c>
      <c r="BD144" s="168">
        <f t="shared" si="317"/>
        <v>0</v>
      </c>
      <c r="BE144" s="168">
        <f t="shared" si="318"/>
        <v>0</v>
      </c>
      <c r="BF144" s="168">
        <f t="shared" si="318"/>
        <v>0</v>
      </c>
      <c r="BG144" s="168">
        <f t="shared" si="318"/>
        <v>0</v>
      </c>
      <c r="BH144" s="168">
        <f t="shared" si="318"/>
        <v>0</v>
      </c>
      <c r="BI144" s="168">
        <f t="shared" si="318"/>
        <v>0</v>
      </c>
      <c r="BJ144" s="168">
        <f t="shared" si="318"/>
        <v>0</v>
      </c>
      <c r="BK144" s="137"/>
      <c r="BL144" s="137"/>
      <c r="BM144" s="137"/>
      <c r="BN144" s="137"/>
      <c r="BO144" s="137"/>
      <c r="BP144" s="137"/>
      <c r="BQ144" s="137"/>
      <c r="BR144" s="137"/>
      <c r="BS144" s="137"/>
      <c r="BT144" s="137"/>
      <c r="BU144" s="137"/>
    </row>
    <row r="145" spans="1:73" ht="12.75" customHeight="1" x14ac:dyDescent="0.25">
      <c r="A145" s="200"/>
      <c r="B145" s="204" t="s">
        <v>272</v>
      </c>
      <c r="C145" s="340"/>
      <c r="D145" s="203">
        <v>1</v>
      </c>
      <c r="E145" s="203" t="s">
        <v>94</v>
      </c>
      <c r="F145" s="203"/>
      <c r="G145" s="203"/>
      <c r="H145" s="203"/>
      <c r="I145" s="203">
        <f>SUM(I139:I144)*$L$27</f>
        <v>18134.994239999996</v>
      </c>
      <c r="J145" s="137"/>
      <c r="K145" s="137"/>
      <c r="L145" s="137"/>
      <c r="M145" s="32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310">
        <f t="shared" si="304"/>
        <v>0</v>
      </c>
      <c r="Z145" s="311">
        <f t="shared" si="305"/>
        <v>0.6</v>
      </c>
      <c r="AA145" s="311">
        <f t="shared" si="306"/>
        <v>0.6</v>
      </c>
      <c r="AB145" s="167">
        <f t="shared" si="307"/>
        <v>0.4</v>
      </c>
      <c r="AC145" s="167">
        <f t="shared" si="308"/>
        <v>0</v>
      </c>
      <c r="AD145" s="167">
        <f t="shared" si="309"/>
        <v>10880.996543999998</v>
      </c>
      <c r="AE145" s="167">
        <f t="shared" si="310"/>
        <v>10880.996543999998</v>
      </c>
      <c r="AF145" s="167">
        <f t="shared" si="311"/>
        <v>7253.9976959999985</v>
      </c>
      <c r="AG145" s="168">
        <f t="shared" si="180"/>
        <v>0.6</v>
      </c>
      <c r="AH145" s="137"/>
      <c r="AI145" s="311">
        <v>0</v>
      </c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68">
        <v>0.6</v>
      </c>
      <c r="BB145" s="137"/>
      <c r="BC145" s="168">
        <f t="shared" ref="BC145:BJ145" si="319">SUM(BS144:BZ144)</f>
        <v>0</v>
      </c>
      <c r="BD145" s="168">
        <v>0.4</v>
      </c>
      <c r="BE145" s="168">
        <f t="shared" si="319"/>
        <v>0</v>
      </c>
      <c r="BF145" s="168">
        <f t="shared" si="319"/>
        <v>0</v>
      </c>
      <c r="BG145" s="168">
        <f t="shared" si="319"/>
        <v>0</v>
      </c>
      <c r="BH145" s="168">
        <f t="shared" si="319"/>
        <v>0</v>
      </c>
      <c r="BI145" s="168">
        <f t="shared" si="319"/>
        <v>0</v>
      </c>
      <c r="BJ145" s="168">
        <f t="shared" si="319"/>
        <v>0</v>
      </c>
      <c r="BK145" s="137"/>
      <c r="BL145" s="137"/>
      <c r="BM145" s="137"/>
      <c r="BN145" s="137"/>
      <c r="BO145" s="137"/>
      <c r="BP145" s="137"/>
      <c r="BQ145" s="137"/>
      <c r="BR145" s="137"/>
      <c r="BS145" s="137"/>
      <c r="BT145" s="137"/>
      <c r="BU145" s="137"/>
    </row>
    <row r="146" spans="1:73" ht="12.75" customHeight="1" x14ac:dyDescent="0.25">
      <c r="A146" s="228"/>
      <c r="B146" s="510" t="s">
        <v>316</v>
      </c>
      <c r="C146" s="501"/>
      <c r="D146" s="501"/>
      <c r="E146" s="501"/>
      <c r="F146" s="501"/>
      <c r="G146" s="501"/>
      <c r="H146" s="502"/>
      <c r="I146" s="229">
        <f>SUM(I139:I145)</f>
        <v>169259.94623999999</v>
      </c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  <c r="V146" s="230"/>
      <c r="W146" s="230"/>
      <c r="X146" s="232"/>
      <c r="Y146" s="307">
        <f t="shared" ref="Y146:AF146" si="320">SUM(Y139:Y145)</f>
        <v>0</v>
      </c>
      <c r="Z146" s="184">
        <f t="shared" si="320"/>
        <v>52.854400000000005</v>
      </c>
      <c r="AA146" s="184">
        <f t="shared" si="320"/>
        <v>52.854400000000005</v>
      </c>
      <c r="AB146" s="235">
        <f t="shared" si="320"/>
        <v>44.549600000000005</v>
      </c>
      <c r="AC146" s="235">
        <f t="shared" si="320"/>
        <v>0</v>
      </c>
      <c r="AD146" s="235">
        <f t="shared" si="320"/>
        <v>99179.624543999991</v>
      </c>
      <c r="AE146" s="235">
        <f t="shared" si="320"/>
        <v>99179.624543999991</v>
      </c>
      <c r="AF146" s="235">
        <f t="shared" si="320"/>
        <v>70080.321696000014</v>
      </c>
      <c r="AG146" s="168">
        <f t="shared" si="180"/>
        <v>0.5714285714285714</v>
      </c>
      <c r="AH146" s="237"/>
      <c r="AI146" s="184">
        <v>0</v>
      </c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0"/>
      <c r="AV146" s="230"/>
      <c r="AW146" s="230"/>
      <c r="AX146" s="230"/>
      <c r="AY146" s="230"/>
      <c r="AZ146" s="230"/>
      <c r="BA146" s="308">
        <f>SUM(BA139:BA145)/COUNTA(BA139:BA145)</f>
        <v>0.5714285714285714</v>
      </c>
      <c r="BB146" s="230"/>
      <c r="BC146" s="308">
        <f t="shared" ref="BC146:BJ146" si="321">SUM(BC139:BC145)/COUNTA(BC139:BC145)</f>
        <v>0</v>
      </c>
      <c r="BD146" s="308">
        <f>SUM(BD139:BD145)/COUNTA(BD139:BD145)</f>
        <v>0.42857142857142849</v>
      </c>
      <c r="BE146" s="308">
        <f t="shared" si="321"/>
        <v>0</v>
      </c>
      <c r="BF146" s="308">
        <f t="shared" si="321"/>
        <v>0</v>
      </c>
      <c r="BG146" s="308">
        <f t="shared" si="321"/>
        <v>0</v>
      </c>
      <c r="BH146" s="308">
        <f t="shared" si="321"/>
        <v>0</v>
      </c>
      <c r="BI146" s="308">
        <f t="shared" si="321"/>
        <v>0</v>
      </c>
      <c r="BJ146" s="308">
        <f t="shared" si="321"/>
        <v>0</v>
      </c>
      <c r="BK146" s="230"/>
      <c r="BL146" s="230"/>
      <c r="BM146" s="230"/>
      <c r="BN146" s="230"/>
      <c r="BO146" s="230"/>
      <c r="BP146" s="230"/>
      <c r="BQ146" s="230"/>
      <c r="BR146" s="230"/>
      <c r="BS146" s="230"/>
      <c r="BT146" s="230"/>
      <c r="BU146" s="230"/>
    </row>
    <row r="147" spans="1:73" ht="12.75" customHeight="1" x14ac:dyDescent="0.25">
      <c r="A147" s="200"/>
      <c r="B147" s="339" t="s">
        <v>317</v>
      </c>
      <c r="C147" s="340"/>
      <c r="D147" s="203"/>
      <c r="E147" s="203"/>
      <c r="F147" s="203"/>
      <c r="G147" s="203"/>
      <c r="H147" s="203"/>
      <c r="I147" s="203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310"/>
      <c r="Z147" s="311"/>
      <c r="AA147" s="311"/>
      <c r="AB147" s="167"/>
      <c r="AC147" s="167"/>
      <c r="AD147" s="167"/>
      <c r="AE147" s="167"/>
      <c r="AF147" s="167"/>
      <c r="AG147" s="168">
        <f t="shared" si="180"/>
        <v>0</v>
      </c>
      <c r="AH147" s="137"/>
      <c r="AI147" s="311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  <c r="BN147" s="137"/>
      <c r="BO147" s="137"/>
      <c r="BP147" s="137"/>
      <c r="BQ147" s="137"/>
      <c r="BR147" s="137"/>
      <c r="BS147" s="137"/>
      <c r="BT147" s="137"/>
      <c r="BU147" s="137"/>
    </row>
    <row r="148" spans="1:73" ht="12.75" customHeight="1" x14ac:dyDescent="0.25">
      <c r="A148" s="200"/>
      <c r="B148" s="291" t="s">
        <v>267</v>
      </c>
      <c r="C148" s="340">
        <v>8.1</v>
      </c>
      <c r="D148" s="203">
        <f t="shared" ref="D148:D152" si="322">C148*$L$23</f>
        <v>8.91</v>
      </c>
      <c r="E148" s="203" t="s">
        <v>6</v>
      </c>
      <c r="F148" s="203">
        <f>'Material and Labor Cost'!$D$21</f>
        <v>576</v>
      </c>
      <c r="G148" s="203">
        <f>'Material and Labor Cost'!$F$21</f>
        <v>300</v>
      </c>
      <c r="H148" s="203">
        <f t="shared" ref="H148:H152" si="323">SUM(F148:G148)</f>
        <v>876</v>
      </c>
      <c r="I148" s="203">
        <f t="shared" ref="I148:I152" si="324">H148*D148</f>
        <v>7805.16</v>
      </c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310">
        <f t="shared" ref="Y148:Y153" si="325">SUM(AI148:AP148)</f>
        <v>0</v>
      </c>
      <c r="Z148" s="311">
        <f t="shared" ref="Z148:Z153" si="326">D148*AG148</f>
        <v>8.91</v>
      </c>
      <c r="AA148" s="311">
        <f t="shared" ref="AA148:AA153" si="327">SUM(Y148:Z148)</f>
        <v>8.91</v>
      </c>
      <c r="AB148" s="167">
        <f t="shared" ref="AB148:AB153" si="328">D148-AA148</f>
        <v>0</v>
      </c>
      <c r="AC148" s="167">
        <f t="shared" ref="AC148:AC153" si="329">SUM(AR147:AY147)</f>
        <v>0</v>
      </c>
      <c r="AD148" s="167">
        <f t="shared" ref="AD148:AD153" si="330">AG148*I148</f>
        <v>7805.16</v>
      </c>
      <c r="AE148" s="167">
        <f t="shared" ref="AE148:AE153" si="331">SUM(AC148:AD148)</f>
        <v>7805.16</v>
      </c>
      <c r="AF148" s="167">
        <f t="shared" ref="AF148:AF153" si="332">I148-AE148</f>
        <v>0</v>
      </c>
      <c r="AG148" s="168">
        <f t="shared" si="180"/>
        <v>1</v>
      </c>
      <c r="AH148" s="137"/>
      <c r="AI148" s="311">
        <v>0</v>
      </c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68">
        <v>1</v>
      </c>
      <c r="BB148" s="137"/>
      <c r="BC148" s="168">
        <f t="shared" ref="BC148:BJ148" si="333">SUM(BS147:BZ147)</f>
        <v>0</v>
      </c>
      <c r="BD148" s="168">
        <f t="shared" ref="BD148:BD153" si="334">SUM(BN147:BT147)</f>
        <v>0</v>
      </c>
      <c r="BE148" s="168">
        <f t="shared" si="333"/>
        <v>0</v>
      </c>
      <c r="BF148" s="168">
        <f t="shared" si="333"/>
        <v>0</v>
      </c>
      <c r="BG148" s="168">
        <f t="shared" si="333"/>
        <v>0</v>
      </c>
      <c r="BH148" s="168">
        <f t="shared" si="333"/>
        <v>0</v>
      </c>
      <c r="BI148" s="168">
        <f t="shared" si="333"/>
        <v>0</v>
      </c>
      <c r="BJ148" s="168">
        <f t="shared" si="333"/>
        <v>0</v>
      </c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137"/>
    </row>
    <row r="149" spans="1:73" ht="12.75" customHeight="1" x14ac:dyDescent="0.25">
      <c r="A149" s="200"/>
      <c r="B149" s="291" t="s">
        <v>269</v>
      </c>
      <c r="C149" s="340">
        <v>2.33</v>
      </c>
      <c r="D149" s="203">
        <f t="shared" si="322"/>
        <v>2.5630000000000002</v>
      </c>
      <c r="E149" s="203" t="s">
        <v>6</v>
      </c>
      <c r="F149" s="203">
        <f>'Material and Labor Cost'!$D$23</f>
        <v>330</v>
      </c>
      <c r="G149" s="203">
        <f>'Material and Labor Cost'!$F$23</f>
        <v>165</v>
      </c>
      <c r="H149" s="203">
        <f t="shared" si="323"/>
        <v>495</v>
      </c>
      <c r="I149" s="203">
        <f t="shared" si="324"/>
        <v>1268.6850000000002</v>
      </c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310">
        <f t="shared" si="325"/>
        <v>0</v>
      </c>
      <c r="Z149" s="311">
        <f t="shared" si="326"/>
        <v>1.7941</v>
      </c>
      <c r="AA149" s="311">
        <f t="shared" si="327"/>
        <v>1.7941</v>
      </c>
      <c r="AB149" s="167">
        <f t="shared" si="328"/>
        <v>0.76890000000000014</v>
      </c>
      <c r="AC149" s="167">
        <f t="shared" si="329"/>
        <v>0</v>
      </c>
      <c r="AD149" s="167">
        <f t="shared" si="330"/>
        <v>888.07950000000005</v>
      </c>
      <c r="AE149" s="167">
        <f t="shared" si="331"/>
        <v>888.07950000000005</v>
      </c>
      <c r="AF149" s="167">
        <f t="shared" si="332"/>
        <v>380.60550000000012</v>
      </c>
      <c r="AG149" s="168">
        <f t="shared" si="180"/>
        <v>0.7</v>
      </c>
      <c r="AH149" s="137"/>
      <c r="AI149" s="311">
        <v>0</v>
      </c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68">
        <v>0.7</v>
      </c>
      <c r="BB149" s="137"/>
      <c r="BC149" s="168">
        <f t="shared" ref="BC149:BJ149" si="335">SUM(BS148:BZ148)</f>
        <v>0</v>
      </c>
      <c r="BD149" s="168">
        <f t="shared" si="334"/>
        <v>0</v>
      </c>
      <c r="BE149" s="168">
        <f t="shared" si="335"/>
        <v>0</v>
      </c>
      <c r="BF149" s="168">
        <f t="shared" si="335"/>
        <v>0</v>
      </c>
      <c r="BG149" s="168">
        <f t="shared" si="335"/>
        <v>0</v>
      </c>
      <c r="BH149" s="168">
        <f t="shared" si="335"/>
        <v>0</v>
      </c>
      <c r="BI149" s="168">
        <f t="shared" si="335"/>
        <v>0</v>
      </c>
      <c r="BJ149" s="168">
        <f t="shared" si="335"/>
        <v>0</v>
      </c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137"/>
    </row>
    <row r="150" spans="1:73" ht="12.75" customHeight="1" x14ac:dyDescent="0.25">
      <c r="A150" s="200"/>
      <c r="B150" s="204" t="s">
        <v>310</v>
      </c>
      <c r="C150" s="340">
        <f>C148+C149</f>
        <v>10.43</v>
      </c>
      <c r="D150" s="203">
        <f t="shared" si="322"/>
        <v>11.473000000000001</v>
      </c>
      <c r="E150" s="203" t="s">
        <v>6</v>
      </c>
      <c r="F150" s="203">
        <f>'Material and Labor Cost'!$D$28</f>
        <v>2640</v>
      </c>
      <c r="G150" s="203">
        <f>'Material and Labor Cost'!$F$28</f>
        <v>880</v>
      </c>
      <c r="H150" s="203">
        <f t="shared" si="323"/>
        <v>3520</v>
      </c>
      <c r="I150" s="203">
        <f t="shared" si="324"/>
        <v>40384.959999999999</v>
      </c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310">
        <f t="shared" si="325"/>
        <v>0</v>
      </c>
      <c r="Z150" s="311">
        <f t="shared" si="326"/>
        <v>0</v>
      </c>
      <c r="AA150" s="311">
        <f t="shared" si="327"/>
        <v>0</v>
      </c>
      <c r="AB150" s="167">
        <f t="shared" si="328"/>
        <v>11.473000000000001</v>
      </c>
      <c r="AC150" s="167">
        <f t="shared" si="329"/>
        <v>0</v>
      </c>
      <c r="AD150" s="167">
        <f t="shared" si="330"/>
        <v>0</v>
      </c>
      <c r="AE150" s="167">
        <f t="shared" si="331"/>
        <v>0</v>
      </c>
      <c r="AF150" s="167">
        <f t="shared" si="332"/>
        <v>40384.959999999999</v>
      </c>
      <c r="AG150" s="168">
        <f t="shared" ref="AG150:AG213" si="336">BA150</f>
        <v>0</v>
      </c>
      <c r="AH150" s="137"/>
      <c r="AI150" s="311">
        <v>0</v>
      </c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68">
        <f t="shared" ref="BA150:BA151" si="337">SUM(BK149:BQ149)</f>
        <v>0</v>
      </c>
      <c r="BB150" s="137"/>
      <c r="BC150" s="168">
        <f t="shared" ref="BC150:BJ150" si="338">SUM(BS149:BZ149)</f>
        <v>0</v>
      </c>
      <c r="BD150" s="168">
        <f t="shared" si="334"/>
        <v>0</v>
      </c>
      <c r="BE150" s="168">
        <f t="shared" si="338"/>
        <v>0</v>
      </c>
      <c r="BF150" s="168">
        <f t="shared" si="338"/>
        <v>0</v>
      </c>
      <c r="BG150" s="168">
        <f t="shared" si="338"/>
        <v>0</v>
      </c>
      <c r="BH150" s="168">
        <f t="shared" si="338"/>
        <v>0</v>
      </c>
      <c r="BI150" s="168">
        <f t="shared" si="338"/>
        <v>0</v>
      </c>
      <c r="BJ150" s="168">
        <f t="shared" si="338"/>
        <v>0</v>
      </c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137"/>
    </row>
    <row r="151" spans="1:73" ht="12.75" customHeight="1" x14ac:dyDescent="0.25">
      <c r="A151" s="200"/>
      <c r="B151" s="200" t="s">
        <v>278</v>
      </c>
      <c r="C151" s="340">
        <v>1.1000000000000001</v>
      </c>
      <c r="D151" s="203">
        <f t="shared" si="322"/>
        <v>1.2100000000000002</v>
      </c>
      <c r="E151" s="203" t="s">
        <v>6</v>
      </c>
      <c r="F151" s="203">
        <f>'Material and Labor Cost'!$D$27</f>
        <v>6600.0000000000009</v>
      </c>
      <c r="G151" s="203">
        <f>'Material and Labor Cost'!$F$27</f>
        <v>3300.0000000000005</v>
      </c>
      <c r="H151" s="203">
        <f t="shared" si="323"/>
        <v>9900.0000000000018</v>
      </c>
      <c r="I151" s="203">
        <f t="shared" si="324"/>
        <v>11979.000000000004</v>
      </c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310">
        <f t="shared" si="325"/>
        <v>0</v>
      </c>
      <c r="Z151" s="311">
        <f t="shared" si="326"/>
        <v>0</v>
      </c>
      <c r="AA151" s="311">
        <f t="shared" si="327"/>
        <v>0</v>
      </c>
      <c r="AB151" s="167">
        <f t="shared" si="328"/>
        <v>1.2100000000000002</v>
      </c>
      <c r="AC151" s="167">
        <f t="shared" si="329"/>
        <v>0</v>
      </c>
      <c r="AD151" s="167">
        <f t="shared" si="330"/>
        <v>0</v>
      </c>
      <c r="AE151" s="167">
        <f t="shared" si="331"/>
        <v>0</v>
      </c>
      <c r="AF151" s="167">
        <f t="shared" si="332"/>
        <v>11979.000000000004</v>
      </c>
      <c r="AG151" s="168">
        <f t="shared" si="336"/>
        <v>0</v>
      </c>
      <c r="AH151" s="137"/>
      <c r="AI151" s="311">
        <v>0</v>
      </c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68">
        <f t="shared" si="337"/>
        <v>0</v>
      </c>
      <c r="BB151" s="137"/>
      <c r="BC151" s="168">
        <f t="shared" ref="BC151:BJ151" si="339">SUM(BS150:BZ150)</f>
        <v>0</v>
      </c>
      <c r="BD151" s="168">
        <f t="shared" si="334"/>
        <v>0</v>
      </c>
      <c r="BE151" s="168">
        <f t="shared" si="339"/>
        <v>0</v>
      </c>
      <c r="BF151" s="168">
        <f t="shared" si="339"/>
        <v>0</v>
      </c>
      <c r="BG151" s="168">
        <f t="shared" si="339"/>
        <v>0</v>
      </c>
      <c r="BH151" s="168">
        <f t="shared" si="339"/>
        <v>0</v>
      </c>
      <c r="BI151" s="168">
        <f t="shared" si="339"/>
        <v>0</v>
      </c>
      <c r="BJ151" s="168">
        <f t="shared" si="339"/>
        <v>0</v>
      </c>
      <c r="BK151" s="137"/>
      <c r="BL151" s="137"/>
      <c r="BM151" s="137"/>
      <c r="BN151" s="137"/>
      <c r="BO151" s="137"/>
      <c r="BP151" s="137"/>
      <c r="BQ151" s="137"/>
      <c r="BR151" s="137"/>
      <c r="BS151" s="137"/>
      <c r="BT151" s="137"/>
      <c r="BU151" s="137"/>
    </row>
    <row r="152" spans="1:73" ht="12.75" customHeight="1" x14ac:dyDescent="0.25">
      <c r="A152" s="200"/>
      <c r="B152" s="204" t="s">
        <v>288</v>
      </c>
      <c r="C152" s="340">
        <v>18.399999999999999</v>
      </c>
      <c r="D152" s="203">
        <f t="shared" si="322"/>
        <v>20.239999999999998</v>
      </c>
      <c r="E152" s="203" t="s">
        <v>114</v>
      </c>
      <c r="F152" s="203">
        <f>'Material and Labor Cost'!$D$32</f>
        <v>55.000000000000007</v>
      </c>
      <c r="G152" s="203">
        <f>'Material and Labor Cost'!$F$32</f>
        <v>30.000000000000004</v>
      </c>
      <c r="H152" s="203">
        <f t="shared" si="323"/>
        <v>85.000000000000014</v>
      </c>
      <c r="I152" s="203">
        <f t="shared" si="324"/>
        <v>1720.4</v>
      </c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310">
        <f t="shared" si="325"/>
        <v>0</v>
      </c>
      <c r="Z152" s="311">
        <f t="shared" si="326"/>
        <v>4.048</v>
      </c>
      <c r="AA152" s="311">
        <f t="shared" si="327"/>
        <v>4.048</v>
      </c>
      <c r="AB152" s="167">
        <f t="shared" si="328"/>
        <v>16.192</v>
      </c>
      <c r="AC152" s="167">
        <f t="shared" si="329"/>
        <v>0</v>
      </c>
      <c r="AD152" s="167">
        <f t="shared" si="330"/>
        <v>344.08000000000004</v>
      </c>
      <c r="AE152" s="167">
        <f t="shared" si="331"/>
        <v>344.08000000000004</v>
      </c>
      <c r="AF152" s="167">
        <f t="shared" si="332"/>
        <v>1376.3200000000002</v>
      </c>
      <c r="AG152" s="168">
        <f t="shared" si="336"/>
        <v>0.2</v>
      </c>
      <c r="AH152" s="137"/>
      <c r="AI152" s="311">
        <v>0</v>
      </c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68">
        <v>0.2</v>
      </c>
      <c r="BB152" s="137"/>
      <c r="BC152" s="168">
        <f t="shared" ref="BC152:BJ152" si="340">SUM(BS151:BZ151)</f>
        <v>0</v>
      </c>
      <c r="BD152" s="168">
        <f t="shared" si="334"/>
        <v>0</v>
      </c>
      <c r="BE152" s="168">
        <f t="shared" si="340"/>
        <v>0</v>
      </c>
      <c r="BF152" s="168">
        <f t="shared" si="340"/>
        <v>0</v>
      </c>
      <c r="BG152" s="168">
        <f t="shared" si="340"/>
        <v>0</v>
      </c>
      <c r="BH152" s="168">
        <f t="shared" si="340"/>
        <v>0</v>
      </c>
      <c r="BI152" s="168">
        <f t="shared" si="340"/>
        <v>0</v>
      </c>
      <c r="BJ152" s="168">
        <f t="shared" si="340"/>
        <v>0</v>
      </c>
      <c r="BK152" s="137"/>
      <c r="BL152" s="137"/>
      <c r="BM152" s="137"/>
      <c r="BN152" s="137"/>
      <c r="BO152" s="137"/>
      <c r="BP152" s="137"/>
      <c r="BQ152" s="137"/>
      <c r="BR152" s="137"/>
      <c r="BS152" s="137"/>
      <c r="BT152" s="137"/>
      <c r="BU152" s="137"/>
    </row>
    <row r="153" spans="1:73" ht="12.75" customHeight="1" x14ac:dyDescent="0.25">
      <c r="A153" s="200"/>
      <c r="B153" s="204" t="s">
        <v>272</v>
      </c>
      <c r="C153" s="340"/>
      <c r="D153" s="203">
        <v>1</v>
      </c>
      <c r="E153" s="203" t="s">
        <v>94</v>
      </c>
      <c r="F153" s="203"/>
      <c r="G153" s="203"/>
      <c r="H153" s="203"/>
      <c r="I153" s="203">
        <f>SUM(I148:I152)*$L$27</f>
        <v>7578.9846000000007</v>
      </c>
      <c r="J153" s="137"/>
      <c r="K153" s="137"/>
      <c r="L153" s="137"/>
      <c r="M153" s="32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310">
        <f t="shared" si="325"/>
        <v>0</v>
      </c>
      <c r="Z153" s="311">
        <f t="shared" si="326"/>
        <v>0.3</v>
      </c>
      <c r="AA153" s="311">
        <f t="shared" si="327"/>
        <v>0.3</v>
      </c>
      <c r="AB153" s="167">
        <f t="shared" si="328"/>
        <v>0.7</v>
      </c>
      <c r="AC153" s="167">
        <f t="shared" si="329"/>
        <v>0</v>
      </c>
      <c r="AD153" s="167">
        <f t="shared" si="330"/>
        <v>2273.6953800000001</v>
      </c>
      <c r="AE153" s="167">
        <f t="shared" si="331"/>
        <v>2273.6953800000001</v>
      </c>
      <c r="AF153" s="167">
        <f t="shared" si="332"/>
        <v>5305.2892200000006</v>
      </c>
      <c r="AG153" s="168">
        <f t="shared" si="336"/>
        <v>0.3</v>
      </c>
      <c r="AH153" s="137"/>
      <c r="AI153" s="311">
        <v>0</v>
      </c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68">
        <v>0.3</v>
      </c>
      <c r="BB153" s="137"/>
      <c r="BC153" s="168">
        <f t="shared" ref="BC153:BJ153" si="341">SUM(BS152:BZ152)</f>
        <v>0</v>
      </c>
      <c r="BD153" s="168">
        <f t="shared" si="334"/>
        <v>0</v>
      </c>
      <c r="BE153" s="168">
        <f t="shared" si="341"/>
        <v>0</v>
      </c>
      <c r="BF153" s="168">
        <f t="shared" si="341"/>
        <v>0</v>
      </c>
      <c r="BG153" s="168">
        <f t="shared" si="341"/>
        <v>0</v>
      </c>
      <c r="BH153" s="168">
        <f t="shared" si="341"/>
        <v>0</v>
      </c>
      <c r="BI153" s="168">
        <f t="shared" si="341"/>
        <v>0</v>
      </c>
      <c r="BJ153" s="168">
        <f t="shared" si="341"/>
        <v>0</v>
      </c>
      <c r="BK153" s="137"/>
      <c r="BL153" s="137"/>
      <c r="BM153" s="137"/>
      <c r="BN153" s="137"/>
      <c r="BO153" s="137"/>
      <c r="BP153" s="137"/>
      <c r="BQ153" s="137"/>
      <c r="BR153" s="137"/>
      <c r="BS153" s="137"/>
      <c r="BT153" s="137"/>
      <c r="BU153" s="137"/>
    </row>
    <row r="154" spans="1:73" ht="12.75" customHeight="1" x14ac:dyDescent="0.25">
      <c r="A154" s="228"/>
      <c r="B154" s="510" t="s">
        <v>318</v>
      </c>
      <c r="C154" s="501"/>
      <c r="D154" s="501"/>
      <c r="E154" s="501"/>
      <c r="F154" s="501"/>
      <c r="G154" s="501"/>
      <c r="H154" s="502"/>
      <c r="I154" s="229">
        <f>SUM(I148:I153)</f>
        <v>70737.189600000012</v>
      </c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  <c r="V154" s="230"/>
      <c r="W154" s="230"/>
      <c r="X154" s="232"/>
      <c r="Y154" s="307">
        <f t="shared" ref="Y154:AF154" si="342">SUM(Y147:Y153)</f>
        <v>0</v>
      </c>
      <c r="Z154" s="184">
        <f t="shared" si="342"/>
        <v>15.052100000000001</v>
      </c>
      <c r="AA154" s="184">
        <f t="shared" si="342"/>
        <v>15.052100000000001</v>
      </c>
      <c r="AB154" s="235">
        <f t="shared" si="342"/>
        <v>30.343900000000001</v>
      </c>
      <c r="AC154" s="235">
        <f t="shared" si="342"/>
        <v>0</v>
      </c>
      <c r="AD154" s="235">
        <f t="shared" si="342"/>
        <v>11311.014879999999</v>
      </c>
      <c r="AE154" s="235">
        <f t="shared" si="342"/>
        <v>11311.014879999999</v>
      </c>
      <c r="AF154" s="235">
        <f t="shared" si="342"/>
        <v>59426.174719999995</v>
      </c>
      <c r="AG154" s="168">
        <f t="shared" si="336"/>
        <v>0.36666666666666664</v>
      </c>
      <c r="AH154" s="237"/>
      <c r="AI154" s="184">
        <v>0</v>
      </c>
      <c r="AJ154" s="230"/>
      <c r="AK154" s="230"/>
      <c r="AL154" s="230"/>
      <c r="AM154" s="230"/>
      <c r="AN154" s="230"/>
      <c r="AO154" s="230"/>
      <c r="AP154" s="230"/>
      <c r="AQ154" s="230"/>
      <c r="AR154" s="230"/>
      <c r="AS154" s="230"/>
      <c r="AT154" s="230"/>
      <c r="AU154" s="230"/>
      <c r="AV154" s="230"/>
      <c r="AW154" s="230"/>
      <c r="AX154" s="230"/>
      <c r="AY154" s="230"/>
      <c r="AZ154" s="230"/>
      <c r="BA154" s="308">
        <f>SUM(BA147:BA153)/COUNT(BA147:BA153)</f>
        <v>0.36666666666666664</v>
      </c>
      <c r="BB154" s="230"/>
      <c r="BC154" s="308">
        <f t="shared" ref="BC154:BJ154" si="343">SUM(BC147:BC153)/COUNT(BC147:BC153)</f>
        <v>0</v>
      </c>
      <c r="BD154" s="308">
        <f>SUM(BD147:BD153)/COUNT(BD147:BD153)</f>
        <v>0</v>
      </c>
      <c r="BE154" s="308">
        <f t="shared" si="343"/>
        <v>0</v>
      </c>
      <c r="BF154" s="308">
        <f t="shared" si="343"/>
        <v>0</v>
      </c>
      <c r="BG154" s="308">
        <f t="shared" si="343"/>
        <v>0</v>
      </c>
      <c r="BH154" s="308">
        <f t="shared" si="343"/>
        <v>0</v>
      </c>
      <c r="BI154" s="308">
        <f t="shared" si="343"/>
        <v>0</v>
      </c>
      <c r="BJ154" s="308">
        <f t="shared" si="343"/>
        <v>0</v>
      </c>
      <c r="BK154" s="230"/>
      <c r="BL154" s="230"/>
      <c r="BM154" s="230"/>
      <c r="BN154" s="230"/>
      <c r="BO154" s="230"/>
      <c r="BP154" s="230"/>
      <c r="BQ154" s="230"/>
      <c r="BR154" s="230"/>
      <c r="BS154" s="230"/>
      <c r="BT154" s="230"/>
      <c r="BU154" s="230"/>
    </row>
    <row r="155" spans="1:73" ht="12.75" customHeight="1" x14ac:dyDescent="0.25">
      <c r="A155" s="228"/>
      <c r="B155" s="510" t="s">
        <v>319</v>
      </c>
      <c r="C155" s="501"/>
      <c r="D155" s="501"/>
      <c r="E155" s="501"/>
      <c r="F155" s="501"/>
      <c r="G155" s="501"/>
      <c r="H155" s="502"/>
      <c r="I155" s="229">
        <f>SUM(I75,I83,I91,I99,I107,I115,I126,I137,I146,I154)</f>
        <v>746711.49630000012</v>
      </c>
      <c r="J155" s="230"/>
      <c r="K155" s="231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2"/>
      <c r="Y155" s="307">
        <f t="shared" ref="Y155:AF155" si="344">SUM(Y75,Y83,Y91,Y99,Y107,Y115,Y126,Y137,Y146,Y154)</f>
        <v>0</v>
      </c>
      <c r="Z155" s="184">
        <f t="shared" si="344"/>
        <v>417.66550000000001</v>
      </c>
      <c r="AA155" s="184">
        <f t="shared" si="344"/>
        <v>417.66550000000001</v>
      </c>
      <c r="AB155" s="235">
        <f t="shared" si="344"/>
        <v>211.05042</v>
      </c>
      <c r="AC155" s="235">
        <f t="shared" si="344"/>
        <v>0</v>
      </c>
      <c r="AD155" s="235">
        <f t="shared" si="344"/>
        <v>491290.17876400001</v>
      </c>
      <c r="AE155" s="235">
        <f t="shared" si="344"/>
        <v>491290.17876400001</v>
      </c>
      <c r="AF155" s="235">
        <f t="shared" si="344"/>
        <v>255421.31753600005</v>
      </c>
      <c r="AG155" s="168">
        <f t="shared" si="336"/>
        <v>0.49047619047619051</v>
      </c>
      <c r="AH155" s="237"/>
      <c r="AI155" s="184">
        <v>0</v>
      </c>
      <c r="AJ155" s="230"/>
      <c r="AK155" s="230"/>
      <c r="AL155" s="230"/>
      <c r="AM155" s="230"/>
      <c r="AN155" s="230"/>
      <c r="AO155" s="230"/>
      <c r="AP155" s="230"/>
      <c r="AQ155" s="230"/>
      <c r="AR155" s="230"/>
      <c r="AS155" s="230"/>
      <c r="AT155" s="230"/>
      <c r="AU155" s="230"/>
      <c r="AV155" s="230"/>
      <c r="AW155" s="230"/>
      <c r="AX155" s="230"/>
      <c r="AY155" s="230"/>
      <c r="AZ155" s="230"/>
      <c r="BA155" s="308">
        <f>SUM(BA75,BA83,BA91,BA99,BA107,BA115,BA126,BA137,BA146,BA154)/10</f>
        <v>0.49047619047619051</v>
      </c>
      <c r="BB155" s="230"/>
      <c r="BC155" s="308">
        <f t="shared" ref="BC155:BJ155" si="345">SUM(BC75,BC83,BC91,BC99,BC107,BC115,BC126,BC137,BC146,BC154)/10</f>
        <v>0</v>
      </c>
      <c r="BD155" s="308">
        <f>SUM(BD75,BD83,BD91,BD99,BD107,BD115,BD126,BD137,BD146,BD154)/10</f>
        <v>4.2857142857142851E-2</v>
      </c>
      <c r="BE155" s="308">
        <f t="shared" si="345"/>
        <v>0</v>
      </c>
      <c r="BF155" s="308">
        <f t="shared" si="345"/>
        <v>0</v>
      </c>
      <c r="BG155" s="308">
        <f t="shared" si="345"/>
        <v>0</v>
      </c>
      <c r="BH155" s="308">
        <f t="shared" si="345"/>
        <v>0</v>
      </c>
      <c r="BI155" s="308">
        <f t="shared" si="345"/>
        <v>0</v>
      </c>
      <c r="BJ155" s="308">
        <f t="shared" si="345"/>
        <v>0</v>
      </c>
      <c r="BK155" s="230"/>
      <c r="BL155" s="230"/>
      <c r="BM155" s="230"/>
      <c r="BN155" s="230"/>
      <c r="BO155" s="230"/>
      <c r="BP155" s="230"/>
      <c r="BQ155" s="230"/>
      <c r="BR155" s="230"/>
      <c r="BS155" s="230"/>
      <c r="BT155" s="230"/>
      <c r="BU155" s="230"/>
    </row>
    <row r="156" spans="1:73" ht="12.75" customHeight="1" x14ac:dyDescent="0.25">
      <c r="A156" s="186"/>
      <c r="B156" s="527" t="s">
        <v>320</v>
      </c>
      <c r="C156" s="501"/>
      <c r="D156" s="501"/>
      <c r="E156" s="501"/>
      <c r="F156" s="501"/>
      <c r="G156" s="501"/>
      <c r="H156" s="501"/>
      <c r="I156" s="502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310"/>
      <c r="Z156" s="311"/>
      <c r="AA156" s="311"/>
      <c r="AB156" s="167"/>
      <c r="AC156" s="167"/>
      <c r="AD156" s="167"/>
      <c r="AE156" s="167"/>
      <c r="AF156" s="167"/>
      <c r="AG156" s="168">
        <f t="shared" si="336"/>
        <v>0</v>
      </c>
      <c r="AH156" s="137"/>
      <c r="AI156" s="311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  <c r="BM156" s="137"/>
      <c r="BN156" s="137"/>
      <c r="BO156" s="137"/>
      <c r="BP156" s="137"/>
      <c r="BQ156" s="137"/>
      <c r="BR156" s="137"/>
      <c r="BS156" s="137"/>
      <c r="BT156" s="137"/>
      <c r="BU156" s="137"/>
    </row>
    <row r="157" spans="1:73" ht="12.75" customHeight="1" x14ac:dyDescent="0.25">
      <c r="A157" s="200"/>
      <c r="B157" s="339" t="s">
        <v>321</v>
      </c>
      <c r="C157" s="340"/>
      <c r="D157" s="203"/>
      <c r="E157" s="203"/>
      <c r="F157" s="203"/>
      <c r="G157" s="203"/>
      <c r="H157" s="203"/>
      <c r="I157" s="203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310"/>
      <c r="Z157" s="311"/>
      <c r="AA157" s="311"/>
      <c r="AB157" s="167"/>
      <c r="AC157" s="167"/>
      <c r="AD157" s="167"/>
      <c r="AE157" s="167"/>
      <c r="AF157" s="167"/>
      <c r="AG157" s="168">
        <f t="shared" si="336"/>
        <v>0</v>
      </c>
      <c r="AH157" s="137"/>
      <c r="AI157" s="311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  <c r="BM157" s="137"/>
      <c r="BN157" s="137"/>
      <c r="BO157" s="137"/>
      <c r="BP157" s="137"/>
      <c r="BQ157" s="137"/>
      <c r="BR157" s="137"/>
      <c r="BS157" s="137"/>
      <c r="BT157" s="137"/>
      <c r="BU157" s="137"/>
    </row>
    <row r="158" spans="1:73" ht="12.75" customHeight="1" x14ac:dyDescent="0.25">
      <c r="A158" s="200"/>
      <c r="B158" s="291" t="s">
        <v>267</v>
      </c>
      <c r="C158" s="340">
        <v>13.05</v>
      </c>
      <c r="D158" s="203">
        <f t="shared" ref="D158:D161" si="346">C158*$L$23</f>
        <v>14.355000000000002</v>
      </c>
      <c r="E158" s="203" t="s">
        <v>6</v>
      </c>
      <c r="F158" s="203">
        <f>'Material and Labor Cost'!$D$21</f>
        <v>576</v>
      </c>
      <c r="G158" s="203">
        <f>'Material and Labor Cost'!$F$21</f>
        <v>300</v>
      </c>
      <c r="H158" s="203">
        <f t="shared" ref="H158:H161" si="347">SUM(F158:G158)</f>
        <v>876</v>
      </c>
      <c r="I158" s="203">
        <f t="shared" ref="I158:I161" si="348">H158*D158</f>
        <v>12574.980000000001</v>
      </c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310">
        <f t="shared" ref="Y158:Y162" si="349">SUM(AI158:AP158)</f>
        <v>0</v>
      </c>
      <c r="Z158" s="311">
        <f t="shared" ref="Z158:Z162" si="350">D158*AG158</f>
        <v>0</v>
      </c>
      <c r="AA158" s="311">
        <f t="shared" ref="AA158:AA162" si="351">SUM(Y158:Z158)</f>
        <v>0</v>
      </c>
      <c r="AB158" s="167">
        <f t="shared" ref="AB158:AB162" si="352">D158-AA158</f>
        <v>14.355000000000002</v>
      </c>
      <c r="AC158" s="167">
        <f t="shared" ref="AC158:AC162" si="353">SUM(AR157:AY157)</f>
        <v>0</v>
      </c>
      <c r="AD158" s="167">
        <f t="shared" ref="AD158:AD162" si="354">AG158*I158</f>
        <v>0</v>
      </c>
      <c r="AE158" s="167">
        <f t="shared" ref="AE158:AE162" si="355">SUM(AC158:AD158)</f>
        <v>0</v>
      </c>
      <c r="AF158" s="167">
        <f t="shared" ref="AF158:AF162" si="356">I158-AE158</f>
        <v>12574.980000000001</v>
      </c>
      <c r="AG158" s="168">
        <f t="shared" si="336"/>
        <v>0</v>
      </c>
      <c r="AH158" s="137"/>
      <c r="AI158" s="311">
        <v>0</v>
      </c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68">
        <v>0</v>
      </c>
      <c r="BB158" s="137"/>
      <c r="BC158" s="168">
        <f t="shared" ref="BC158:BJ158" si="357">SUM(BS157:BZ157)</f>
        <v>0</v>
      </c>
      <c r="BD158" s="168">
        <v>1</v>
      </c>
      <c r="BE158" s="168">
        <f t="shared" si="357"/>
        <v>0</v>
      </c>
      <c r="BF158" s="168">
        <f t="shared" si="357"/>
        <v>0</v>
      </c>
      <c r="BG158" s="168">
        <f t="shared" si="357"/>
        <v>0</v>
      </c>
      <c r="BH158" s="168">
        <f t="shared" si="357"/>
        <v>0</v>
      </c>
      <c r="BI158" s="168">
        <f t="shared" si="357"/>
        <v>0</v>
      </c>
      <c r="BJ158" s="168">
        <f t="shared" si="357"/>
        <v>0</v>
      </c>
      <c r="BK158" s="137"/>
      <c r="BL158" s="137"/>
      <c r="BM158" s="137"/>
      <c r="BN158" s="137"/>
      <c r="BO158" s="137"/>
      <c r="BP158" s="137"/>
      <c r="BQ158" s="137"/>
      <c r="BR158" s="137"/>
      <c r="BS158" s="137"/>
      <c r="BT158" s="137"/>
      <c r="BU158" s="137"/>
    </row>
    <row r="159" spans="1:73" ht="12.75" customHeight="1" x14ac:dyDescent="0.25">
      <c r="A159" s="200"/>
      <c r="B159" s="291" t="s">
        <v>269</v>
      </c>
      <c r="C159" s="340">
        <v>1.2</v>
      </c>
      <c r="D159" s="203">
        <f t="shared" si="346"/>
        <v>1.32</v>
      </c>
      <c r="E159" s="203" t="s">
        <v>6</v>
      </c>
      <c r="F159" s="203">
        <f>'Material and Labor Cost'!$D$23</f>
        <v>330</v>
      </c>
      <c r="G159" s="203">
        <f>'Material and Labor Cost'!$F$23</f>
        <v>165</v>
      </c>
      <c r="H159" s="203">
        <f t="shared" si="347"/>
        <v>495</v>
      </c>
      <c r="I159" s="203">
        <f t="shared" si="348"/>
        <v>653.4</v>
      </c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310">
        <f t="shared" si="349"/>
        <v>0</v>
      </c>
      <c r="Z159" s="311">
        <f t="shared" si="350"/>
        <v>0</v>
      </c>
      <c r="AA159" s="311">
        <f t="shared" si="351"/>
        <v>0</v>
      </c>
      <c r="AB159" s="167">
        <f t="shared" si="352"/>
        <v>1.32</v>
      </c>
      <c r="AC159" s="167">
        <f t="shared" si="353"/>
        <v>0</v>
      </c>
      <c r="AD159" s="167">
        <f t="shared" si="354"/>
        <v>0</v>
      </c>
      <c r="AE159" s="167">
        <f t="shared" si="355"/>
        <v>0</v>
      </c>
      <c r="AF159" s="167">
        <f t="shared" si="356"/>
        <v>653.4</v>
      </c>
      <c r="AG159" s="168">
        <f t="shared" si="336"/>
        <v>0</v>
      </c>
      <c r="AH159" s="137"/>
      <c r="AI159" s="311">
        <v>0</v>
      </c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68">
        <v>0</v>
      </c>
      <c r="BB159" s="137"/>
      <c r="BC159" s="168">
        <f t="shared" ref="BC159:BJ159" si="358">SUM(BS158:BZ158)</f>
        <v>0</v>
      </c>
      <c r="BD159" s="168">
        <v>1</v>
      </c>
      <c r="BE159" s="168">
        <f t="shared" si="358"/>
        <v>0</v>
      </c>
      <c r="BF159" s="168">
        <f t="shared" si="358"/>
        <v>0</v>
      </c>
      <c r="BG159" s="168">
        <f t="shared" si="358"/>
        <v>0</v>
      </c>
      <c r="BH159" s="168">
        <f t="shared" si="358"/>
        <v>0</v>
      </c>
      <c r="BI159" s="168">
        <f t="shared" si="358"/>
        <v>0</v>
      </c>
      <c r="BJ159" s="168">
        <f t="shared" si="358"/>
        <v>0</v>
      </c>
      <c r="BK159" s="137"/>
      <c r="BL159" s="137"/>
      <c r="BM159" s="137"/>
      <c r="BN159" s="137"/>
      <c r="BO159" s="137"/>
      <c r="BP159" s="137"/>
      <c r="BQ159" s="137"/>
      <c r="BR159" s="137"/>
      <c r="BS159" s="137"/>
      <c r="BT159" s="137"/>
      <c r="BU159" s="137"/>
    </row>
    <row r="160" spans="1:73" ht="12.75" customHeight="1" x14ac:dyDescent="0.25">
      <c r="A160" s="200"/>
      <c r="B160" s="204" t="s">
        <v>310</v>
      </c>
      <c r="C160" s="340">
        <f>C159+C158</f>
        <v>14.25</v>
      </c>
      <c r="D160" s="203">
        <f t="shared" si="346"/>
        <v>15.675000000000001</v>
      </c>
      <c r="E160" s="203" t="s">
        <v>6</v>
      </c>
      <c r="F160" s="203">
        <f>'Material and Labor Cost'!$D$28</f>
        <v>2640</v>
      </c>
      <c r="G160" s="203">
        <f>'Material and Labor Cost'!$F$28</f>
        <v>880</v>
      </c>
      <c r="H160" s="203">
        <f t="shared" si="347"/>
        <v>3520</v>
      </c>
      <c r="I160" s="203">
        <f t="shared" si="348"/>
        <v>55176</v>
      </c>
      <c r="J160" s="137"/>
      <c r="K160" s="348">
        <f>I155+I68</f>
        <v>1217910.4913800003</v>
      </c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310">
        <f t="shared" si="349"/>
        <v>0</v>
      </c>
      <c r="Z160" s="311">
        <f t="shared" si="350"/>
        <v>10.9725</v>
      </c>
      <c r="AA160" s="311">
        <f t="shared" si="351"/>
        <v>10.9725</v>
      </c>
      <c r="AB160" s="167">
        <f t="shared" si="352"/>
        <v>4.7025000000000006</v>
      </c>
      <c r="AC160" s="167">
        <f t="shared" si="353"/>
        <v>0</v>
      </c>
      <c r="AD160" s="167">
        <f t="shared" si="354"/>
        <v>38623.199999999997</v>
      </c>
      <c r="AE160" s="167">
        <f t="shared" si="355"/>
        <v>38623.199999999997</v>
      </c>
      <c r="AF160" s="167">
        <f t="shared" si="356"/>
        <v>16552.800000000003</v>
      </c>
      <c r="AG160" s="168">
        <f t="shared" si="336"/>
        <v>0.7</v>
      </c>
      <c r="AH160" s="137"/>
      <c r="AI160" s="311">
        <v>0</v>
      </c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68">
        <v>0.7</v>
      </c>
      <c r="BB160" s="137"/>
      <c r="BC160" s="168">
        <f t="shared" ref="BC160:BJ160" si="359">SUM(BS159:BZ159)</f>
        <v>0</v>
      </c>
      <c r="BD160" s="168">
        <v>0.3</v>
      </c>
      <c r="BE160" s="168">
        <f t="shared" si="359"/>
        <v>0</v>
      </c>
      <c r="BF160" s="168">
        <f t="shared" si="359"/>
        <v>0</v>
      </c>
      <c r="BG160" s="168">
        <f t="shared" si="359"/>
        <v>0</v>
      </c>
      <c r="BH160" s="168">
        <f t="shared" si="359"/>
        <v>0</v>
      </c>
      <c r="BI160" s="168">
        <f t="shared" si="359"/>
        <v>0</v>
      </c>
      <c r="BJ160" s="168">
        <f t="shared" si="359"/>
        <v>0</v>
      </c>
      <c r="BK160" s="137"/>
      <c r="BL160" s="137"/>
      <c r="BM160" s="137"/>
      <c r="BN160" s="137"/>
      <c r="BO160" s="137"/>
      <c r="BP160" s="137"/>
      <c r="BQ160" s="137"/>
      <c r="BR160" s="137"/>
      <c r="BS160" s="137"/>
      <c r="BT160" s="137"/>
      <c r="BU160" s="137"/>
    </row>
    <row r="161" spans="1:73" ht="12.75" customHeight="1" x14ac:dyDescent="0.25">
      <c r="A161" s="200"/>
      <c r="B161" s="204" t="s">
        <v>288</v>
      </c>
      <c r="C161" s="340">
        <v>11.2</v>
      </c>
      <c r="D161" s="203">
        <f t="shared" si="346"/>
        <v>12.32</v>
      </c>
      <c r="E161" s="203" t="s">
        <v>114</v>
      </c>
      <c r="F161" s="203">
        <f>'Material and Labor Cost'!$D$32</f>
        <v>55.000000000000007</v>
      </c>
      <c r="G161" s="203">
        <f>'Material and Labor Cost'!$F$32</f>
        <v>30.000000000000004</v>
      </c>
      <c r="H161" s="203">
        <f t="shared" si="347"/>
        <v>85.000000000000014</v>
      </c>
      <c r="I161" s="203">
        <f t="shared" si="348"/>
        <v>1047.2000000000003</v>
      </c>
      <c r="J161" s="137"/>
      <c r="K161" s="137"/>
      <c r="L161" s="32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310">
        <f t="shared" si="349"/>
        <v>0</v>
      </c>
      <c r="Z161" s="311">
        <f t="shared" si="350"/>
        <v>8.6239999999999988</v>
      </c>
      <c r="AA161" s="311">
        <f t="shared" si="351"/>
        <v>8.6239999999999988</v>
      </c>
      <c r="AB161" s="167">
        <f t="shared" si="352"/>
        <v>3.6960000000000015</v>
      </c>
      <c r="AC161" s="167">
        <f t="shared" si="353"/>
        <v>0</v>
      </c>
      <c r="AD161" s="167">
        <f t="shared" si="354"/>
        <v>733.04000000000019</v>
      </c>
      <c r="AE161" s="167">
        <f t="shared" si="355"/>
        <v>733.04000000000019</v>
      </c>
      <c r="AF161" s="167">
        <f t="shared" si="356"/>
        <v>314.16000000000008</v>
      </c>
      <c r="AG161" s="168">
        <f t="shared" si="336"/>
        <v>0.7</v>
      </c>
      <c r="AH161" s="137"/>
      <c r="AI161" s="311">
        <v>0</v>
      </c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68">
        <v>0.7</v>
      </c>
      <c r="BB161" s="137"/>
      <c r="BC161" s="168">
        <f t="shared" ref="BC161:BJ161" si="360">SUM(BS160:BZ160)</f>
        <v>0</v>
      </c>
      <c r="BD161" s="168">
        <v>0.3</v>
      </c>
      <c r="BE161" s="168">
        <f t="shared" si="360"/>
        <v>0</v>
      </c>
      <c r="BF161" s="168">
        <f t="shared" si="360"/>
        <v>0</v>
      </c>
      <c r="BG161" s="168">
        <f t="shared" si="360"/>
        <v>0</v>
      </c>
      <c r="BH161" s="168">
        <f t="shared" si="360"/>
        <v>0</v>
      </c>
      <c r="BI161" s="168">
        <f t="shared" si="360"/>
        <v>0</v>
      </c>
      <c r="BJ161" s="168">
        <f t="shared" si="360"/>
        <v>0</v>
      </c>
      <c r="BK161" s="137"/>
      <c r="BL161" s="137"/>
      <c r="BM161" s="137"/>
      <c r="BN161" s="137"/>
      <c r="BO161" s="137"/>
      <c r="BP161" s="137"/>
      <c r="BQ161" s="137"/>
      <c r="BR161" s="137"/>
      <c r="BS161" s="137"/>
      <c r="BT161" s="137"/>
      <c r="BU161" s="137"/>
    </row>
    <row r="162" spans="1:73" ht="12.75" customHeight="1" x14ac:dyDescent="0.25">
      <c r="A162" s="200"/>
      <c r="B162" s="204" t="s">
        <v>272</v>
      </c>
      <c r="C162" s="340"/>
      <c r="D162" s="203">
        <v>1</v>
      </c>
      <c r="E162" s="203" t="s">
        <v>94</v>
      </c>
      <c r="F162" s="203"/>
      <c r="G162" s="203"/>
      <c r="H162" s="203"/>
      <c r="I162" s="203">
        <f>SUM(I158:I161)*$L$27</f>
        <v>8334.1895999999997</v>
      </c>
      <c r="J162" s="137"/>
      <c r="K162" s="137"/>
      <c r="L162" s="137"/>
      <c r="M162" s="32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310">
        <f t="shared" si="349"/>
        <v>0</v>
      </c>
      <c r="Z162" s="311">
        <f t="shared" si="350"/>
        <v>0.4</v>
      </c>
      <c r="AA162" s="311">
        <f t="shared" si="351"/>
        <v>0.4</v>
      </c>
      <c r="AB162" s="167">
        <f t="shared" si="352"/>
        <v>0.6</v>
      </c>
      <c r="AC162" s="167">
        <f t="shared" si="353"/>
        <v>0</v>
      </c>
      <c r="AD162" s="167">
        <f t="shared" si="354"/>
        <v>3333.6758399999999</v>
      </c>
      <c r="AE162" s="167">
        <f t="shared" si="355"/>
        <v>3333.6758399999999</v>
      </c>
      <c r="AF162" s="167">
        <f t="shared" si="356"/>
        <v>5000.5137599999998</v>
      </c>
      <c r="AG162" s="168">
        <f t="shared" si="336"/>
        <v>0.4</v>
      </c>
      <c r="AH162" s="137"/>
      <c r="AI162" s="311">
        <v>0</v>
      </c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68">
        <v>0.4</v>
      </c>
      <c r="BB162" s="137"/>
      <c r="BC162" s="168">
        <f t="shared" ref="BC162:BJ162" si="361">SUM(BS161:BZ161)</f>
        <v>0</v>
      </c>
      <c r="BD162" s="168">
        <v>0.6</v>
      </c>
      <c r="BE162" s="168">
        <f t="shared" si="361"/>
        <v>0</v>
      </c>
      <c r="BF162" s="168">
        <f t="shared" si="361"/>
        <v>0</v>
      </c>
      <c r="BG162" s="168">
        <f t="shared" si="361"/>
        <v>0</v>
      </c>
      <c r="BH162" s="168">
        <f t="shared" si="361"/>
        <v>0</v>
      </c>
      <c r="BI162" s="168">
        <f t="shared" si="361"/>
        <v>0</v>
      </c>
      <c r="BJ162" s="168">
        <f t="shared" si="361"/>
        <v>0</v>
      </c>
      <c r="BK162" s="137"/>
      <c r="BL162" s="137"/>
      <c r="BM162" s="137"/>
      <c r="BN162" s="137"/>
      <c r="BO162" s="137"/>
      <c r="BP162" s="137"/>
      <c r="BQ162" s="137"/>
      <c r="BR162" s="137"/>
      <c r="BS162" s="137"/>
      <c r="BT162" s="137"/>
      <c r="BU162" s="137"/>
    </row>
    <row r="163" spans="1:73" ht="12.75" customHeight="1" x14ac:dyDescent="0.25">
      <c r="A163" s="228"/>
      <c r="B163" s="510" t="s">
        <v>322</v>
      </c>
      <c r="C163" s="501"/>
      <c r="D163" s="501"/>
      <c r="E163" s="501"/>
      <c r="F163" s="501"/>
      <c r="G163" s="501"/>
      <c r="H163" s="502"/>
      <c r="I163" s="229">
        <f>SUM(I158:I162)</f>
        <v>77785.7696</v>
      </c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  <c r="V163" s="230"/>
      <c r="W163" s="230"/>
      <c r="X163" s="232"/>
      <c r="Y163" s="307">
        <f t="shared" ref="Y163:AF163" si="362">SUM(Y158:Y162)</f>
        <v>0</v>
      </c>
      <c r="Z163" s="184">
        <f t="shared" si="362"/>
        <v>19.996499999999997</v>
      </c>
      <c r="AA163" s="184">
        <f t="shared" si="362"/>
        <v>19.996499999999997</v>
      </c>
      <c r="AB163" s="235">
        <f t="shared" si="362"/>
        <v>24.673500000000008</v>
      </c>
      <c r="AC163" s="235">
        <f t="shared" si="362"/>
        <v>0</v>
      </c>
      <c r="AD163" s="235">
        <f t="shared" si="362"/>
        <v>42689.915840000001</v>
      </c>
      <c r="AE163" s="235">
        <f t="shared" si="362"/>
        <v>42689.915840000001</v>
      </c>
      <c r="AF163" s="235">
        <f t="shared" si="362"/>
        <v>35095.853760000005</v>
      </c>
      <c r="AG163" s="168">
        <f t="shared" si="336"/>
        <v>0.36</v>
      </c>
      <c r="AH163" s="237"/>
      <c r="AI163" s="184">
        <v>0</v>
      </c>
      <c r="AJ163" s="230"/>
      <c r="AK163" s="230"/>
      <c r="AL163" s="230"/>
      <c r="AM163" s="230"/>
      <c r="AN163" s="230"/>
      <c r="AO163" s="230"/>
      <c r="AP163" s="230"/>
      <c r="AQ163" s="230"/>
      <c r="AR163" s="230"/>
      <c r="AS163" s="230"/>
      <c r="AT163" s="230"/>
      <c r="AU163" s="230"/>
      <c r="AV163" s="230"/>
      <c r="AW163" s="230"/>
      <c r="AX163" s="230"/>
      <c r="AY163" s="230"/>
      <c r="AZ163" s="230"/>
      <c r="BA163" s="308">
        <f>SUM(BA158:BA162)/COUNT(BA158:BA162)</f>
        <v>0.36</v>
      </c>
      <c r="BB163" s="230"/>
      <c r="BC163" s="308">
        <f t="shared" ref="BC163:BJ163" si="363">SUM(BC158:BC162)/COUNT(BC158:BC162)</f>
        <v>0</v>
      </c>
      <c r="BD163" s="308">
        <f>SUM(BD158:BD162)/COUNT(BD158:BD162)</f>
        <v>0.6399999999999999</v>
      </c>
      <c r="BE163" s="308">
        <f t="shared" si="363"/>
        <v>0</v>
      </c>
      <c r="BF163" s="308">
        <f t="shared" si="363"/>
        <v>0</v>
      </c>
      <c r="BG163" s="308">
        <f t="shared" si="363"/>
        <v>0</v>
      </c>
      <c r="BH163" s="308">
        <f t="shared" si="363"/>
        <v>0</v>
      </c>
      <c r="BI163" s="308">
        <f t="shared" si="363"/>
        <v>0</v>
      </c>
      <c r="BJ163" s="308">
        <f t="shared" si="363"/>
        <v>0</v>
      </c>
      <c r="BK163" s="230"/>
      <c r="BL163" s="230"/>
      <c r="BM163" s="230"/>
      <c r="BN163" s="230"/>
      <c r="BO163" s="230"/>
      <c r="BP163" s="230"/>
      <c r="BQ163" s="230"/>
      <c r="BR163" s="230"/>
      <c r="BS163" s="230"/>
      <c r="BT163" s="230"/>
      <c r="BU163" s="230"/>
    </row>
    <row r="164" spans="1:73" ht="12.75" customHeight="1" x14ac:dyDescent="0.25">
      <c r="A164" s="200"/>
      <c r="B164" s="339" t="s">
        <v>323</v>
      </c>
      <c r="C164" s="340"/>
      <c r="D164" s="203"/>
      <c r="E164" s="203"/>
      <c r="F164" s="203"/>
      <c r="G164" s="203"/>
      <c r="H164" s="203"/>
      <c r="I164" s="203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310"/>
      <c r="Z164" s="311"/>
      <c r="AA164" s="311"/>
      <c r="AB164" s="167"/>
      <c r="AC164" s="167"/>
      <c r="AD164" s="167"/>
      <c r="AE164" s="167"/>
      <c r="AF164" s="167"/>
      <c r="AG164" s="168">
        <f t="shared" si="336"/>
        <v>0</v>
      </c>
      <c r="AH164" s="137"/>
      <c r="AI164" s="311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  <c r="BM164" s="137"/>
      <c r="BN164" s="137"/>
      <c r="BO164" s="137"/>
      <c r="BP164" s="137"/>
      <c r="BQ164" s="137"/>
      <c r="BR164" s="137"/>
      <c r="BS164" s="137"/>
      <c r="BT164" s="137"/>
      <c r="BU164" s="137"/>
    </row>
    <row r="165" spans="1:73" ht="12.75" customHeight="1" x14ac:dyDescent="0.25">
      <c r="A165" s="200"/>
      <c r="B165" s="291" t="s">
        <v>267</v>
      </c>
      <c r="C165" s="340">
        <v>14.2</v>
      </c>
      <c r="D165" s="203">
        <f t="shared" ref="D165:D168" si="364">C165*$L$23</f>
        <v>15.620000000000001</v>
      </c>
      <c r="E165" s="203" t="s">
        <v>6</v>
      </c>
      <c r="F165" s="203">
        <f>'Material and Labor Cost'!$D$21</f>
        <v>576</v>
      </c>
      <c r="G165" s="203">
        <f>'Material and Labor Cost'!$F$21</f>
        <v>300</v>
      </c>
      <c r="H165" s="203">
        <f t="shared" ref="H165:H168" si="365">SUM(F165:G165)</f>
        <v>876</v>
      </c>
      <c r="I165" s="203">
        <f t="shared" ref="I165:I168" si="366">H165*D165</f>
        <v>13683.12</v>
      </c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310">
        <f t="shared" ref="Y165:Y169" si="367">SUM(AI165:AP165)</f>
        <v>0</v>
      </c>
      <c r="Z165" s="311">
        <f t="shared" ref="Z165:Z169" si="368">D165*AG165</f>
        <v>0</v>
      </c>
      <c r="AA165" s="311">
        <f t="shared" ref="AA165:AA169" si="369">SUM(Y165:Z165)</f>
        <v>0</v>
      </c>
      <c r="AB165" s="167">
        <f t="shared" ref="AB165:AB169" si="370">D165-AA165</f>
        <v>15.620000000000001</v>
      </c>
      <c r="AC165" s="167">
        <f t="shared" ref="AC165:AC169" si="371">SUM(AR164:AY164)</f>
        <v>0</v>
      </c>
      <c r="AD165" s="167">
        <f t="shared" ref="AD165:AD169" si="372">AG165*I165</f>
        <v>0</v>
      </c>
      <c r="AE165" s="167">
        <f t="shared" ref="AE165:AE169" si="373">SUM(AC165:AD165)</f>
        <v>0</v>
      </c>
      <c r="AF165" s="167">
        <f t="shared" ref="AF165:AF169" si="374">I165-AE165</f>
        <v>13683.12</v>
      </c>
      <c r="AG165" s="168">
        <f t="shared" si="336"/>
        <v>0</v>
      </c>
      <c r="AH165" s="137"/>
      <c r="AI165" s="311">
        <v>0</v>
      </c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68">
        <v>0</v>
      </c>
      <c r="BB165" s="137"/>
      <c r="BC165" s="168">
        <f t="shared" ref="BC165:BJ165" si="375">SUM(BS164:BZ164)</f>
        <v>0</v>
      </c>
      <c r="BD165" s="168">
        <v>1</v>
      </c>
      <c r="BE165" s="168">
        <f t="shared" si="375"/>
        <v>0</v>
      </c>
      <c r="BF165" s="168">
        <f t="shared" si="375"/>
        <v>0</v>
      </c>
      <c r="BG165" s="168">
        <f t="shared" si="375"/>
        <v>0</v>
      </c>
      <c r="BH165" s="168">
        <f t="shared" si="375"/>
        <v>0</v>
      </c>
      <c r="BI165" s="168">
        <f t="shared" si="375"/>
        <v>0</v>
      </c>
      <c r="BJ165" s="168">
        <f t="shared" si="375"/>
        <v>0</v>
      </c>
      <c r="BK165" s="137"/>
      <c r="BL165" s="137"/>
      <c r="BM165" s="137"/>
      <c r="BN165" s="137"/>
      <c r="BO165" s="137"/>
      <c r="BP165" s="137"/>
      <c r="BQ165" s="137"/>
      <c r="BR165" s="137"/>
      <c r="BS165" s="137"/>
      <c r="BT165" s="137"/>
      <c r="BU165" s="137"/>
    </row>
    <row r="166" spans="1:73" ht="12.75" customHeight="1" x14ac:dyDescent="0.25">
      <c r="A166" s="200"/>
      <c r="B166" s="291" t="s">
        <v>269</v>
      </c>
      <c r="C166" s="340">
        <v>2</v>
      </c>
      <c r="D166" s="203">
        <f t="shared" si="364"/>
        <v>2.2000000000000002</v>
      </c>
      <c r="E166" s="203" t="s">
        <v>6</v>
      </c>
      <c r="F166" s="203">
        <f>'Material and Labor Cost'!$D$23</f>
        <v>330</v>
      </c>
      <c r="G166" s="203">
        <f>'Material and Labor Cost'!$F$23</f>
        <v>165</v>
      </c>
      <c r="H166" s="203">
        <f t="shared" si="365"/>
        <v>495</v>
      </c>
      <c r="I166" s="203">
        <f t="shared" si="366"/>
        <v>1089</v>
      </c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310">
        <f t="shared" si="367"/>
        <v>0</v>
      </c>
      <c r="Z166" s="311">
        <f t="shared" si="368"/>
        <v>0</v>
      </c>
      <c r="AA166" s="311">
        <f t="shared" si="369"/>
        <v>0</v>
      </c>
      <c r="AB166" s="167">
        <f t="shared" si="370"/>
        <v>2.2000000000000002</v>
      </c>
      <c r="AC166" s="167">
        <f t="shared" si="371"/>
        <v>0</v>
      </c>
      <c r="AD166" s="167">
        <f t="shared" si="372"/>
        <v>0</v>
      </c>
      <c r="AE166" s="167">
        <f t="shared" si="373"/>
        <v>0</v>
      </c>
      <c r="AF166" s="167">
        <f t="shared" si="374"/>
        <v>1089</v>
      </c>
      <c r="AG166" s="168">
        <f t="shared" si="336"/>
        <v>0</v>
      </c>
      <c r="AH166" s="137"/>
      <c r="AI166" s="311">
        <v>0</v>
      </c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68">
        <v>0</v>
      </c>
      <c r="BB166" s="137"/>
      <c r="BC166" s="168">
        <f t="shared" ref="BC166:BJ166" si="376">SUM(BS165:BZ165)</f>
        <v>0</v>
      </c>
      <c r="BD166" s="168">
        <v>1</v>
      </c>
      <c r="BE166" s="168">
        <f t="shared" si="376"/>
        <v>0</v>
      </c>
      <c r="BF166" s="168">
        <f t="shared" si="376"/>
        <v>0</v>
      </c>
      <c r="BG166" s="168">
        <f t="shared" si="376"/>
        <v>0</v>
      </c>
      <c r="BH166" s="168">
        <f t="shared" si="376"/>
        <v>0</v>
      </c>
      <c r="BI166" s="168">
        <f t="shared" si="376"/>
        <v>0</v>
      </c>
      <c r="BJ166" s="168">
        <f t="shared" si="376"/>
        <v>0</v>
      </c>
      <c r="BK166" s="137"/>
      <c r="BL166" s="137"/>
      <c r="BM166" s="137"/>
      <c r="BN166" s="137"/>
      <c r="BO166" s="137"/>
      <c r="BP166" s="137"/>
      <c r="BQ166" s="137"/>
      <c r="BR166" s="137"/>
      <c r="BS166" s="137"/>
      <c r="BT166" s="137"/>
      <c r="BU166" s="137"/>
    </row>
    <row r="167" spans="1:73" ht="12.75" customHeight="1" x14ac:dyDescent="0.25">
      <c r="A167" s="200"/>
      <c r="B167" s="204" t="s">
        <v>310</v>
      </c>
      <c r="C167" s="340">
        <v>14.2</v>
      </c>
      <c r="D167" s="203">
        <f t="shared" si="364"/>
        <v>15.620000000000001</v>
      </c>
      <c r="E167" s="203" t="s">
        <v>6</v>
      </c>
      <c r="F167" s="203">
        <f>'Material and Labor Cost'!$D$28</f>
        <v>2640</v>
      </c>
      <c r="G167" s="203">
        <f>'Material and Labor Cost'!$F$28</f>
        <v>880</v>
      </c>
      <c r="H167" s="203">
        <f t="shared" si="365"/>
        <v>3520</v>
      </c>
      <c r="I167" s="203">
        <f t="shared" si="366"/>
        <v>54982.400000000001</v>
      </c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310">
        <f t="shared" si="367"/>
        <v>0</v>
      </c>
      <c r="Z167" s="311">
        <f t="shared" si="368"/>
        <v>10.933999999999999</v>
      </c>
      <c r="AA167" s="311">
        <f t="shared" si="369"/>
        <v>10.933999999999999</v>
      </c>
      <c r="AB167" s="167">
        <f t="shared" si="370"/>
        <v>4.6860000000000017</v>
      </c>
      <c r="AC167" s="167">
        <f t="shared" si="371"/>
        <v>0</v>
      </c>
      <c r="AD167" s="167">
        <f t="shared" si="372"/>
        <v>38487.68</v>
      </c>
      <c r="AE167" s="167">
        <f t="shared" si="373"/>
        <v>38487.68</v>
      </c>
      <c r="AF167" s="167">
        <f t="shared" si="374"/>
        <v>16494.72</v>
      </c>
      <c r="AG167" s="168">
        <f t="shared" si="336"/>
        <v>0.7</v>
      </c>
      <c r="AH167" s="137"/>
      <c r="AI167" s="311">
        <v>0</v>
      </c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68">
        <v>0.7</v>
      </c>
      <c r="BB167" s="137"/>
      <c r="BC167" s="168">
        <f t="shared" ref="BC167:BJ167" si="377">SUM(BS166:BZ166)</f>
        <v>0</v>
      </c>
      <c r="BD167" s="168">
        <v>0.3</v>
      </c>
      <c r="BE167" s="168">
        <f t="shared" si="377"/>
        <v>0</v>
      </c>
      <c r="BF167" s="168">
        <f t="shared" si="377"/>
        <v>0</v>
      </c>
      <c r="BG167" s="168">
        <f t="shared" si="377"/>
        <v>0</v>
      </c>
      <c r="BH167" s="168">
        <f t="shared" si="377"/>
        <v>0</v>
      </c>
      <c r="BI167" s="168">
        <f t="shared" si="377"/>
        <v>0</v>
      </c>
      <c r="BJ167" s="168">
        <f t="shared" si="377"/>
        <v>0</v>
      </c>
      <c r="BK167" s="137"/>
      <c r="BL167" s="137"/>
      <c r="BM167" s="137"/>
      <c r="BN167" s="137"/>
      <c r="BO167" s="137"/>
      <c r="BP167" s="137"/>
      <c r="BQ167" s="137"/>
      <c r="BR167" s="137"/>
      <c r="BS167" s="137"/>
      <c r="BT167" s="137"/>
      <c r="BU167" s="137"/>
    </row>
    <row r="168" spans="1:73" ht="12.75" customHeight="1" x14ac:dyDescent="0.25">
      <c r="A168" s="200"/>
      <c r="B168" s="204" t="s">
        <v>288</v>
      </c>
      <c r="C168" s="340">
        <v>15</v>
      </c>
      <c r="D168" s="203">
        <f t="shared" si="364"/>
        <v>16.5</v>
      </c>
      <c r="E168" s="203" t="s">
        <v>114</v>
      </c>
      <c r="F168" s="203">
        <f>'Material and Labor Cost'!$D$32</f>
        <v>55.000000000000007</v>
      </c>
      <c r="G168" s="203">
        <f>'Material and Labor Cost'!$F$32</f>
        <v>30.000000000000004</v>
      </c>
      <c r="H168" s="203">
        <f t="shared" si="365"/>
        <v>85.000000000000014</v>
      </c>
      <c r="I168" s="203">
        <f t="shared" si="366"/>
        <v>1402.5000000000002</v>
      </c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310">
        <f t="shared" si="367"/>
        <v>0</v>
      </c>
      <c r="Z168" s="311">
        <f t="shared" si="368"/>
        <v>11.549999999999999</v>
      </c>
      <c r="AA168" s="311">
        <f t="shared" si="369"/>
        <v>11.549999999999999</v>
      </c>
      <c r="AB168" s="167">
        <f t="shared" si="370"/>
        <v>4.9500000000000011</v>
      </c>
      <c r="AC168" s="167">
        <f t="shared" si="371"/>
        <v>0</v>
      </c>
      <c r="AD168" s="167">
        <f t="shared" si="372"/>
        <v>981.75000000000011</v>
      </c>
      <c r="AE168" s="167">
        <f t="shared" si="373"/>
        <v>981.75000000000011</v>
      </c>
      <c r="AF168" s="167">
        <f t="shared" si="374"/>
        <v>420.75000000000011</v>
      </c>
      <c r="AG168" s="168">
        <f t="shared" si="336"/>
        <v>0.7</v>
      </c>
      <c r="AH168" s="137"/>
      <c r="AI168" s="311">
        <v>0</v>
      </c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68">
        <v>0.7</v>
      </c>
      <c r="BB168" s="137"/>
      <c r="BC168" s="168">
        <f t="shared" ref="BC168:BJ168" si="378">SUM(BS167:BZ167)</f>
        <v>0</v>
      </c>
      <c r="BD168" s="168">
        <v>0.3</v>
      </c>
      <c r="BE168" s="168">
        <f t="shared" si="378"/>
        <v>0</v>
      </c>
      <c r="BF168" s="168">
        <f t="shared" si="378"/>
        <v>0</v>
      </c>
      <c r="BG168" s="168">
        <f t="shared" si="378"/>
        <v>0</v>
      </c>
      <c r="BH168" s="168">
        <f t="shared" si="378"/>
        <v>0</v>
      </c>
      <c r="BI168" s="168">
        <f t="shared" si="378"/>
        <v>0</v>
      </c>
      <c r="BJ168" s="168">
        <f t="shared" si="378"/>
        <v>0</v>
      </c>
      <c r="BK168" s="137"/>
      <c r="BL168" s="137"/>
      <c r="BM168" s="137"/>
      <c r="BN168" s="137"/>
      <c r="BO168" s="137"/>
      <c r="BP168" s="137"/>
      <c r="BQ168" s="137"/>
      <c r="BR168" s="137"/>
      <c r="BS168" s="137"/>
      <c r="BT168" s="137"/>
      <c r="BU168" s="137"/>
    </row>
    <row r="169" spans="1:73" ht="12.75" customHeight="1" x14ac:dyDescent="0.25">
      <c r="A169" s="200"/>
      <c r="B169" s="204" t="s">
        <v>272</v>
      </c>
      <c r="C169" s="340"/>
      <c r="D169" s="203">
        <v>1</v>
      </c>
      <c r="E169" s="203" t="s">
        <v>94</v>
      </c>
      <c r="F169" s="203"/>
      <c r="G169" s="203"/>
      <c r="H169" s="203"/>
      <c r="I169" s="203">
        <f>SUM(I165:I168)*$L$27</f>
        <v>8538.8423999999995</v>
      </c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310">
        <f t="shared" si="367"/>
        <v>0</v>
      </c>
      <c r="Z169" s="311">
        <f t="shared" si="368"/>
        <v>0.3</v>
      </c>
      <c r="AA169" s="311">
        <f t="shared" si="369"/>
        <v>0.3</v>
      </c>
      <c r="AB169" s="167">
        <f t="shared" si="370"/>
        <v>0.7</v>
      </c>
      <c r="AC169" s="167">
        <f t="shared" si="371"/>
        <v>0</v>
      </c>
      <c r="AD169" s="167">
        <f t="shared" si="372"/>
        <v>2561.6527199999996</v>
      </c>
      <c r="AE169" s="167">
        <f t="shared" si="373"/>
        <v>2561.6527199999996</v>
      </c>
      <c r="AF169" s="167">
        <f t="shared" si="374"/>
        <v>5977.1896799999995</v>
      </c>
      <c r="AG169" s="168">
        <f t="shared" si="336"/>
        <v>0.3</v>
      </c>
      <c r="AH169" s="137"/>
      <c r="AI169" s="311">
        <v>0</v>
      </c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68">
        <v>0.3</v>
      </c>
      <c r="BB169" s="137"/>
      <c r="BC169" s="168">
        <f t="shared" ref="BC169:BJ169" si="379">SUM(BS168:BZ168)</f>
        <v>0</v>
      </c>
      <c r="BD169" s="168">
        <v>0.7</v>
      </c>
      <c r="BE169" s="168">
        <f t="shared" si="379"/>
        <v>0</v>
      </c>
      <c r="BF169" s="168">
        <f t="shared" si="379"/>
        <v>0</v>
      </c>
      <c r="BG169" s="168">
        <f t="shared" si="379"/>
        <v>0</v>
      </c>
      <c r="BH169" s="168">
        <f t="shared" si="379"/>
        <v>0</v>
      </c>
      <c r="BI169" s="168">
        <f t="shared" si="379"/>
        <v>0</v>
      </c>
      <c r="BJ169" s="168">
        <f t="shared" si="379"/>
        <v>0</v>
      </c>
      <c r="BK169" s="137"/>
      <c r="BL169" s="137"/>
      <c r="BM169" s="137"/>
      <c r="BN169" s="137"/>
      <c r="BO169" s="137"/>
      <c r="BP169" s="137"/>
      <c r="BQ169" s="137"/>
      <c r="BR169" s="137"/>
      <c r="BS169" s="137"/>
      <c r="BT169" s="137"/>
      <c r="BU169" s="137"/>
    </row>
    <row r="170" spans="1:73" ht="12.75" customHeight="1" x14ac:dyDescent="0.25">
      <c r="A170" s="228"/>
      <c r="B170" s="510" t="s">
        <v>322</v>
      </c>
      <c r="C170" s="501"/>
      <c r="D170" s="501"/>
      <c r="E170" s="501"/>
      <c r="F170" s="501"/>
      <c r="G170" s="501"/>
      <c r="H170" s="502"/>
      <c r="I170" s="229">
        <f>SUM(I165:I169)</f>
        <v>79695.862399999998</v>
      </c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307">
        <f t="shared" ref="Y170:AF170" si="380">SUM(Y165:Y169)</f>
        <v>0</v>
      </c>
      <c r="Z170" s="184">
        <f t="shared" si="380"/>
        <v>22.783999999999999</v>
      </c>
      <c r="AA170" s="184">
        <f t="shared" si="380"/>
        <v>22.783999999999999</v>
      </c>
      <c r="AB170" s="235">
        <f t="shared" si="380"/>
        <v>28.156000000000002</v>
      </c>
      <c r="AC170" s="235">
        <f t="shared" si="380"/>
        <v>0</v>
      </c>
      <c r="AD170" s="235">
        <f t="shared" si="380"/>
        <v>42031.082719999999</v>
      </c>
      <c r="AE170" s="235">
        <f t="shared" si="380"/>
        <v>42031.082719999999</v>
      </c>
      <c r="AF170" s="235">
        <f t="shared" si="380"/>
        <v>37664.779680000007</v>
      </c>
      <c r="AG170" s="168">
        <f t="shared" si="336"/>
        <v>0.33999999999999997</v>
      </c>
      <c r="AH170" s="137"/>
      <c r="AI170" s="184">
        <v>0</v>
      </c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308">
        <f>SUM(BA165:BA169)/COUNT(BA165:BA169)</f>
        <v>0.33999999999999997</v>
      </c>
      <c r="BB170" s="137"/>
      <c r="BC170" s="308">
        <f t="shared" ref="BC170:BJ170" si="381">SUM(BC165:BC169)/COUNT(BC165:BC169)</f>
        <v>0</v>
      </c>
      <c r="BD170" s="308">
        <f>SUM(BD165:BD169)/COUNT(BD165:BD169)</f>
        <v>0.65999999999999992</v>
      </c>
      <c r="BE170" s="308">
        <f t="shared" si="381"/>
        <v>0</v>
      </c>
      <c r="BF170" s="308">
        <f t="shared" si="381"/>
        <v>0</v>
      </c>
      <c r="BG170" s="308">
        <f t="shared" si="381"/>
        <v>0</v>
      </c>
      <c r="BH170" s="308">
        <f t="shared" si="381"/>
        <v>0</v>
      </c>
      <c r="BI170" s="308">
        <f t="shared" si="381"/>
        <v>0</v>
      </c>
      <c r="BJ170" s="308">
        <f t="shared" si="381"/>
        <v>0</v>
      </c>
      <c r="BK170" s="137"/>
      <c r="BL170" s="137"/>
      <c r="BM170" s="137"/>
      <c r="BN170" s="137"/>
      <c r="BO170" s="137"/>
      <c r="BP170" s="137"/>
      <c r="BQ170" s="137"/>
      <c r="BR170" s="137"/>
      <c r="BS170" s="137"/>
      <c r="BT170" s="137"/>
      <c r="BU170" s="137"/>
    </row>
    <row r="171" spans="1:73" ht="12.75" customHeight="1" x14ac:dyDescent="0.25">
      <c r="A171" s="200"/>
      <c r="B171" s="339" t="s">
        <v>324</v>
      </c>
      <c r="C171" s="340"/>
      <c r="D171" s="203"/>
      <c r="E171" s="203"/>
      <c r="F171" s="203"/>
      <c r="G171" s="203"/>
      <c r="H171" s="203"/>
      <c r="I171" s="203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310"/>
      <c r="Z171" s="311"/>
      <c r="AA171" s="311"/>
      <c r="AB171" s="167"/>
      <c r="AC171" s="167"/>
      <c r="AD171" s="167"/>
      <c r="AE171" s="167"/>
      <c r="AF171" s="167"/>
      <c r="AG171" s="168">
        <f t="shared" si="336"/>
        <v>0</v>
      </c>
      <c r="AH171" s="137"/>
      <c r="AI171" s="311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7"/>
      <c r="BH171" s="137"/>
      <c r="BI171" s="137"/>
      <c r="BJ171" s="137"/>
      <c r="BK171" s="137"/>
      <c r="BL171" s="137"/>
      <c r="BM171" s="137"/>
      <c r="BN171" s="137"/>
      <c r="BO171" s="137"/>
      <c r="BP171" s="137"/>
      <c r="BQ171" s="137"/>
      <c r="BR171" s="137"/>
      <c r="BS171" s="137"/>
      <c r="BT171" s="137"/>
      <c r="BU171" s="137"/>
    </row>
    <row r="172" spans="1:73" ht="12.75" customHeight="1" x14ac:dyDescent="0.25">
      <c r="A172" s="200"/>
      <c r="B172" s="291" t="s">
        <v>267</v>
      </c>
      <c r="C172" s="340">
        <v>46.16</v>
      </c>
      <c r="D172" s="203">
        <f t="shared" ref="D172:D177" si="382">C172*$L$23</f>
        <v>50.776000000000003</v>
      </c>
      <c r="E172" s="203" t="s">
        <v>6</v>
      </c>
      <c r="F172" s="203">
        <f>'Material and Labor Cost'!$D$21</f>
        <v>576</v>
      </c>
      <c r="G172" s="203">
        <f>'Material and Labor Cost'!$F$21</f>
        <v>300</v>
      </c>
      <c r="H172" s="203">
        <f t="shared" ref="H172:H177" si="383">SUM(F172:G172)</f>
        <v>876</v>
      </c>
      <c r="I172" s="203">
        <f t="shared" ref="I172:I177" si="384">H172*D172</f>
        <v>44479.776000000005</v>
      </c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310">
        <f t="shared" ref="Y172:Y178" si="385">SUM(AI172:AP172)</f>
        <v>0</v>
      </c>
      <c r="Z172" s="311">
        <f t="shared" ref="Z172:Z178" si="386">D172*AG172</f>
        <v>50.776000000000003</v>
      </c>
      <c r="AA172" s="311">
        <f t="shared" ref="AA172:AA178" si="387">SUM(Y172:Z172)</f>
        <v>50.776000000000003</v>
      </c>
      <c r="AB172" s="167">
        <f t="shared" ref="AB172:AB178" si="388">D172-AA172</f>
        <v>0</v>
      </c>
      <c r="AC172" s="167">
        <f t="shared" ref="AC172:AC178" si="389">SUM(AR171:AY171)</f>
        <v>0</v>
      </c>
      <c r="AD172" s="167">
        <f t="shared" ref="AD172:AD178" si="390">AG172*I172</f>
        <v>44479.776000000005</v>
      </c>
      <c r="AE172" s="167">
        <f t="shared" ref="AE172:AE178" si="391">SUM(AC172:AD172)</f>
        <v>44479.776000000005</v>
      </c>
      <c r="AF172" s="167">
        <f t="shared" ref="AF172:AF178" si="392">I172-AE172</f>
        <v>0</v>
      </c>
      <c r="AG172" s="168">
        <f t="shared" si="336"/>
        <v>1</v>
      </c>
      <c r="AH172" s="137"/>
      <c r="AI172" s="311">
        <v>0</v>
      </c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68">
        <v>1</v>
      </c>
      <c r="BB172" s="137"/>
      <c r="BC172" s="168">
        <f t="shared" ref="BC172:BJ172" si="393">SUM(BS171:BZ171)</f>
        <v>0</v>
      </c>
      <c r="BD172" s="168">
        <f t="shared" ref="BD172:BD178" si="394">SUM(BN171:BT171)</f>
        <v>0</v>
      </c>
      <c r="BE172" s="168">
        <f t="shared" si="393"/>
        <v>0</v>
      </c>
      <c r="BF172" s="168">
        <f t="shared" si="393"/>
        <v>0</v>
      </c>
      <c r="BG172" s="168">
        <f t="shared" si="393"/>
        <v>0</v>
      </c>
      <c r="BH172" s="168">
        <f t="shared" si="393"/>
        <v>0</v>
      </c>
      <c r="BI172" s="168">
        <f t="shared" si="393"/>
        <v>0</v>
      </c>
      <c r="BJ172" s="168">
        <f t="shared" si="393"/>
        <v>0</v>
      </c>
      <c r="BK172" s="137"/>
      <c r="BL172" s="137"/>
      <c r="BM172" s="137"/>
      <c r="BN172" s="137"/>
      <c r="BO172" s="137"/>
      <c r="BP172" s="137"/>
      <c r="BQ172" s="137"/>
      <c r="BR172" s="137"/>
      <c r="BS172" s="137"/>
      <c r="BT172" s="137"/>
      <c r="BU172" s="137"/>
    </row>
    <row r="173" spans="1:73" ht="12.75" customHeight="1" x14ac:dyDescent="0.25">
      <c r="A173" s="200"/>
      <c r="B173" s="291" t="s">
        <v>269</v>
      </c>
      <c r="C173" s="340">
        <v>12</v>
      </c>
      <c r="D173" s="203">
        <f t="shared" si="382"/>
        <v>13.200000000000001</v>
      </c>
      <c r="E173" s="203" t="s">
        <v>6</v>
      </c>
      <c r="F173" s="203">
        <f>'Material and Labor Cost'!$D$23</f>
        <v>330</v>
      </c>
      <c r="G173" s="203">
        <f>'Material and Labor Cost'!$F$23</f>
        <v>165</v>
      </c>
      <c r="H173" s="203">
        <f t="shared" si="383"/>
        <v>495</v>
      </c>
      <c r="I173" s="203">
        <f t="shared" si="384"/>
        <v>6534.0000000000009</v>
      </c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310">
        <f t="shared" si="385"/>
        <v>0</v>
      </c>
      <c r="Z173" s="311">
        <f t="shared" si="386"/>
        <v>13.200000000000001</v>
      </c>
      <c r="AA173" s="311">
        <f t="shared" si="387"/>
        <v>13.200000000000001</v>
      </c>
      <c r="AB173" s="167">
        <f t="shared" si="388"/>
        <v>0</v>
      </c>
      <c r="AC173" s="167">
        <f t="shared" si="389"/>
        <v>0</v>
      </c>
      <c r="AD173" s="167">
        <f t="shared" si="390"/>
        <v>6534.0000000000009</v>
      </c>
      <c r="AE173" s="167">
        <f t="shared" si="391"/>
        <v>6534.0000000000009</v>
      </c>
      <c r="AF173" s="167">
        <f t="shared" si="392"/>
        <v>0</v>
      </c>
      <c r="AG173" s="168">
        <f t="shared" si="336"/>
        <v>1</v>
      </c>
      <c r="AH173" s="137"/>
      <c r="AI173" s="311">
        <v>0</v>
      </c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68">
        <v>1</v>
      </c>
      <c r="BB173" s="137"/>
      <c r="BC173" s="168">
        <f t="shared" ref="BC173:BJ173" si="395">SUM(BS172:BZ172)</f>
        <v>0</v>
      </c>
      <c r="BD173" s="168">
        <f t="shared" si="394"/>
        <v>0</v>
      </c>
      <c r="BE173" s="168">
        <f t="shared" si="395"/>
        <v>0</v>
      </c>
      <c r="BF173" s="168">
        <f t="shared" si="395"/>
        <v>0</v>
      </c>
      <c r="BG173" s="168">
        <f t="shared" si="395"/>
        <v>0</v>
      </c>
      <c r="BH173" s="168">
        <f t="shared" si="395"/>
        <v>0</v>
      </c>
      <c r="BI173" s="168">
        <f t="shared" si="395"/>
        <v>0</v>
      </c>
      <c r="BJ173" s="168">
        <f t="shared" si="395"/>
        <v>0</v>
      </c>
      <c r="BK173" s="137"/>
      <c r="BL173" s="137"/>
      <c r="BM173" s="137"/>
      <c r="BN173" s="137"/>
      <c r="BO173" s="137"/>
      <c r="BP173" s="137"/>
      <c r="BQ173" s="137"/>
      <c r="BR173" s="137"/>
      <c r="BS173" s="137"/>
      <c r="BT173" s="137"/>
      <c r="BU173" s="137"/>
    </row>
    <row r="174" spans="1:73" ht="12.75" customHeight="1" x14ac:dyDescent="0.25">
      <c r="A174" s="200"/>
      <c r="B174" s="200" t="s">
        <v>296</v>
      </c>
      <c r="C174" s="340">
        <v>2.9</v>
      </c>
      <c r="D174" s="203">
        <f t="shared" si="382"/>
        <v>3.19</v>
      </c>
      <c r="E174" s="203" t="s">
        <v>114</v>
      </c>
      <c r="F174" s="203">
        <f>'Material and Labor Cost'!$D$33</f>
        <v>330</v>
      </c>
      <c r="G174" s="203">
        <f>'Material and Labor Cost'!$F$33</f>
        <v>165</v>
      </c>
      <c r="H174" s="203">
        <f t="shared" si="383"/>
        <v>495</v>
      </c>
      <c r="I174" s="203">
        <f t="shared" si="384"/>
        <v>1579.05</v>
      </c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310">
        <f t="shared" si="385"/>
        <v>0</v>
      </c>
      <c r="Z174" s="311">
        <f t="shared" si="386"/>
        <v>0</v>
      </c>
      <c r="AA174" s="311">
        <f t="shared" si="387"/>
        <v>0</v>
      </c>
      <c r="AB174" s="167">
        <f t="shared" si="388"/>
        <v>3.19</v>
      </c>
      <c r="AC174" s="167">
        <f t="shared" si="389"/>
        <v>0</v>
      </c>
      <c r="AD174" s="167">
        <f t="shared" si="390"/>
        <v>0</v>
      </c>
      <c r="AE174" s="167">
        <f t="shared" si="391"/>
        <v>0</v>
      </c>
      <c r="AF174" s="167">
        <f t="shared" si="392"/>
        <v>1579.05</v>
      </c>
      <c r="AG174" s="168">
        <f t="shared" si="336"/>
        <v>0</v>
      </c>
      <c r="AH174" s="137"/>
      <c r="AI174" s="311">
        <v>0</v>
      </c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68">
        <f t="shared" ref="BA174:BA176" si="396">SUM(BK173:BQ173)</f>
        <v>0</v>
      </c>
      <c r="BB174" s="137"/>
      <c r="BC174" s="168">
        <f t="shared" ref="BC174:BJ174" si="397">SUM(BS173:BZ173)</f>
        <v>0</v>
      </c>
      <c r="BD174" s="168">
        <f t="shared" si="394"/>
        <v>0</v>
      </c>
      <c r="BE174" s="168">
        <f t="shared" si="397"/>
        <v>0</v>
      </c>
      <c r="BF174" s="168">
        <f t="shared" si="397"/>
        <v>0</v>
      </c>
      <c r="BG174" s="168">
        <f t="shared" si="397"/>
        <v>0</v>
      </c>
      <c r="BH174" s="168">
        <f t="shared" si="397"/>
        <v>0</v>
      </c>
      <c r="BI174" s="168">
        <f t="shared" si="397"/>
        <v>0</v>
      </c>
      <c r="BJ174" s="168">
        <f t="shared" si="397"/>
        <v>0</v>
      </c>
      <c r="BK174" s="137"/>
      <c r="BL174" s="137"/>
      <c r="BM174" s="137"/>
      <c r="BN174" s="137"/>
      <c r="BO174" s="137"/>
      <c r="BP174" s="137"/>
      <c r="BQ174" s="137"/>
      <c r="BR174" s="137"/>
      <c r="BS174" s="137"/>
      <c r="BT174" s="137"/>
      <c r="BU174" s="137"/>
    </row>
    <row r="175" spans="1:73" ht="12.75" customHeight="1" x14ac:dyDescent="0.25">
      <c r="A175" s="200"/>
      <c r="B175" s="200" t="s">
        <v>270</v>
      </c>
      <c r="C175" s="340">
        <v>2.9</v>
      </c>
      <c r="D175" s="203">
        <f t="shared" si="382"/>
        <v>3.19</v>
      </c>
      <c r="E175" s="203" t="s">
        <v>114</v>
      </c>
      <c r="F175" s="203">
        <f>'Material and Labor Cost'!$D$24</f>
        <v>220.00000000000003</v>
      </c>
      <c r="G175" s="203">
        <f>'Material and Labor Cost'!$F$24</f>
        <v>110.00000000000001</v>
      </c>
      <c r="H175" s="203">
        <f t="shared" si="383"/>
        <v>330.00000000000006</v>
      </c>
      <c r="I175" s="203">
        <f t="shared" si="384"/>
        <v>1052.7000000000003</v>
      </c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310">
        <f t="shared" si="385"/>
        <v>0</v>
      </c>
      <c r="Z175" s="311">
        <f t="shared" si="386"/>
        <v>0</v>
      </c>
      <c r="AA175" s="311">
        <f t="shared" si="387"/>
        <v>0</v>
      </c>
      <c r="AB175" s="167">
        <f t="shared" si="388"/>
        <v>3.19</v>
      </c>
      <c r="AC175" s="167">
        <f t="shared" si="389"/>
        <v>0</v>
      </c>
      <c r="AD175" s="167">
        <f t="shared" si="390"/>
        <v>0</v>
      </c>
      <c r="AE175" s="167">
        <f t="shared" si="391"/>
        <v>0</v>
      </c>
      <c r="AF175" s="167">
        <f t="shared" si="392"/>
        <v>1052.7000000000003</v>
      </c>
      <c r="AG175" s="168">
        <f t="shared" si="336"/>
        <v>0</v>
      </c>
      <c r="AH175" s="137"/>
      <c r="AI175" s="311">
        <v>0</v>
      </c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68">
        <f t="shared" si="396"/>
        <v>0</v>
      </c>
      <c r="BB175" s="137"/>
      <c r="BC175" s="168">
        <f t="shared" ref="BC175:BJ175" si="398">SUM(BS174:BZ174)</f>
        <v>0</v>
      </c>
      <c r="BD175" s="168">
        <f t="shared" si="394"/>
        <v>0</v>
      </c>
      <c r="BE175" s="168">
        <f t="shared" si="398"/>
        <v>0</v>
      </c>
      <c r="BF175" s="168">
        <f t="shared" si="398"/>
        <v>0</v>
      </c>
      <c r="BG175" s="168">
        <f t="shared" si="398"/>
        <v>0</v>
      </c>
      <c r="BH175" s="168">
        <f t="shared" si="398"/>
        <v>0</v>
      </c>
      <c r="BI175" s="168">
        <f t="shared" si="398"/>
        <v>0</v>
      </c>
      <c r="BJ175" s="168">
        <f t="shared" si="398"/>
        <v>0</v>
      </c>
      <c r="BK175" s="137"/>
      <c r="BL175" s="137"/>
      <c r="BM175" s="137"/>
      <c r="BN175" s="137"/>
      <c r="BO175" s="137"/>
      <c r="BP175" s="137"/>
      <c r="BQ175" s="137"/>
      <c r="BR175" s="137"/>
      <c r="BS175" s="137"/>
      <c r="BT175" s="137"/>
      <c r="BU175" s="137"/>
    </row>
    <row r="176" spans="1:73" ht="12.75" customHeight="1" x14ac:dyDescent="0.25">
      <c r="A176" s="200"/>
      <c r="B176" s="204" t="s">
        <v>325</v>
      </c>
      <c r="C176" s="340">
        <v>10</v>
      </c>
      <c r="D176" s="203">
        <f t="shared" si="382"/>
        <v>11</v>
      </c>
      <c r="E176" s="203" t="s">
        <v>6</v>
      </c>
      <c r="F176" s="203">
        <f>'Material and Labor Cost'!$D$37</f>
        <v>6600.0000000000009</v>
      </c>
      <c r="G176" s="203">
        <f>'Material and Labor Cost'!$F$37</f>
        <v>3300.0000000000005</v>
      </c>
      <c r="H176" s="203">
        <f t="shared" si="383"/>
        <v>9900.0000000000018</v>
      </c>
      <c r="I176" s="203">
        <f t="shared" si="384"/>
        <v>108900.00000000001</v>
      </c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310">
        <f t="shared" si="385"/>
        <v>0</v>
      </c>
      <c r="Z176" s="311">
        <f t="shared" si="386"/>
        <v>0</v>
      </c>
      <c r="AA176" s="311">
        <f t="shared" si="387"/>
        <v>0</v>
      </c>
      <c r="AB176" s="167">
        <f t="shared" si="388"/>
        <v>11</v>
      </c>
      <c r="AC176" s="167">
        <f t="shared" si="389"/>
        <v>0</v>
      </c>
      <c r="AD176" s="167">
        <f t="shared" si="390"/>
        <v>0</v>
      </c>
      <c r="AE176" s="167">
        <f t="shared" si="391"/>
        <v>0</v>
      </c>
      <c r="AF176" s="167">
        <f t="shared" si="392"/>
        <v>108900.00000000001</v>
      </c>
      <c r="AG176" s="168">
        <f t="shared" si="336"/>
        <v>0</v>
      </c>
      <c r="AH176" s="137"/>
      <c r="AI176" s="311">
        <v>0</v>
      </c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68">
        <f t="shared" si="396"/>
        <v>0</v>
      </c>
      <c r="BB176" s="137"/>
      <c r="BC176" s="168">
        <f t="shared" ref="BC176:BJ176" si="399">SUM(BS175:BZ175)</f>
        <v>0</v>
      </c>
      <c r="BD176" s="168">
        <f t="shared" si="394"/>
        <v>0</v>
      </c>
      <c r="BE176" s="168">
        <f t="shared" si="399"/>
        <v>0</v>
      </c>
      <c r="BF176" s="168">
        <f t="shared" si="399"/>
        <v>0</v>
      </c>
      <c r="BG176" s="168">
        <f t="shared" si="399"/>
        <v>0</v>
      </c>
      <c r="BH176" s="168">
        <f t="shared" si="399"/>
        <v>0</v>
      </c>
      <c r="BI176" s="168">
        <f t="shared" si="399"/>
        <v>0</v>
      </c>
      <c r="BJ176" s="168">
        <f t="shared" si="399"/>
        <v>0</v>
      </c>
      <c r="BK176" s="137"/>
      <c r="BL176" s="137"/>
      <c r="BM176" s="137"/>
      <c r="BN176" s="137"/>
      <c r="BO176" s="137"/>
      <c r="BP176" s="137"/>
      <c r="BQ176" s="137"/>
      <c r="BR176" s="137"/>
      <c r="BS176" s="137"/>
      <c r="BT176" s="137"/>
      <c r="BU176" s="137"/>
    </row>
    <row r="177" spans="1:73" ht="12.75" customHeight="1" x14ac:dyDescent="0.25">
      <c r="A177" s="200"/>
      <c r="B177" s="200" t="s">
        <v>275</v>
      </c>
      <c r="C177" s="340">
        <f>C173+C172</f>
        <v>58.16</v>
      </c>
      <c r="D177" s="203">
        <f t="shared" si="382"/>
        <v>63.975999999999999</v>
      </c>
      <c r="E177" s="203" t="s">
        <v>6</v>
      </c>
      <c r="F177" s="203">
        <f>'Material and Labor Cost'!$D$25</f>
        <v>555</v>
      </c>
      <c r="G177" s="203">
        <f>'Material and Labor Cost'!$F$25</f>
        <v>275</v>
      </c>
      <c r="H177" s="203">
        <f t="shared" si="383"/>
        <v>830</v>
      </c>
      <c r="I177" s="203">
        <f t="shared" si="384"/>
        <v>53100.08</v>
      </c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310">
        <f t="shared" si="385"/>
        <v>0</v>
      </c>
      <c r="Z177" s="311">
        <f t="shared" si="386"/>
        <v>19.192799999999998</v>
      </c>
      <c r="AA177" s="311">
        <f t="shared" si="387"/>
        <v>19.192799999999998</v>
      </c>
      <c r="AB177" s="167">
        <f t="shared" si="388"/>
        <v>44.783200000000001</v>
      </c>
      <c r="AC177" s="167">
        <f t="shared" si="389"/>
        <v>0</v>
      </c>
      <c r="AD177" s="167">
        <f t="shared" si="390"/>
        <v>15930.023999999999</v>
      </c>
      <c r="AE177" s="167">
        <f t="shared" si="391"/>
        <v>15930.023999999999</v>
      </c>
      <c r="AF177" s="167">
        <f t="shared" si="392"/>
        <v>37170.056000000004</v>
      </c>
      <c r="AG177" s="168">
        <f t="shared" si="336"/>
        <v>0.3</v>
      </c>
      <c r="AH177" s="137"/>
      <c r="AI177" s="311">
        <v>0</v>
      </c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68">
        <v>0.3</v>
      </c>
      <c r="BB177" s="137"/>
      <c r="BC177" s="168">
        <f t="shared" ref="BC177:BJ177" si="400">SUM(BS176:BZ176)</f>
        <v>0</v>
      </c>
      <c r="BD177" s="168">
        <f t="shared" si="394"/>
        <v>0</v>
      </c>
      <c r="BE177" s="168">
        <f t="shared" si="400"/>
        <v>0</v>
      </c>
      <c r="BF177" s="168">
        <f t="shared" si="400"/>
        <v>0</v>
      </c>
      <c r="BG177" s="168">
        <f t="shared" si="400"/>
        <v>0</v>
      </c>
      <c r="BH177" s="168">
        <f t="shared" si="400"/>
        <v>0</v>
      </c>
      <c r="BI177" s="168">
        <f t="shared" si="400"/>
        <v>0</v>
      </c>
      <c r="BJ177" s="168">
        <f t="shared" si="400"/>
        <v>0</v>
      </c>
      <c r="BK177" s="137"/>
      <c r="BL177" s="137"/>
      <c r="BM177" s="137"/>
      <c r="BN177" s="137"/>
      <c r="BO177" s="137"/>
      <c r="BP177" s="137"/>
      <c r="BQ177" s="137"/>
      <c r="BR177" s="137"/>
      <c r="BS177" s="137"/>
      <c r="BT177" s="137"/>
      <c r="BU177" s="137"/>
    </row>
    <row r="178" spans="1:73" ht="12.75" customHeight="1" x14ac:dyDescent="0.25">
      <c r="A178" s="200"/>
      <c r="B178" s="204" t="s">
        <v>272</v>
      </c>
      <c r="C178" s="340"/>
      <c r="D178" s="203">
        <v>1</v>
      </c>
      <c r="E178" s="203" t="s">
        <v>94</v>
      </c>
      <c r="F178" s="203"/>
      <c r="G178" s="203"/>
      <c r="H178" s="203"/>
      <c r="I178" s="203">
        <f>SUM(I172:I177)*$L$27</f>
        <v>25877.472720000002</v>
      </c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310">
        <f t="shared" si="385"/>
        <v>0</v>
      </c>
      <c r="Z178" s="311">
        <f t="shared" si="386"/>
        <v>0.3</v>
      </c>
      <c r="AA178" s="311">
        <f t="shared" si="387"/>
        <v>0.3</v>
      </c>
      <c r="AB178" s="167">
        <f t="shared" si="388"/>
        <v>0.7</v>
      </c>
      <c r="AC178" s="167">
        <f t="shared" si="389"/>
        <v>0</v>
      </c>
      <c r="AD178" s="167">
        <f t="shared" si="390"/>
        <v>7763.2418159999997</v>
      </c>
      <c r="AE178" s="167">
        <f t="shared" si="391"/>
        <v>7763.2418159999997</v>
      </c>
      <c r="AF178" s="167">
        <f t="shared" si="392"/>
        <v>18114.230904000004</v>
      </c>
      <c r="AG178" s="168">
        <f t="shared" si="336"/>
        <v>0.3</v>
      </c>
      <c r="AH178" s="137"/>
      <c r="AI178" s="311">
        <v>0</v>
      </c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68">
        <v>0.3</v>
      </c>
      <c r="BB178" s="137"/>
      <c r="BC178" s="168">
        <f t="shared" ref="BC178:BJ178" si="401">SUM(BS177:BZ177)</f>
        <v>0</v>
      </c>
      <c r="BD178" s="168">
        <f t="shared" si="394"/>
        <v>0</v>
      </c>
      <c r="BE178" s="168">
        <f t="shared" si="401"/>
        <v>0</v>
      </c>
      <c r="BF178" s="168">
        <f t="shared" si="401"/>
        <v>0</v>
      </c>
      <c r="BG178" s="168">
        <f t="shared" si="401"/>
        <v>0</v>
      </c>
      <c r="BH178" s="168">
        <f t="shared" si="401"/>
        <v>0</v>
      </c>
      <c r="BI178" s="168">
        <f t="shared" si="401"/>
        <v>0</v>
      </c>
      <c r="BJ178" s="168">
        <f t="shared" si="401"/>
        <v>0</v>
      </c>
      <c r="BK178" s="137"/>
      <c r="BL178" s="137"/>
      <c r="BM178" s="137"/>
      <c r="BN178" s="137"/>
      <c r="BO178" s="137"/>
      <c r="BP178" s="137"/>
      <c r="BQ178" s="137"/>
      <c r="BR178" s="137"/>
      <c r="BS178" s="137"/>
      <c r="BT178" s="137"/>
      <c r="BU178" s="137"/>
    </row>
    <row r="179" spans="1:73" ht="12.75" customHeight="1" x14ac:dyDescent="0.25">
      <c r="A179" s="228"/>
      <c r="B179" s="510" t="s">
        <v>326</v>
      </c>
      <c r="C179" s="501"/>
      <c r="D179" s="501"/>
      <c r="E179" s="501"/>
      <c r="F179" s="501"/>
      <c r="G179" s="501"/>
      <c r="H179" s="502"/>
      <c r="I179" s="229">
        <f>SUM(I172:I178)</f>
        <v>241523.07872000002</v>
      </c>
      <c r="J179" s="137"/>
      <c r="K179" s="137"/>
      <c r="L179" s="137"/>
      <c r="M179" s="137"/>
      <c r="N179" s="137">
        <v>17.100000000000001</v>
      </c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307">
        <f t="shared" ref="Y179:AF179" si="402">SUM(Y172:Y178)</f>
        <v>0</v>
      </c>
      <c r="Z179" s="184">
        <f t="shared" si="402"/>
        <v>83.468800000000002</v>
      </c>
      <c r="AA179" s="184">
        <f t="shared" si="402"/>
        <v>83.468800000000002</v>
      </c>
      <c r="AB179" s="235">
        <f t="shared" si="402"/>
        <v>62.863200000000006</v>
      </c>
      <c r="AC179" s="235">
        <f t="shared" si="402"/>
        <v>0</v>
      </c>
      <c r="AD179" s="235">
        <f t="shared" si="402"/>
        <v>74707.041815999997</v>
      </c>
      <c r="AE179" s="235">
        <f t="shared" si="402"/>
        <v>74707.041815999997</v>
      </c>
      <c r="AF179" s="235">
        <f t="shared" si="402"/>
        <v>166816.03690400001</v>
      </c>
      <c r="AG179" s="168">
        <f t="shared" si="336"/>
        <v>0.37142857142857139</v>
      </c>
      <c r="AH179" s="137"/>
      <c r="AI179" s="184">
        <v>0</v>
      </c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308">
        <f>SUM(BA172:BA178)/COUNT(BA172:BA178)</f>
        <v>0.37142857142857139</v>
      </c>
      <c r="BB179" s="137"/>
      <c r="BC179" s="308">
        <f t="shared" ref="BC179:BJ179" si="403">SUM(BC172:BC178)/COUNT(BC172:BC178)</f>
        <v>0</v>
      </c>
      <c r="BD179" s="308">
        <f>SUM(BD172:BD178)/COUNT(BD172:BD178)</f>
        <v>0</v>
      </c>
      <c r="BE179" s="308">
        <f t="shared" si="403"/>
        <v>0</v>
      </c>
      <c r="BF179" s="308">
        <f t="shared" si="403"/>
        <v>0</v>
      </c>
      <c r="BG179" s="308">
        <f t="shared" si="403"/>
        <v>0</v>
      </c>
      <c r="BH179" s="308">
        <f t="shared" si="403"/>
        <v>0</v>
      </c>
      <c r="BI179" s="308">
        <f t="shared" si="403"/>
        <v>0</v>
      </c>
      <c r="BJ179" s="308">
        <f t="shared" si="403"/>
        <v>0</v>
      </c>
      <c r="BK179" s="137"/>
      <c r="BL179" s="137"/>
      <c r="BM179" s="137"/>
      <c r="BN179" s="137"/>
      <c r="BO179" s="137"/>
      <c r="BP179" s="137"/>
      <c r="BQ179" s="137"/>
      <c r="BR179" s="137"/>
      <c r="BS179" s="137"/>
      <c r="BT179" s="137"/>
      <c r="BU179" s="137"/>
    </row>
    <row r="180" spans="1:73" ht="12.75" customHeight="1" x14ac:dyDescent="0.25">
      <c r="A180" s="200"/>
      <c r="B180" s="339" t="s">
        <v>327</v>
      </c>
      <c r="C180" s="340"/>
      <c r="D180" s="203"/>
      <c r="E180" s="203"/>
      <c r="F180" s="203"/>
      <c r="G180" s="203"/>
      <c r="H180" s="203"/>
      <c r="I180" s="203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310"/>
      <c r="Z180" s="311"/>
      <c r="AA180" s="311"/>
      <c r="AB180" s="167"/>
      <c r="AC180" s="167"/>
      <c r="AD180" s="167"/>
      <c r="AE180" s="167"/>
      <c r="AF180" s="167"/>
      <c r="AG180" s="168">
        <f t="shared" si="336"/>
        <v>0</v>
      </c>
      <c r="AH180" s="137"/>
      <c r="AI180" s="311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  <c r="BM180" s="137"/>
      <c r="BN180" s="137"/>
      <c r="BO180" s="137"/>
      <c r="BP180" s="137"/>
      <c r="BQ180" s="137"/>
      <c r="BR180" s="137"/>
      <c r="BS180" s="137"/>
      <c r="BT180" s="137"/>
      <c r="BU180" s="137"/>
    </row>
    <row r="181" spans="1:73" ht="12.75" customHeight="1" x14ac:dyDescent="0.25">
      <c r="A181" s="200"/>
      <c r="B181" s="291" t="s">
        <v>267</v>
      </c>
      <c r="C181" s="340">
        <v>33.6</v>
      </c>
      <c r="D181" s="203">
        <f t="shared" ref="D181:D186" si="404">C181*$L$23</f>
        <v>36.960000000000008</v>
      </c>
      <c r="E181" s="203" t="s">
        <v>6</v>
      </c>
      <c r="F181" s="203">
        <f>'Material and Labor Cost'!$D$21</f>
        <v>576</v>
      </c>
      <c r="G181" s="203">
        <f>'Material and Labor Cost'!$F$21</f>
        <v>300</v>
      </c>
      <c r="H181" s="203">
        <f t="shared" ref="H181:H186" si="405">SUM(F181:G181)</f>
        <v>876</v>
      </c>
      <c r="I181" s="203">
        <f t="shared" ref="I181:I186" si="406">H181*D181</f>
        <v>32376.960000000006</v>
      </c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310">
        <f t="shared" ref="Y181:Y187" si="407">SUM(AI181:AP181)</f>
        <v>0</v>
      </c>
      <c r="Z181" s="311">
        <f t="shared" ref="Z181:Z187" si="408">D181*AG181</f>
        <v>36.960000000000008</v>
      </c>
      <c r="AA181" s="311">
        <f t="shared" ref="AA181:AA187" si="409">SUM(Y181:Z181)</f>
        <v>36.960000000000008</v>
      </c>
      <c r="AB181" s="167">
        <f t="shared" ref="AB181:AB187" si="410">D181-AA181</f>
        <v>0</v>
      </c>
      <c r="AC181" s="167">
        <f t="shared" ref="AC181:AC187" si="411">SUM(AR180:AY180)</f>
        <v>0</v>
      </c>
      <c r="AD181" s="167">
        <f t="shared" ref="AD181:AD187" si="412">AG181*I181</f>
        <v>32376.960000000006</v>
      </c>
      <c r="AE181" s="167">
        <f t="shared" ref="AE181:AE187" si="413">SUM(AC181:AD181)</f>
        <v>32376.960000000006</v>
      </c>
      <c r="AF181" s="167">
        <f t="shared" ref="AF181:AF187" si="414">I181-AE181</f>
        <v>0</v>
      </c>
      <c r="AG181" s="168">
        <f t="shared" si="336"/>
        <v>1</v>
      </c>
      <c r="AH181" s="137"/>
      <c r="AI181" s="311">
        <v>0</v>
      </c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68">
        <v>1</v>
      </c>
      <c r="BB181" s="137"/>
      <c r="BC181" s="168">
        <f t="shared" ref="BC181:BJ181" si="415">SUM(BS180:BZ180)</f>
        <v>0</v>
      </c>
      <c r="BD181" s="168">
        <f t="shared" ref="BD181:BD187" si="416">SUM(BN180:BT180)</f>
        <v>0</v>
      </c>
      <c r="BE181" s="168">
        <f t="shared" si="415"/>
        <v>0</v>
      </c>
      <c r="BF181" s="168">
        <f t="shared" si="415"/>
        <v>0</v>
      </c>
      <c r="BG181" s="168">
        <f t="shared" si="415"/>
        <v>0</v>
      </c>
      <c r="BH181" s="168">
        <f t="shared" si="415"/>
        <v>0</v>
      </c>
      <c r="BI181" s="168">
        <f t="shared" si="415"/>
        <v>0</v>
      </c>
      <c r="BJ181" s="168">
        <f t="shared" si="415"/>
        <v>0</v>
      </c>
      <c r="BK181" s="137"/>
      <c r="BL181" s="137"/>
      <c r="BM181" s="137"/>
      <c r="BN181" s="137"/>
      <c r="BO181" s="137"/>
      <c r="BP181" s="137"/>
      <c r="BQ181" s="137"/>
      <c r="BR181" s="137"/>
      <c r="BS181" s="137"/>
      <c r="BT181" s="137"/>
      <c r="BU181" s="137"/>
    </row>
    <row r="182" spans="1:73" ht="12.75" customHeight="1" x14ac:dyDescent="0.25">
      <c r="A182" s="200"/>
      <c r="B182" s="291" t="s">
        <v>269</v>
      </c>
      <c r="C182" s="340">
        <v>5.8</v>
      </c>
      <c r="D182" s="203">
        <f t="shared" si="404"/>
        <v>6.38</v>
      </c>
      <c r="E182" s="203" t="s">
        <v>6</v>
      </c>
      <c r="F182" s="203">
        <f>'Material and Labor Cost'!$D$23</f>
        <v>330</v>
      </c>
      <c r="G182" s="203">
        <f>'Material and Labor Cost'!$F$23</f>
        <v>165</v>
      </c>
      <c r="H182" s="203">
        <f t="shared" si="405"/>
        <v>495</v>
      </c>
      <c r="I182" s="203">
        <f t="shared" si="406"/>
        <v>3158.1</v>
      </c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310">
        <f t="shared" si="407"/>
        <v>0</v>
      </c>
      <c r="Z182" s="311">
        <f t="shared" si="408"/>
        <v>6.38</v>
      </c>
      <c r="AA182" s="311">
        <f t="shared" si="409"/>
        <v>6.38</v>
      </c>
      <c r="AB182" s="167">
        <f t="shared" si="410"/>
        <v>0</v>
      </c>
      <c r="AC182" s="167">
        <f t="shared" si="411"/>
        <v>0</v>
      </c>
      <c r="AD182" s="167">
        <f t="shared" si="412"/>
        <v>3158.1</v>
      </c>
      <c r="AE182" s="167">
        <f t="shared" si="413"/>
        <v>3158.1</v>
      </c>
      <c r="AF182" s="167">
        <f t="shared" si="414"/>
        <v>0</v>
      </c>
      <c r="AG182" s="168">
        <f t="shared" si="336"/>
        <v>1</v>
      </c>
      <c r="AH182" s="137"/>
      <c r="AI182" s="311">
        <v>0</v>
      </c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68">
        <v>1</v>
      </c>
      <c r="BB182" s="137"/>
      <c r="BC182" s="168">
        <f t="shared" ref="BC182:BJ182" si="417">SUM(BS181:BZ181)</f>
        <v>0</v>
      </c>
      <c r="BD182" s="168">
        <f t="shared" si="416"/>
        <v>0</v>
      </c>
      <c r="BE182" s="168">
        <f t="shared" si="417"/>
        <v>0</v>
      </c>
      <c r="BF182" s="168">
        <f t="shared" si="417"/>
        <v>0</v>
      </c>
      <c r="BG182" s="168">
        <f t="shared" si="417"/>
        <v>0</v>
      </c>
      <c r="BH182" s="168">
        <f t="shared" si="417"/>
        <v>0</v>
      </c>
      <c r="BI182" s="168">
        <f t="shared" si="417"/>
        <v>0</v>
      </c>
      <c r="BJ182" s="168">
        <f t="shared" si="417"/>
        <v>0</v>
      </c>
      <c r="BK182" s="137"/>
      <c r="BL182" s="137"/>
      <c r="BM182" s="137"/>
      <c r="BN182" s="137"/>
      <c r="BO182" s="137"/>
      <c r="BP182" s="137"/>
      <c r="BQ182" s="137"/>
      <c r="BR182" s="137"/>
      <c r="BS182" s="137"/>
      <c r="BT182" s="137"/>
      <c r="BU182" s="137"/>
    </row>
    <row r="183" spans="1:73" ht="12.75" customHeight="1" x14ac:dyDescent="0.25">
      <c r="A183" s="200"/>
      <c r="B183" s="200" t="s">
        <v>270</v>
      </c>
      <c r="C183" s="340">
        <v>4.2</v>
      </c>
      <c r="D183" s="203">
        <f t="shared" si="404"/>
        <v>4.620000000000001</v>
      </c>
      <c r="E183" s="203" t="s">
        <v>114</v>
      </c>
      <c r="F183" s="203">
        <f>'Material and Labor Cost'!$D$24</f>
        <v>220.00000000000003</v>
      </c>
      <c r="G183" s="203">
        <f>'Material and Labor Cost'!$F$24</f>
        <v>110.00000000000001</v>
      </c>
      <c r="H183" s="203">
        <f t="shared" si="405"/>
        <v>330.00000000000006</v>
      </c>
      <c r="I183" s="203">
        <f t="shared" si="406"/>
        <v>1524.6000000000006</v>
      </c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310">
        <f t="shared" si="407"/>
        <v>0</v>
      </c>
      <c r="Z183" s="311">
        <f t="shared" si="408"/>
        <v>0</v>
      </c>
      <c r="AA183" s="311">
        <f t="shared" si="409"/>
        <v>0</v>
      </c>
      <c r="AB183" s="167">
        <f t="shared" si="410"/>
        <v>4.620000000000001</v>
      </c>
      <c r="AC183" s="167">
        <f t="shared" si="411"/>
        <v>0</v>
      </c>
      <c r="AD183" s="167">
        <f t="shared" si="412"/>
        <v>0</v>
      </c>
      <c r="AE183" s="167">
        <f t="shared" si="413"/>
        <v>0</v>
      </c>
      <c r="AF183" s="167">
        <f t="shared" si="414"/>
        <v>1524.6000000000006</v>
      </c>
      <c r="AG183" s="168">
        <f t="shared" si="336"/>
        <v>0</v>
      </c>
      <c r="AH183" s="137"/>
      <c r="AI183" s="311">
        <v>0</v>
      </c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68">
        <f t="shared" ref="BA183:BA185" si="418">SUM(BK182:BQ182)</f>
        <v>0</v>
      </c>
      <c r="BB183" s="137"/>
      <c r="BC183" s="168">
        <f t="shared" ref="BC183:BJ183" si="419">SUM(BS182:BZ182)</f>
        <v>0</v>
      </c>
      <c r="BD183" s="168">
        <f t="shared" si="416"/>
        <v>0</v>
      </c>
      <c r="BE183" s="168">
        <f t="shared" si="419"/>
        <v>0</v>
      </c>
      <c r="BF183" s="168">
        <f t="shared" si="419"/>
        <v>0</v>
      </c>
      <c r="BG183" s="168">
        <f t="shared" si="419"/>
        <v>0</v>
      </c>
      <c r="BH183" s="168">
        <f t="shared" si="419"/>
        <v>0</v>
      </c>
      <c r="BI183" s="168">
        <f t="shared" si="419"/>
        <v>0</v>
      </c>
      <c r="BJ183" s="168">
        <f t="shared" si="419"/>
        <v>0</v>
      </c>
      <c r="BK183" s="137"/>
      <c r="BL183" s="137"/>
      <c r="BM183" s="137"/>
      <c r="BN183" s="137"/>
      <c r="BO183" s="137"/>
      <c r="BP183" s="137"/>
      <c r="BQ183" s="137"/>
      <c r="BR183" s="137"/>
      <c r="BS183" s="137"/>
      <c r="BT183" s="137"/>
      <c r="BU183" s="137"/>
    </row>
    <row r="184" spans="1:73" ht="12.75" customHeight="1" x14ac:dyDescent="0.25">
      <c r="A184" s="200"/>
      <c r="B184" s="200" t="s">
        <v>300</v>
      </c>
      <c r="C184" s="340">
        <v>1.3</v>
      </c>
      <c r="D184" s="203">
        <f t="shared" si="404"/>
        <v>1.4300000000000002</v>
      </c>
      <c r="E184" s="203" t="s">
        <v>6</v>
      </c>
      <c r="F184" s="203">
        <f>'Material and Labor Cost'!$D$34</f>
        <v>1265</v>
      </c>
      <c r="G184" s="203">
        <f>'Material and Labor Cost'!$F$34</f>
        <v>640</v>
      </c>
      <c r="H184" s="203">
        <f t="shared" si="405"/>
        <v>1905</v>
      </c>
      <c r="I184" s="203">
        <f t="shared" si="406"/>
        <v>2724.15</v>
      </c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310">
        <f t="shared" si="407"/>
        <v>0</v>
      </c>
      <c r="Z184" s="311">
        <f t="shared" si="408"/>
        <v>0</v>
      </c>
      <c r="AA184" s="311">
        <f t="shared" si="409"/>
        <v>0</v>
      </c>
      <c r="AB184" s="167">
        <f t="shared" si="410"/>
        <v>1.4300000000000002</v>
      </c>
      <c r="AC184" s="167">
        <f t="shared" si="411"/>
        <v>0</v>
      </c>
      <c r="AD184" s="167">
        <f t="shared" si="412"/>
        <v>0</v>
      </c>
      <c r="AE184" s="167">
        <f t="shared" si="413"/>
        <v>0</v>
      </c>
      <c r="AF184" s="167">
        <f t="shared" si="414"/>
        <v>2724.15</v>
      </c>
      <c r="AG184" s="168">
        <f t="shared" si="336"/>
        <v>0</v>
      </c>
      <c r="AH184" s="137"/>
      <c r="AI184" s="311">
        <v>0</v>
      </c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68">
        <f t="shared" si="418"/>
        <v>0</v>
      </c>
      <c r="BB184" s="137"/>
      <c r="BC184" s="168">
        <f t="shared" ref="BC184:BJ184" si="420">SUM(BS183:BZ183)</f>
        <v>0</v>
      </c>
      <c r="BD184" s="168">
        <f t="shared" si="416"/>
        <v>0</v>
      </c>
      <c r="BE184" s="168">
        <f t="shared" si="420"/>
        <v>0</v>
      </c>
      <c r="BF184" s="168">
        <f t="shared" si="420"/>
        <v>0</v>
      </c>
      <c r="BG184" s="168">
        <f t="shared" si="420"/>
        <v>0</v>
      </c>
      <c r="BH184" s="168">
        <f t="shared" si="420"/>
        <v>0</v>
      </c>
      <c r="BI184" s="168">
        <f t="shared" si="420"/>
        <v>0</v>
      </c>
      <c r="BJ184" s="168">
        <f t="shared" si="420"/>
        <v>0</v>
      </c>
      <c r="BK184" s="137"/>
      <c r="BL184" s="137"/>
      <c r="BM184" s="137"/>
      <c r="BN184" s="137"/>
      <c r="BO184" s="137"/>
      <c r="BP184" s="137"/>
      <c r="BQ184" s="137"/>
      <c r="BR184" s="137"/>
      <c r="BS184" s="137"/>
      <c r="BT184" s="137"/>
      <c r="BU184" s="137"/>
    </row>
    <row r="185" spans="1:73" ht="12.75" customHeight="1" x14ac:dyDescent="0.25">
      <c r="A185" s="200"/>
      <c r="B185" s="204" t="s">
        <v>325</v>
      </c>
      <c r="C185" s="340">
        <v>3.6</v>
      </c>
      <c r="D185" s="203">
        <f t="shared" si="404"/>
        <v>3.9600000000000004</v>
      </c>
      <c r="E185" s="203" t="s">
        <v>6</v>
      </c>
      <c r="F185" s="203">
        <f>'Material and Labor Cost'!$D$37</f>
        <v>6600.0000000000009</v>
      </c>
      <c r="G185" s="203">
        <f>'Material and Labor Cost'!$F$37</f>
        <v>3300.0000000000005</v>
      </c>
      <c r="H185" s="203">
        <f t="shared" si="405"/>
        <v>9900.0000000000018</v>
      </c>
      <c r="I185" s="203">
        <f t="shared" si="406"/>
        <v>39204.000000000015</v>
      </c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310">
        <f t="shared" si="407"/>
        <v>0</v>
      </c>
      <c r="Z185" s="311">
        <f t="shared" si="408"/>
        <v>0</v>
      </c>
      <c r="AA185" s="311">
        <f t="shared" si="409"/>
        <v>0</v>
      </c>
      <c r="AB185" s="167">
        <f t="shared" si="410"/>
        <v>3.9600000000000004</v>
      </c>
      <c r="AC185" s="167">
        <f t="shared" si="411"/>
        <v>0</v>
      </c>
      <c r="AD185" s="167">
        <f t="shared" si="412"/>
        <v>0</v>
      </c>
      <c r="AE185" s="167">
        <f t="shared" si="413"/>
        <v>0</v>
      </c>
      <c r="AF185" s="167">
        <f t="shared" si="414"/>
        <v>39204.000000000015</v>
      </c>
      <c r="AG185" s="168">
        <f t="shared" si="336"/>
        <v>0</v>
      </c>
      <c r="AH185" s="137"/>
      <c r="AI185" s="311">
        <v>0</v>
      </c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68">
        <f t="shared" si="418"/>
        <v>0</v>
      </c>
      <c r="BB185" s="137"/>
      <c r="BC185" s="168">
        <f t="shared" ref="BC185:BJ185" si="421">SUM(BS184:BZ184)</f>
        <v>0</v>
      </c>
      <c r="BD185" s="168">
        <f t="shared" si="416"/>
        <v>0</v>
      </c>
      <c r="BE185" s="168">
        <f t="shared" si="421"/>
        <v>0</v>
      </c>
      <c r="BF185" s="168">
        <f t="shared" si="421"/>
        <v>0</v>
      </c>
      <c r="BG185" s="168">
        <f t="shared" si="421"/>
        <v>0</v>
      </c>
      <c r="BH185" s="168">
        <f t="shared" si="421"/>
        <v>0</v>
      </c>
      <c r="BI185" s="168">
        <f t="shared" si="421"/>
        <v>0</v>
      </c>
      <c r="BJ185" s="168">
        <f t="shared" si="421"/>
        <v>0</v>
      </c>
      <c r="BK185" s="137"/>
      <c r="BL185" s="137"/>
      <c r="BM185" s="137"/>
      <c r="BN185" s="137"/>
      <c r="BO185" s="137"/>
      <c r="BP185" s="137"/>
      <c r="BQ185" s="137"/>
      <c r="BR185" s="137"/>
      <c r="BS185" s="137"/>
      <c r="BT185" s="137"/>
      <c r="BU185" s="137"/>
    </row>
    <row r="186" spans="1:73" ht="12.75" customHeight="1" x14ac:dyDescent="0.25">
      <c r="A186" s="200"/>
      <c r="B186" s="200" t="s">
        <v>275</v>
      </c>
      <c r="C186" s="340">
        <f>C182+C181</f>
        <v>39.4</v>
      </c>
      <c r="D186" s="203">
        <f t="shared" si="404"/>
        <v>43.34</v>
      </c>
      <c r="E186" s="203" t="s">
        <v>6</v>
      </c>
      <c r="F186" s="203">
        <f>'Material and Labor Cost'!$D$25</f>
        <v>555</v>
      </c>
      <c r="G186" s="203">
        <f>'Material and Labor Cost'!$F$25</f>
        <v>275</v>
      </c>
      <c r="H186" s="203">
        <f t="shared" si="405"/>
        <v>830</v>
      </c>
      <c r="I186" s="203">
        <f t="shared" si="406"/>
        <v>35972.200000000004</v>
      </c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310">
        <f t="shared" si="407"/>
        <v>0</v>
      </c>
      <c r="Z186" s="311">
        <f t="shared" si="408"/>
        <v>17.336000000000002</v>
      </c>
      <c r="AA186" s="311">
        <f t="shared" si="409"/>
        <v>17.336000000000002</v>
      </c>
      <c r="AB186" s="167">
        <f t="shared" si="410"/>
        <v>26.004000000000001</v>
      </c>
      <c r="AC186" s="167">
        <f t="shared" si="411"/>
        <v>0</v>
      </c>
      <c r="AD186" s="167">
        <f t="shared" si="412"/>
        <v>14388.880000000003</v>
      </c>
      <c r="AE186" s="167">
        <f t="shared" si="413"/>
        <v>14388.880000000003</v>
      </c>
      <c r="AF186" s="167">
        <f t="shared" si="414"/>
        <v>21583.32</v>
      </c>
      <c r="AG186" s="168">
        <f t="shared" si="336"/>
        <v>0.4</v>
      </c>
      <c r="AH186" s="137"/>
      <c r="AI186" s="311">
        <v>0</v>
      </c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68">
        <v>0.4</v>
      </c>
      <c r="BB186" s="137"/>
      <c r="BC186" s="168">
        <f t="shared" ref="BC186:BJ186" si="422">SUM(BS185:BZ185)</f>
        <v>0</v>
      </c>
      <c r="BD186" s="168">
        <f t="shared" si="416"/>
        <v>0</v>
      </c>
      <c r="BE186" s="168">
        <f t="shared" si="422"/>
        <v>0</v>
      </c>
      <c r="BF186" s="168">
        <f t="shared" si="422"/>
        <v>0</v>
      </c>
      <c r="BG186" s="168">
        <f t="shared" si="422"/>
        <v>0</v>
      </c>
      <c r="BH186" s="168">
        <f t="shared" si="422"/>
        <v>0</v>
      </c>
      <c r="BI186" s="168">
        <f t="shared" si="422"/>
        <v>0</v>
      </c>
      <c r="BJ186" s="168">
        <f t="shared" si="422"/>
        <v>0</v>
      </c>
      <c r="BK186" s="137"/>
      <c r="BL186" s="137"/>
      <c r="BM186" s="137"/>
      <c r="BN186" s="137"/>
      <c r="BO186" s="137"/>
      <c r="BP186" s="137"/>
      <c r="BQ186" s="137"/>
      <c r="BR186" s="137"/>
      <c r="BS186" s="137"/>
      <c r="BT186" s="137"/>
      <c r="BU186" s="137"/>
    </row>
    <row r="187" spans="1:73" ht="12.75" customHeight="1" x14ac:dyDescent="0.25">
      <c r="A187" s="200"/>
      <c r="B187" s="204" t="s">
        <v>272</v>
      </c>
      <c r="C187" s="340"/>
      <c r="D187" s="203">
        <v>1</v>
      </c>
      <c r="E187" s="203" t="s">
        <v>94</v>
      </c>
      <c r="F187" s="203"/>
      <c r="G187" s="203"/>
      <c r="H187" s="203"/>
      <c r="I187" s="203">
        <f>SUM(I181:I186)*$L$27</f>
        <v>13795.201200000005</v>
      </c>
      <c r="J187" s="137"/>
      <c r="K187" s="137"/>
      <c r="L187" s="137"/>
      <c r="M187" s="137"/>
      <c r="N187" s="137">
        <v>10</v>
      </c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310">
        <f t="shared" si="407"/>
        <v>0</v>
      </c>
      <c r="Z187" s="311">
        <f t="shared" si="408"/>
        <v>0.6</v>
      </c>
      <c r="AA187" s="311">
        <f t="shared" si="409"/>
        <v>0.6</v>
      </c>
      <c r="AB187" s="167">
        <f t="shared" si="410"/>
        <v>0.4</v>
      </c>
      <c r="AC187" s="167">
        <f t="shared" si="411"/>
        <v>0</v>
      </c>
      <c r="AD187" s="167">
        <f t="shared" si="412"/>
        <v>8277.1207200000026</v>
      </c>
      <c r="AE187" s="167">
        <f t="shared" si="413"/>
        <v>8277.1207200000026</v>
      </c>
      <c r="AF187" s="167">
        <f t="shared" si="414"/>
        <v>5518.0804800000024</v>
      </c>
      <c r="AG187" s="168">
        <f t="shared" si="336"/>
        <v>0.6</v>
      </c>
      <c r="AH187" s="137"/>
      <c r="AI187" s="311">
        <v>0</v>
      </c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68">
        <v>0.6</v>
      </c>
      <c r="BB187" s="137"/>
      <c r="BC187" s="168">
        <f t="shared" ref="BC187:BJ187" si="423">SUM(BS186:BZ186)</f>
        <v>0</v>
      </c>
      <c r="BD187" s="168">
        <f t="shared" si="416"/>
        <v>0</v>
      </c>
      <c r="BE187" s="168">
        <f t="shared" si="423"/>
        <v>0</v>
      </c>
      <c r="BF187" s="168">
        <f t="shared" si="423"/>
        <v>0</v>
      </c>
      <c r="BG187" s="168">
        <f t="shared" si="423"/>
        <v>0</v>
      </c>
      <c r="BH187" s="168">
        <f t="shared" si="423"/>
        <v>0</v>
      </c>
      <c r="BI187" s="168">
        <f t="shared" si="423"/>
        <v>0</v>
      </c>
      <c r="BJ187" s="168">
        <f t="shared" si="423"/>
        <v>0</v>
      </c>
      <c r="BK187" s="137"/>
      <c r="BL187" s="137"/>
      <c r="BM187" s="137"/>
      <c r="BN187" s="137"/>
      <c r="BO187" s="137"/>
      <c r="BP187" s="137"/>
      <c r="BQ187" s="137"/>
      <c r="BR187" s="137"/>
      <c r="BS187" s="137"/>
      <c r="BT187" s="137"/>
      <c r="BU187" s="137"/>
    </row>
    <row r="188" spans="1:73" ht="12.75" customHeight="1" x14ac:dyDescent="0.25">
      <c r="A188" s="228"/>
      <c r="B188" s="510" t="s">
        <v>328</v>
      </c>
      <c r="C188" s="501"/>
      <c r="D188" s="501"/>
      <c r="E188" s="501"/>
      <c r="F188" s="501"/>
      <c r="G188" s="501"/>
      <c r="H188" s="502"/>
      <c r="I188" s="229">
        <f>SUM(I181:I187)</f>
        <v>128755.21120000005</v>
      </c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307">
        <f t="shared" ref="Y188:AF188" si="424">SUM(Y181:Y187)</f>
        <v>0</v>
      </c>
      <c r="Z188" s="184">
        <f t="shared" si="424"/>
        <v>61.276000000000018</v>
      </c>
      <c r="AA188" s="184">
        <f t="shared" si="424"/>
        <v>61.276000000000018</v>
      </c>
      <c r="AB188" s="235">
        <f t="shared" si="424"/>
        <v>36.414000000000001</v>
      </c>
      <c r="AC188" s="235">
        <f t="shared" si="424"/>
        <v>0</v>
      </c>
      <c r="AD188" s="235">
        <f t="shared" si="424"/>
        <v>58201.060720000009</v>
      </c>
      <c r="AE188" s="235">
        <f t="shared" si="424"/>
        <v>58201.060720000009</v>
      </c>
      <c r="AF188" s="235">
        <f t="shared" si="424"/>
        <v>70554.150480000011</v>
      </c>
      <c r="AG188" s="168">
        <f t="shared" si="336"/>
        <v>0.42857142857142855</v>
      </c>
      <c r="AH188" s="137"/>
      <c r="AI188" s="184">
        <v>0</v>
      </c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308">
        <f>SUM(BA181:BA187)/COUNT(BA181:BA187)</f>
        <v>0.42857142857142855</v>
      </c>
      <c r="BB188" s="137"/>
      <c r="BC188" s="308">
        <f t="shared" ref="BC188:BJ188" si="425">SUM(BC181:BC187)/COUNT(BC181:BC187)</f>
        <v>0</v>
      </c>
      <c r="BD188" s="308">
        <f>SUM(BD181:BD187)/COUNT(BD181:BD187)</f>
        <v>0</v>
      </c>
      <c r="BE188" s="308">
        <f t="shared" si="425"/>
        <v>0</v>
      </c>
      <c r="BF188" s="308">
        <f t="shared" si="425"/>
        <v>0</v>
      </c>
      <c r="BG188" s="308">
        <f t="shared" si="425"/>
        <v>0</v>
      </c>
      <c r="BH188" s="308">
        <f t="shared" si="425"/>
        <v>0</v>
      </c>
      <c r="BI188" s="308">
        <f t="shared" si="425"/>
        <v>0</v>
      </c>
      <c r="BJ188" s="308">
        <f t="shared" si="425"/>
        <v>0</v>
      </c>
      <c r="BK188" s="137"/>
      <c r="BL188" s="137"/>
      <c r="BM188" s="137"/>
      <c r="BN188" s="137"/>
      <c r="BO188" s="137"/>
      <c r="BP188" s="137"/>
      <c r="BQ188" s="137"/>
      <c r="BR188" s="137"/>
      <c r="BS188" s="137"/>
      <c r="BT188" s="137"/>
      <c r="BU188" s="137"/>
    </row>
    <row r="189" spans="1:73" ht="12.75" customHeight="1" x14ac:dyDescent="0.25">
      <c r="A189" s="200"/>
      <c r="B189" s="339" t="s">
        <v>329</v>
      </c>
      <c r="C189" s="340"/>
      <c r="D189" s="203"/>
      <c r="E189" s="203"/>
      <c r="F189" s="203"/>
      <c r="G189" s="203"/>
      <c r="H189" s="203"/>
      <c r="I189" s="203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310"/>
      <c r="Z189" s="311"/>
      <c r="AA189" s="311"/>
      <c r="AB189" s="167"/>
      <c r="AC189" s="167"/>
      <c r="AD189" s="167"/>
      <c r="AE189" s="167"/>
      <c r="AF189" s="167"/>
      <c r="AG189" s="168">
        <f t="shared" si="336"/>
        <v>0</v>
      </c>
      <c r="AH189" s="137"/>
      <c r="AI189" s="311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7"/>
      <c r="BH189" s="137"/>
      <c r="BI189" s="137"/>
      <c r="BJ189" s="137"/>
      <c r="BK189" s="137"/>
      <c r="BL189" s="137"/>
      <c r="BM189" s="137"/>
      <c r="BN189" s="137"/>
      <c r="BO189" s="137"/>
      <c r="BP189" s="137"/>
      <c r="BQ189" s="137"/>
      <c r="BR189" s="137"/>
      <c r="BS189" s="137"/>
      <c r="BT189" s="137"/>
      <c r="BU189" s="137"/>
    </row>
    <row r="190" spans="1:73" ht="12.75" customHeight="1" x14ac:dyDescent="0.25">
      <c r="A190" s="200"/>
      <c r="B190" s="291" t="s">
        <v>267</v>
      </c>
      <c r="C190" s="340">
        <v>31</v>
      </c>
      <c r="D190" s="203">
        <f t="shared" ref="D190:D195" si="426">C190*$L$23</f>
        <v>34.1</v>
      </c>
      <c r="E190" s="203" t="s">
        <v>6</v>
      </c>
      <c r="F190" s="203">
        <f>'Material and Labor Cost'!$D$21</f>
        <v>576</v>
      </c>
      <c r="G190" s="203">
        <f>'Material and Labor Cost'!$F$21</f>
        <v>300</v>
      </c>
      <c r="H190" s="203">
        <f t="shared" ref="H190:H195" si="427">SUM(F190:G190)</f>
        <v>876</v>
      </c>
      <c r="I190" s="203">
        <f t="shared" ref="I190:I195" si="428">H190*D190</f>
        <v>29871.600000000002</v>
      </c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310">
        <f t="shared" ref="Y190:Y196" si="429">SUM(AI190:AP190)</f>
        <v>0</v>
      </c>
      <c r="Z190" s="311">
        <f t="shared" ref="Z190:Z196" si="430">D190*AG190</f>
        <v>34.1</v>
      </c>
      <c r="AA190" s="311">
        <f t="shared" ref="AA190:AA196" si="431">SUM(Y190:Z190)</f>
        <v>34.1</v>
      </c>
      <c r="AB190" s="167">
        <f t="shared" ref="AB190:AB196" si="432">D190-AA190</f>
        <v>0</v>
      </c>
      <c r="AC190" s="167">
        <f t="shared" ref="AC190:AC196" si="433">SUM(AR189:AY189)</f>
        <v>0</v>
      </c>
      <c r="AD190" s="167">
        <f t="shared" ref="AD190:AD196" si="434">AG190*I190</f>
        <v>29871.600000000002</v>
      </c>
      <c r="AE190" s="167">
        <f t="shared" ref="AE190:AE196" si="435">SUM(AC190:AD190)</f>
        <v>29871.600000000002</v>
      </c>
      <c r="AF190" s="167">
        <f t="shared" ref="AF190:AF196" si="436">I190-AE190</f>
        <v>0</v>
      </c>
      <c r="AG190" s="168">
        <f t="shared" si="336"/>
        <v>1</v>
      </c>
      <c r="AH190" s="137"/>
      <c r="AI190" s="311">
        <v>0</v>
      </c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68">
        <v>1</v>
      </c>
      <c r="BB190" s="137"/>
      <c r="BC190" s="168">
        <f t="shared" ref="BC190:BJ190" si="437">SUM(BS189:BZ189)</f>
        <v>0</v>
      </c>
      <c r="BD190" s="168">
        <f t="shared" ref="BD190:BD196" si="438">SUM(BN189:BT189)</f>
        <v>0</v>
      </c>
      <c r="BE190" s="168">
        <f t="shared" si="437"/>
        <v>0</v>
      </c>
      <c r="BF190" s="168">
        <f t="shared" si="437"/>
        <v>0</v>
      </c>
      <c r="BG190" s="168">
        <f t="shared" si="437"/>
        <v>0</v>
      </c>
      <c r="BH190" s="168">
        <f t="shared" si="437"/>
        <v>0</v>
      </c>
      <c r="BI190" s="168">
        <f t="shared" si="437"/>
        <v>0</v>
      </c>
      <c r="BJ190" s="168">
        <f t="shared" si="437"/>
        <v>0</v>
      </c>
      <c r="BK190" s="137"/>
      <c r="BL190" s="137"/>
      <c r="BM190" s="137"/>
      <c r="BN190" s="137"/>
      <c r="BO190" s="137"/>
      <c r="BP190" s="137"/>
      <c r="BQ190" s="137"/>
      <c r="BR190" s="137"/>
      <c r="BS190" s="137"/>
      <c r="BT190" s="137"/>
      <c r="BU190" s="137"/>
    </row>
    <row r="191" spans="1:73" ht="12.75" customHeight="1" x14ac:dyDescent="0.25">
      <c r="A191" s="200"/>
      <c r="B191" s="291" t="s">
        <v>269</v>
      </c>
      <c r="C191" s="340">
        <v>6</v>
      </c>
      <c r="D191" s="203">
        <f t="shared" si="426"/>
        <v>6.6000000000000005</v>
      </c>
      <c r="E191" s="203" t="s">
        <v>6</v>
      </c>
      <c r="F191" s="203">
        <f>'Material and Labor Cost'!$D$23</f>
        <v>330</v>
      </c>
      <c r="G191" s="203">
        <f>'Material and Labor Cost'!$F$23</f>
        <v>165</v>
      </c>
      <c r="H191" s="203">
        <f t="shared" si="427"/>
        <v>495</v>
      </c>
      <c r="I191" s="203">
        <f t="shared" si="428"/>
        <v>3267.0000000000005</v>
      </c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310">
        <f t="shared" si="429"/>
        <v>0</v>
      </c>
      <c r="Z191" s="311">
        <f t="shared" si="430"/>
        <v>6.6000000000000005</v>
      </c>
      <c r="AA191" s="311">
        <f t="shared" si="431"/>
        <v>6.6000000000000005</v>
      </c>
      <c r="AB191" s="167">
        <f t="shared" si="432"/>
        <v>0</v>
      </c>
      <c r="AC191" s="167">
        <f t="shared" si="433"/>
        <v>0</v>
      </c>
      <c r="AD191" s="167">
        <f t="shared" si="434"/>
        <v>3267.0000000000005</v>
      </c>
      <c r="AE191" s="167">
        <f t="shared" si="435"/>
        <v>3267.0000000000005</v>
      </c>
      <c r="AF191" s="167">
        <f t="shared" si="436"/>
        <v>0</v>
      </c>
      <c r="AG191" s="168">
        <f t="shared" si="336"/>
        <v>1</v>
      </c>
      <c r="AH191" s="137"/>
      <c r="AI191" s="311">
        <v>0</v>
      </c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68">
        <v>1</v>
      </c>
      <c r="BB191" s="137"/>
      <c r="BC191" s="168">
        <f t="shared" ref="BC191:BJ191" si="439">SUM(BS190:BZ190)</f>
        <v>0</v>
      </c>
      <c r="BD191" s="168">
        <f t="shared" si="438"/>
        <v>0</v>
      </c>
      <c r="BE191" s="168">
        <f t="shared" si="439"/>
        <v>0</v>
      </c>
      <c r="BF191" s="168">
        <f t="shared" si="439"/>
        <v>0</v>
      </c>
      <c r="BG191" s="168">
        <f t="shared" si="439"/>
        <v>0</v>
      </c>
      <c r="BH191" s="168">
        <f t="shared" si="439"/>
        <v>0</v>
      </c>
      <c r="BI191" s="168">
        <f t="shared" si="439"/>
        <v>0</v>
      </c>
      <c r="BJ191" s="168">
        <f t="shared" si="439"/>
        <v>0</v>
      </c>
      <c r="BK191" s="137"/>
      <c r="BL191" s="137"/>
      <c r="BM191" s="137"/>
      <c r="BN191" s="137"/>
      <c r="BO191" s="137"/>
      <c r="BP191" s="137"/>
      <c r="BQ191" s="137"/>
      <c r="BR191" s="137"/>
      <c r="BS191" s="137"/>
      <c r="BT191" s="137"/>
      <c r="BU191" s="137"/>
    </row>
    <row r="192" spans="1:73" ht="12.75" customHeight="1" x14ac:dyDescent="0.25">
      <c r="A192" s="200"/>
      <c r="B192" s="200" t="s">
        <v>270</v>
      </c>
      <c r="C192" s="340">
        <v>2</v>
      </c>
      <c r="D192" s="203">
        <f t="shared" si="426"/>
        <v>2.2000000000000002</v>
      </c>
      <c r="E192" s="203" t="s">
        <v>114</v>
      </c>
      <c r="F192" s="203">
        <f>'Material and Labor Cost'!$D$24</f>
        <v>220.00000000000003</v>
      </c>
      <c r="G192" s="203">
        <f>'Material and Labor Cost'!$F$24</f>
        <v>110.00000000000001</v>
      </c>
      <c r="H192" s="203">
        <f t="shared" si="427"/>
        <v>330.00000000000006</v>
      </c>
      <c r="I192" s="203">
        <f t="shared" si="428"/>
        <v>726.00000000000023</v>
      </c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310">
        <f t="shared" si="429"/>
        <v>0</v>
      </c>
      <c r="Z192" s="311">
        <f t="shared" si="430"/>
        <v>0</v>
      </c>
      <c r="AA192" s="311">
        <f t="shared" si="431"/>
        <v>0</v>
      </c>
      <c r="AB192" s="167">
        <f t="shared" si="432"/>
        <v>2.2000000000000002</v>
      </c>
      <c r="AC192" s="167">
        <f t="shared" si="433"/>
        <v>0</v>
      </c>
      <c r="AD192" s="167">
        <f t="shared" si="434"/>
        <v>0</v>
      </c>
      <c r="AE192" s="167">
        <f t="shared" si="435"/>
        <v>0</v>
      </c>
      <c r="AF192" s="167">
        <f t="shared" si="436"/>
        <v>726.00000000000023</v>
      </c>
      <c r="AG192" s="168">
        <f t="shared" si="336"/>
        <v>0</v>
      </c>
      <c r="AH192" s="137"/>
      <c r="AI192" s="311">
        <v>0</v>
      </c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68">
        <f t="shared" ref="BA192:BA194" si="440">SUM(BK191:BQ191)</f>
        <v>0</v>
      </c>
      <c r="BB192" s="137"/>
      <c r="BC192" s="168">
        <f t="shared" ref="BC192:BJ192" si="441">SUM(BS191:BZ191)</f>
        <v>0</v>
      </c>
      <c r="BD192" s="168">
        <f t="shared" si="438"/>
        <v>0</v>
      </c>
      <c r="BE192" s="168">
        <f t="shared" si="441"/>
        <v>0</v>
      </c>
      <c r="BF192" s="168">
        <f t="shared" si="441"/>
        <v>0</v>
      </c>
      <c r="BG192" s="168">
        <f t="shared" si="441"/>
        <v>0</v>
      </c>
      <c r="BH192" s="168">
        <f t="shared" si="441"/>
        <v>0</v>
      </c>
      <c r="BI192" s="168">
        <f t="shared" si="441"/>
        <v>0</v>
      </c>
      <c r="BJ192" s="168">
        <f t="shared" si="441"/>
        <v>0</v>
      </c>
      <c r="BK192" s="137"/>
      <c r="BL192" s="137"/>
      <c r="BM192" s="137"/>
      <c r="BN192" s="137"/>
      <c r="BO192" s="137"/>
      <c r="BP192" s="137"/>
      <c r="BQ192" s="137"/>
      <c r="BR192" s="137"/>
      <c r="BS192" s="137"/>
      <c r="BT192" s="137"/>
      <c r="BU192" s="137"/>
    </row>
    <row r="193" spans="1:73" ht="12.75" customHeight="1" x14ac:dyDescent="0.25">
      <c r="A193" s="200"/>
      <c r="B193" s="200" t="s">
        <v>296</v>
      </c>
      <c r="C193" s="340">
        <v>2</v>
      </c>
      <c r="D193" s="203">
        <f t="shared" si="426"/>
        <v>2.2000000000000002</v>
      </c>
      <c r="E193" s="203" t="s">
        <v>114</v>
      </c>
      <c r="F193" s="203">
        <f>'Material and Labor Cost'!$D$33</f>
        <v>330</v>
      </c>
      <c r="G193" s="203">
        <f>'Material and Labor Cost'!$F$33</f>
        <v>165</v>
      </c>
      <c r="H193" s="203">
        <f t="shared" si="427"/>
        <v>495</v>
      </c>
      <c r="I193" s="203">
        <f t="shared" si="428"/>
        <v>1089</v>
      </c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310">
        <f t="shared" si="429"/>
        <v>0</v>
      </c>
      <c r="Z193" s="311">
        <f t="shared" si="430"/>
        <v>0</v>
      </c>
      <c r="AA193" s="311">
        <f t="shared" si="431"/>
        <v>0</v>
      </c>
      <c r="AB193" s="167">
        <f t="shared" si="432"/>
        <v>2.2000000000000002</v>
      </c>
      <c r="AC193" s="167">
        <f t="shared" si="433"/>
        <v>0</v>
      </c>
      <c r="AD193" s="167">
        <f t="shared" si="434"/>
        <v>0</v>
      </c>
      <c r="AE193" s="167">
        <f t="shared" si="435"/>
        <v>0</v>
      </c>
      <c r="AF193" s="167">
        <f t="shared" si="436"/>
        <v>1089</v>
      </c>
      <c r="AG193" s="168">
        <f t="shared" si="336"/>
        <v>0</v>
      </c>
      <c r="AH193" s="137"/>
      <c r="AI193" s="311">
        <v>0</v>
      </c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68">
        <f t="shared" si="440"/>
        <v>0</v>
      </c>
      <c r="BB193" s="137"/>
      <c r="BC193" s="168">
        <f t="shared" ref="BC193:BJ193" si="442">SUM(BS192:BZ192)</f>
        <v>0</v>
      </c>
      <c r="BD193" s="168">
        <f t="shared" si="438"/>
        <v>0</v>
      </c>
      <c r="BE193" s="168">
        <f t="shared" si="442"/>
        <v>0</v>
      </c>
      <c r="BF193" s="168">
        <f t="shared" si="442"/>
        <v>0</v>
      </c>
      <c r="BG193" s="168">
        <f t="shared" si="442"/>
        <v>0</v>
      </c>
      <c r="BH193" s="168">
        <f t="shared" si="442"/>
        <v>0</v>
      </c>
      <c r="BI193" s="168">
        <f t="shared" si="442"/>
        <v>0</v>
      </c>
      <c r="BJ193" s="168">
        <f t="shared" si="442"/>
        <v>0</v>
      </c>
      <c r="BK193" s="137"/>
      <c r="BL193" s="137"/>
      <c r="BM193" s="137"/>
      <c r="BN193" s="137"/>
      <c r="BO193" s="137"/>
      <c r="BP193" s="137"/>
      <c r="BQ193" s="137"/>
      <c r="BR193" s="137"/>
      <c r="BS193" s="137"/>
      <c r="BT193" s="137"/>
      <c r="BU193" s="137"/>
    </row>
    <row r="194" spans="1:73" ht="12.75" customHeight="1" x14ac:dyDescent="0.25">
      <c r="A194" s="200"/>
      <c r="B194" s="204" t="s">
        <v>325</v>
      </c>
      <c r="C194" s="340">
        <v>3.9</v>
      </c>
      <c r="D194" s="203">
        <f t="shared" si="426"/>
        <v>4.29</v>
      </c>
      <c r="E194" s="203" t="s">
        <v>6</v>
      </c>
      <c r="F194" s="203">
        <f>'Material and Labor Cost'!$D$37</f>
        <v>6600.0000000000009</v>
      </c>
      <c r="G194" s="203">
        <f>'Material and Labor Cost'!$F$37</f>
        <v>3300.0000000000005</v>
      </c>
      <c r="H194" s="203">
        <f t="shared" si="427"/>
        <v>9900.0000000000018</v>
      </c>
      <c r="I194" s="203">
        <f t="shared" si="428"/>
        <v>42471.000000000007</v>
      </c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310">
        <f t="shared" si="429"/>
        <v>0</v>
      </c>
      <c r="Z194" s="311">
        <f t="shared" si="430"/>
        <v>0</v>
      </c>
      <c r="AA194" s="311">
        <f t="shared" si="431"/>
        <v>0</v>
      </c>
      <c r="AB194" s="167">
        <f t="shared" si="432"/>
        <v>4.29</v>
      </c>
      <c r="AC194" s="167">
        <f t="shared" si="433"/>
        <v>0</v>
      </c>
      <c r="AD194" s="167">
        <f t="shared" si="434"/>
        <v>0</v>
      </c>
      <c r="AE194" s="167">
        <f t="shared" si="435"/>
        <v>0</v>
      </c>
      <c r="AF194" s="167">
        <f t="shared" si="436"/>
        <v>42471.000000000007</v>
      </c>
      <c r="AG194" s="168">
        <f t="shared" si="336"/>
        <v>0</v>
      </c>
      <c r="AH194" s="137"/>
      <c r="AI194" s="311">
        <v>0</v>
      </c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68">
        <f t="shared" si="440"/>
        <v>0</v>
      </c>
      <c r="BB194" s="137"/>
      <c r="BC194" s="168">
        <f t="shared" ref="BC194:BJ194" si="443">SUM(BS193:BZ193)</f>
        <v>0</v>
      </c>
      <c r="BD194" s="168">
        <f t="shared" si="438"/>
        <v>0</v>
      </c>
      <c r="BE194" s="168">
        <f t="shared" si="443"/>
        <v>0</v>
      </c>
      <c r="BF194" s="168">
        <f t="shared" si="443"/>
        <v>0</v>
      </c>
      <c r="BG194" s="168">
        <f t="shared" si="443"/>
        <v>0</v>
      </c>
      <c r="BH194" s="168">
        <f t="shared" si="443"/>
        <v>0</v>
      </c>
      <c r="BI194" s="168">
        <f t="shared" si="443"/>
        <v>0</v>
      </c>
      <c r="BJ194" s="168">
        <f t="shared" si="443"/>
        <v>0</v>
      </c>
      <c r="BK194" s="137"/>
      <c r="BL194" s="137"/>
      <c r="BM194" s="137"/>
      <c r="BN194" s="137"/>
      <c r="BO194" s="137"/>
      <c r="BP194" s="137"/>
      <c r="BQ194" s="137"/>
      <c r="BR194" s="137"/>
      <c r="BS194" s="137"/>
      <c r="BT194" s="137"/>
      <c r="BU194" s="137"/>
    </row>
    <row r="195" spans="1:73" ht="12.75" customHeight="1" x14ac:dyDescent="0.25">
      <c r="A195" s="200"/>
      <c r="B195" s="200" t="s">
        <v>275</v>
      </c>
      <c r="C195" s="340">
        <f>C191+C190</f>
        <v>37</v>
      </c>
      <c r="D195" s="203">
        <f t="shared" si="426"/>
        <v>40.700000000000003</v>
      </c>
      <c r="E195" s="203" t="s">
        <v>6</v>
      </c>
      <c r="F195" s="203">
        <f>'Material and Labor Cost'!$D$25</f>
        <v>555</v>
      </c>
      <c r="G195" s="203">
        <f>'Material and Labor Cost'!$F$25</f>
        <v>275</v>
      </c>
      <c r="H195" s="203">
        <f t="shared" si="427"/>
        <v>830</v>
      </c>
      <c r="I195" s="203">
        <f t="shared" si="428"/>
        <v>33781</v>
      </c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310">
        <f t="shared" si="429"/>
        <v>0</v>
      </c>
      <c r="Z195" s="311">
        <f t="shared" si="430"/>
        <v>24.42</v>
      </c>
      <c r="AA195" s="311">
        <f t="shared" si="431"/>
        <v>24.42</v>
      </c>
      <c r="AB195" s="167">
        <f t="shared" si="432"/>
        <v>16.28</v>
      </c>
      <c r="AC195" s="167">
        <f t="shared" si="433"/>
        <v>0</v>
      </c>
      <c r="AD195" s="167">
        <f t="shared" si="434"/>
        <v>20268.599999999999</v>
      </c>
      <c r="AE195" s="167">
        <f t="shared" si="435"/>
        <v>20268.599999999999</v>
      </c>
      <c r="AF195" s="167">
        <f t="shared" si="436"/>
        <v>13512.400000000001</v>
      </c>
      <c r="AG195" s="168">
        <f t="shared" si="336"/>
        <v>0.6</v>
      </c>
      <c r="AH195" s="137"/>
      <c r="AI195" s="311">
        <v>0</v>
      </c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68">
        <v>0.6</v>
      </c>
      <c r="BB195" s="137"/>
      <c r="BC195" s="168">
        <f t="shared" ref="BC195:BJ195" si="444">SUM(BS194:BZ194)</f>
        <v>0</v>
      </c>
      <c r="BD195" s="168">
        <f t="shared" si="438"/>
        <v>0</v>
      </c>
      <c r="BE195" s="168">
        <f t="shared" si="444"/>
        <v>0</v>
      </c>
      <c r="BF195" s="168">
        <f t="shared" si="444"/>
        <v>0</v>
      </c>
      <c r="BG195" s="168">
        <f t="shared" si="444"/>
        <v>0</v>
      </c>
      <c r="BH195" s="168">
        <f t="shared" si="444"/>
        <v>0</v>
      </c>
      <c r="BI195" s="168">
        <f t="shared" si="444"/>
        <v>0</v>
      </c>
      <c r="BJ195" s="168">
        <f t="shared" si="444"/>
        <v>0</v>
      </c>
      <c r="BK195" s="137"/>
      <c r="BL195" s="137"/>
      <c r="BM195" s="137"/>
      <c r="BN195" s="137"/>
      <c r="BO195" s="137"/>
      <c r="BP195" s="137"/>
      <c r="BQ195" s="137"/>
      <c r="BR195" s="137"/>
      <c r="BS195" s="137"/>
      <c r="BT195" s="137"/>
      <c r="BU195" s="137"/>
    </row>
    <row r="196" spans="1:73" ht="12.75" customHeight="1" x14ac:dyDescent="0.25">
      <c r="A196" s="200"/>
      <c r="B196" s="204" t="s">
        <v>272</v>
      </c>
      <c r="C196" s="340"/>
      <c r="D196" s="203">
        <v>1</v>
      </c>
      <c r="E196" s="203" t="s">
        <v>94</v>
      </c>
      <c r="F196" s="203"/>
      <c r="G196" s="203"/>
      <c r="H196" s="203"/>
      <c r="I196" s="203">
        <f>SUM(I190:I195)*$L$27</f>
        <v>13344.672</v>
      </c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310">
        <f t="shared" si="429"/>
        <v>0</v>
      </c>
      <c r="Z196" s="311">
        <f t="shared" si="430"/>
        <v>0.6</v>
      </c>
      <c r="AA196" s="311">
        <f t="shared" si="431"/>
        <v>0.6</v>
      </c>
      <c r="AB196" s="167">
        <f t="shared" si="432"/>
        <v>0.4</v>
      </c>
      <c r="AC196" s="167">
        <f t="shared" si="433"/>
        <v>0</v>
      </c>
      <c r="AD196" s="167">
        <f t="shared" si="434"/>
        <v>8006.8032000000003</v>
      </c>
      <c r="AE196" s="167">
        <f t="shared" si="435"/>
        <v>8006.8032000000003</v>
      </c>
      <c r="AF196" s="167">
        <f t="shared" si="436"/>
        <v>5337.8688000000002</v>
      </c>
      <c r="AG196" s="168">
        <f t="shared" si="336"/>
        <v>0.6</v>
      </c>
      <c r="AH196" s="137"/>
      <c r="AI196" s="311">
        <v>0</v>
      </c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68">
        <v>0.6</v>
      </c>
      <c r="BB196" s="137"/>
      <c r="BC196" s="168">
        <f t="shared" ref="BC196:BJ196" si="445">SUM(BS195:BZ195)</f>
        <v>0</v>
      </c>
      <c r="BD196" s="168">
        <f t="shared" si="438"/>
        <v>0</v>
      </c>
      <c r="BE196" s="168">
        <f t="shared" si="445"/>
        <v>0</v>
      </c>
      <c r="BF196" s="168">
        <f t="shared" si="445"/>
        <v>0</v>
      </c>
      <c r="BG196" s="168">
        <f t="shared" si="445"/>
        <v>0</v>
      </c>
      <c r="BH196" s="168">
        <f t="shared" si="445"/>
        <v>0</v>
      </c>
      <c r="BI196" s="168">
        <f t="shared" si="445"/>
        <v>0</v>
      </c>
      <c r="BJ196" s="168">
        <f t="shared" si="445"/>
        <v>0</v>
      </c>
      <c r="BK196" s="137"/>
      <c r="BL196" s="137"/>
      <c r="BM196" s="137"/>
      <c r="BN196" s="137"/>
      <c r="BO196" s="137"/>
      <c r="BP196" s="137"/>
      <c r="BQ196" s="137"/>
      <c r="BR196" s="137"/>
      <c r="BS196" s="137"/>
      <c r="BT196" s="137"/>
      <c r="BU196" s="137"/>
    </row>
    <row r="197" spans="1:73" ht="12.75" customHeight="1" x14ac:dyDescent="0.25">
      <c r="A197" s="228"/>
      <c r="B197" s="510" t="s">
        <v>330</v>
      </c>
      <c r="C197" s="501"/>
      <c r="D197" s="501"/>
      <c r="E197" s="501"/>
      <c r="F197" s="501"/>
      <c r="G197" s="501"/>
      <c r="H197" s="502"/>
      <c r="I197" s="229">
        <f>SUM(I190:I196)</f>
        <v>124550.27200000001</v>
      </c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307">
        <f t="shared" ref="Y197:AF197" si="446">SUM(Y190:Y196)</f>
        <v>0</v>
      </c>
      <c r="Z197" s="184">
        <f t="shared" si="446"/>
        <v>65.72</v>
      </c>
      <c r="AA197" s="184">
        <f t="shared" si="446"/>
        <v>65.72</v>
      </c>
      <c r="AB197" s="235">
        <f t="shared" si="446"/>
        <v>25.37</v>
      </c>
      <c r="AC197" s="235">
        <f t="shared" si="446"/>
        <v>0</v>
      </c>
      <c r="AD197" s="235">
        <f t="shared" si="446"/>
        <v>61414.003200000006</v>
      </c>
      <c r="AE197" s="235">
        <f t="shared" si="446"/>
        <v>61414.003200000006</v>
      </c>
      <c r="AF197" s="235">
        <f t="shared" si="446"/>
        <v>63136.268800000005</v>
      </c>
      <c r="AG197" s="168">
        <f t="shared" si="336"/>
        <v>0.45714285714285718</v>
      </c>
      <c r="AH197" s="137"/>
      <c r="AI197" s="184">
        <v>0</v>
      </c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308">
        <f>SUM(BA190:BA196)/COUNT(BA190:BA196)</f>
        <v>0.45714285714285718</v>
      </c>
      <c r="BB197" s="137"/>
      <c r="BC197" s="308">
        <f t="shared" ref="BC197:BJ197" si="447">SUM(BC190:BC196)/COUNT(BC190:BC196)</f>
        <v>0</v>
      </c>
      <c r="BD197" s="308">
        <f>SUM(BD190:BD196)/COUNT(BD190:BD196)</f>
        <v>0</v>
      </c>
      <c r="BE197" s="308">
        <f t="shared" si="447"/>
        <v>0</v>
      </c>
      <c r="BF197" s="308">
        <f t="shared" si="447"/>
        <v>0</v>
      </c>
      <c r="BG197" s="308">
        <f t="shared" si="447"/>
        <v>0</v>
      </c>
      <c r="BH197" s="308">
        <f t="shared" si="447"/>
        <v>0</v>
      </c>
      <c r="BI197" s="308">
        <f t="shared" si="447"/>
        <v>0</v>
      </c>
      <c r="BJ197" s="308">
        <f t="shared" si="447"/>
        <v>0</v>
      </c>
      <c r="BK197" s="137"/>
      <c r="BL197" s="137"/>
      <c r="BM197" s="137"/>
      <c r="BN197" s="137"/>
      <c r="BO197" s="137"/>
      <c r="BP197" s="137"/>
      <c r="BQ197" s="137"/>
      <c r="BR197" s="137"/>
      <c r="BS197" s="137"/>
      <c r="BT197" s="137"/>
      <c r="BU197" s="137"/>
    </row>
    <row r="198" spans="1:73" ht="12.75" customHeight="1" x14ac:dyDescent="0.25">
      <c r="A198" s="200"/>
      <c r="B198" s="339" t="s">
        <v>331</v>
      </c>
      <c r="C198" s="340"/>
      <c r="D198" s="203"/>
      <c r="E198" s="203"/>
      <c r="F198" s="203"/>
      <c r="G198" s="203"/>
      <c r="H198" s="203"/>
      <c r="I198" s="203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310"/>
      <c r="Z198" s="311"/>
      <c r="AA198" s="311"/>
      <c r="AB198" s="167"/>
      <c r="AC198" s="167"/>
      <c r="AD198" s="167"/>
      <c r="AE198" s="167"/>
      <c r="AF198" s="167"/>
      <c r="AG198" s="168">
        <f t="shared" si="336"/>
        <v>0</v>
      </c>
      <c r="AH198" s="137"/>
      <c r="AI198" s="311"/>
      <c r="AJ198" s="137"/>
      <c r="AK198" s="137"/>
      <c r="AL198" s="137"/>
      <c r="AM198" s="137"/>
      <c r="AN198" s="137"/>
      <c r="AO198" s="137"/>
      <c r="AP198" s="137"/>
      <c r="AQ198" s="137"/>
      <c r="AR198" s="137"/>
      <c r="AS198" s="137"/>
      <c r="AT198" s="137"/>
      <c r="AU198" s="137"/>
      <c r="AV198" s="137"/>
      <c r="AW198" s="137"/>
      <c r="AX198" s="137"/>
      <c r="AY198" s="137"/>
      <c r="AZ198" s="137"/>
      <c r="BA198" s="137"/>
      <c r="BB198" s="137"/>
      <c r="BC198" s="137"/>
      <c r="BD198" s="137"/>
      <c r="BE198" s="137"/>
      <c r="BF198" s="137"/>
      <c r="BG198" s="137"/>
      <c r="BH198" s="137"/>
      <c r="BI198" s="137"/>
      <c r="BJ198" s="137"/>
      <c r="BK198" s="137"/>
      <c r="BL198" s="137"/>
      <c r="BM198" s="137"/>
      <c r="BN198" s="137"/>
      <c r="BO198" s="137"/>
      <c r="BP198" s="137"/>
      <c r="BQ198" s="137"/>
      <c r="BR198" s="137"/>
      <c r="BS198" s="137"/>
      <c r="BT198" s="137"/>
      <c r="BU198" s="137"/>
    </row>
    <row r="199" spans="1:73" ht="12.75" customHeight="1" x14ac:dyDescent="0.25">
      <c r="A199" s="200"/>
      <c r="B199" s="291" t="s">
        <v>267</v>
      </c>
      <c r="C199" s="340">
        <v>20.34</v>
      </c>
      <c r="D199" s="203">
        <f t="shared" ref="D199:D203" si="448">C199*$L$23</f>
        <v>22.374000000000002</v>
      </c>
      <c r="E199" s="203" t="s">
        <v>6</v>
      </c>
      <c r="F199" s="203">
        <f>'Material and Labor Cost'!$D$21</f>
        <v>576</v>
      </c>
      <c r="G199" s="203">
        <f>'Material and Labor Cost'!$F$21</f>
        <v>300</v>
      </c>
      <c r="H199" s="203">
        <f t="shared" ref="H199:H203" si="449">SUM(F199:G199)</f>
        <v>876</v>
      </c>
      <c r="I199" s="203">
        <f t="shared" ref="I199:I203" si="450">H199*D199</f>
        <v>19599.624000000003</v>
      </c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310">
        <f t="shared" ref="Y199:Y204" si="451">SUM(AI199:AP199)</f>
        <v>0</v>
      </c>
      <c r="Z199" s="311">
        <f t="shared" ref="Z199:Z204" si="452">D199*AG199</f>
        <v>17.899200000000004</v>
      </c>
      <c r="AA199" s="311">
        <f t="shared" ref="AA199:AA204" si="453">SUM(Y199:Z199)</f>
        <v>17.899200000000004</v>
      </c>
      <c r="AB199" s="167">
        <f t="shared" ref="AB199:AB204" si="454">D199-AA199</f>
        <v>4.4747999999999983</v>
      </c>
      <c r="AC199" s="167">
        <f t="shared" ref="AC199:AC204" si="455">SUM(AR198:AY198)</f>
        <v>0</v>
      </c>
      <c r="AD199" s="167">
        <f t="shared" ref="AD199:AD204" si="456">AG199*I199</f>
        <v>15679.699200000003</v>
      </c>
      <c r="AE199" s="167">
        <f t="shared" ref="AE199:AE204" si="457">SUM(AC199:AD199)</f>
        <v>15679.699200000003</v>
      </c>
      <c r="AF199" s="167">
        <f t="shared" ref="AF199:AF204" si="458">I199-AE199</f>
        <v>3919.9248000000007</v>
      </c>
      <c r="AG199" s="168">
        <f t="shared" si="336"/>
        <v>0.8</v>
      </c>
      <c r="AH199" s="137"/>
      <c r="AI199" s="311">
        <v>0</v>
      </c>
      <c r="AJ199" s="137"/>
      <c r="AK199" s="137"/>
      <c r="AL199" s="137"/>
      <c r="AM199" s="137"/>
      <c r="AN199" s="137"/>
      <c r="AO199" s="137"/>
      <c r="AP199" s="137"/>
      <c r="AQ199" s="137"/>
      <c r="AR199" s="137"/>
      <c r="AS199" s="137"/>
      <c r="AT199" s="137"/>
      <c r="AU199" s="137"/>
      <c r="AV199" s="137"/>
      <c r="AW199" s="137"/>
      <c r="AX199" s="137"/>
      <c r="AY199" s="137"/>
      <c r="AZ199" s="137"/>
      <c r="BA199" s="168">
        <v>0.8</v>
      </c>
      <c r="BB199" s="137"/>
      <c r="BC199" s="168">
        <f t="shared" ref="BC199:BJ199" si="459">SUM(BS198:BZ198)</f>
        <v>0</v>
      </c>
      <c r="BD199" s="168">
        <f t="shared" ref="BD199:BD204" si="460">SUM(BN198:BT198)</f>
        <v>0</v>
      </c>
      <c r="BE199" s="168">
        <f t="shared" si="459"/>
        <v>0</v>
      </c>
      <c r="BF199" s="168">
        <f t="shared" si="459"/>
        <v>0</v>
      </c>
      <c r="BG199" s="168">
        <f t="shared" si="459"/>
        <v>0</v>
      </c>
      <c r="BH199" s="168">
        <f t="shared" si="459"/>
        <v>0</v>
      </c>
      <c r="BI199" s="168">
        <f t="shared" si="459"/>
        <v>0</v>
      </c>
      <c r="BJ199" s="168">
        <f t="shared" si="459"/>
        <v>0</v>
      </c>
      <c r="BK199" s="137"/>
      <c r="BL199" s="137"/>
      <c r="BM199" s="137"/>
      <c r="BN199" s="137"/>
      <c r="BO199" s="137"/>
      <c r="BP199" s="137"/>
      <c r="BQ199" s="137"/>
      <c r="BR199" s="137"/>
      <c r="BS199" s="137"/>
      <c r="BT199" s="137"/>
      <c r="BU199" s="137"/>
    </row>
    <row r="200" spans="1:73" ht="12.75" customHeight="1" x14ac:dyDescent="0.25">
      <c r="A200" s="200"/>
      <c r="B200" s="291" t="s">
        <v>269</v>
      </c>
      <c r="C200" s="340">
        <v>1.1000000000000001</v>
      </c>
      <c r="D200" s="203">
        <f t="shared" si="448"/>
        <v>1.2100000000000002</v>
      </c>
      <c r="E200" s="203" t="s">
        <v>6</v>
      </c>
      <c r="F200" s="203">
        <f>'Material and Labor Cost'!$D$23</f>
        <v>330</v>
      </c>
      <c r="G200" s="203">
        <f>'Material and Labor Cost'!$F$23</f>
        <v>165</v>
      </c>
      <c r="H200" s="203">
        <f t="shared" si="449"/>
        <v>495</v>
      </c>
      <c r="I200" s="203">
        <f t="shared" si="450"/>
        <v>598.95000000000005</v>
      </c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310">
        <f t="shared" si="451"/>
        <v>0</v>
      </c>
      <c r="Z200" s="311">
        <f t="shared" si="452"/>
        <v>0.96800000000000019</v>
      </c>
      <c r="AA200" s="311">
        <f t="shared" si="453"/>
        <v>0.96800000000000019</v>
      </c>
      <c r="AB200" s="167">
        <f t="shared" si="454"/>
        <v>0.24199999999999999</v>
      </c>
      <c r="AC200" s="167">
        <f t="shared" si="455"/>
        <v>0</v>
      </c>
      <c r="AD200" s="167">
        <f t="shared" si="456"/>
        <v>479.16000000000008</v>
      </c>
      <c r="AE200" s="167">
        <f t="shared" si="457"/>
        <v>479.16000000000008</v>
      </c>
      <c r="AF200" s="167">
        <f t="shared" si="458"/>
        <v>119.78999999999996</v>
      </c>
      <c r="AG200" s="168">
        <f t="shared" si="336"/>
        <v>0.8</v>
      </c>
      <c r="AH200" s="137"/>
      <c r="AI200" s="311">
        <v>0</v>
      </c>
      <c r="AJ200" s="137"/>
      <c r="AK200" s="137"/>
      <c r="AL200" s="137"/>
      <c r="AM200" s="137"/>
      <c r="AN200" s="137"/>
      <c r="AO200" s="137"/>
      <c r="AP200" s="137"/>
      <c r="AQ200" s="137"/>
      <c r="AR200" s="137"/>
      <c r="AS200" s="137"/>
      <c r="AT200" s="137"/>
      <c r="AU200" s="137"/>
      <c r="AV200" s="137"/>
      <c r="AW200" s="137"/>
      <c r="AX200" s="137"/>
      <c r="AY200" s="137"/>
      <c r="AZ200" s="137"/>
      <c r="BA200" s="168">
        <v>0.8</v>
      </c>
      <c r="BB200" s="137"/>
      <c r="BC200" s="168">
        <f t="shared" ref="BC200:BJ200" si="461">SUM(BS199:BZ199)</f>
        <v>0</v>
      </c>
      <c r="BD200" s="168">
        <f t="shared" si="460"/>
        <v>0</v>
      </c>
      <c r="BE200" s="168">
        <f t="shared" si="461"/>
        <v>0</v>
      </c>
      <c r="BF200" s="168">
        <f t="shared" si="461"/>
        <v>0</v>
      </c>
      <c r="BG200" s="168">
        <f t="shared" si="461"/>
        <v>0</v>
      </c>
      <c r="BH200" s="168">
        <f t="shared" si="461"/>
        <v>0</v>
      </c>
      <c r="BI200" s="168">
        <f t="shared" si="461"/>
        <v>0</v>
      </c>
      <c r="BJ200" s="168">
        <f t="shared" si="461"/>
        <v>0</v>
      </c>
      <c r="BK200" s="137"/>
      <c r="BL200" s="137"/>
      <c r="BM200" s="137"/>
      <c r="BN200" s="137"/>
      <c r="BO200" s="137"/>
      <c r="BP200" s="137"/>
      <c r="BQ200" s="137"/>
      <c r="BR200" s="137"/>
      <c r="BS200" s="137"/>
      <c r="BT200" s="137"/>
      <c r="BU200" s="137"/>
    </row>
    <row r="201" spans="1:73" ht="12.75" customHeight="1" x14ac:dyDescent="0.25">
      <c r="A201" s="200"/>
      <c r="B201" s="200" t="s">
        <v>270</v>
      </c>
      <c r="C201" s="340">
        <v>1.5</v>
      </c>
      <c r="D201" s="203">
        <f t="shared" si="448"/>
        <v>1.6500000000000001</v>
      </c>
      <c r="E201" s="203" t="s">
        <v>114</v>
      </c>
      <c r="F201" s="203">
        <f>'Material and Labor Cost'!$D$24</f>
        <v>220.00000000000003</v>
      </c>
      <c r="G201" s="203">
        <f>'Material and Labor Cost'!$F$24</f>
        <v>110.00000000000001</v>
      </c>
      <c r="H201" s="203">
        <f t="shared" si="449"/>
        <v>330.00000000000006</v>
      </c>
      <c r="I201" s="203">
        <f t="shared" si="450"/>
        <v>544.50000000000011</v>
      </c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310">
        <f t="shared" si="451"/>
        <v>0</v>
      </c>
      <c r="Z201" s="311">
        <f t="shared" si="452"/>
        <v>0</v>
      </c>
      <c r="AA201" s="311">
        <f t="shared" si="453"/>
        <v>0</v>
      </c>
      <c r="AB201" s="167">
        <f t="shared" si="454"/>
        <v>1.6500000000000001</v>
      </c>
      <c r="AC201" s="167">
        <f t="shared" si="455"/>
        <v>0</v>
      </c>
      <c r="AD201" s="167">
        <f t="shared" si="456"/>
        <v>0</v>
      </c>
      <c r="AE201" s="167">
        <f t="shared" si="457"/>
        <v>0</v>
      </c>
      <c r="AF201" s="167">
        <f t="shared" si="458"/>
        <v>544.50000000000011</v>
      </c>
      <c r="AG201" s="168">
        <f t="shared" si="336"/>
        <v>0</v>
      </c>
      <c r="AH201" s="137"/>
      <c r="AI201" s="311">
        <v>0</v>
      </c>
      <c r="AJ201" s="137"/>
      <c r="AK201" s="137"/>
      <c r="AL201" s="137"/>
      <c r="AM201" s="137"/>
      <c r="AN201" s="137"/>
      <c r="AO201" s="137"/>
      <c r="AP201" s="137"/>
      <c r="AQ201" s="137"/>
      <c r="AR201" s="137"/>
      <c r="AS201" s="137"/>
      <c r="AT201" s="137"/>
      <c r="AU201" s="137"/>
      <c r="AV201" s="137"/>
      <c r="AW201" s="137"/>
      <c r="AX201" s="137"/>
      <c r="AY201" s="137"/>
      <c r="AZ201" s="137"/>
      <c r="BA201" s="168">
        <f t="shared" ref="BA201:BA202" si="462">SUM(BK200:BQ200)</f>
        <v>0</v>
      </c>
      <c r="BB201" s="137"/>
      <c r="BC201" s="168">
        <f t="shared" ref="BC201:BJ201" si="463">SUM(BS200:BZ200)</f>
        <v>0</v>
      </c>
      <c r="BD201" s="168">
        <f t="shared" si="460"/>
        <v>0</v>
      </c>
      <c r="BE201" s="168">
        <f t="shared" si="463"/>
        <v>0</v>
      </c>
      <c r="BF201" s="168">
        <f t="shared" si="463"/>
        <v>0</v>
      </c>
      <c r="BG201" s="168">
        <f t="shared" si="463"/>
        <v>0</v>
      </c>
      <c r="BH201" s="168">
        <f t="shared" si="463"/>
        <v>0</v>
      </c>
      <c r="BI201" s="168">
        <f t="shared" si="463"/>
        <v>0</v>
      </c>
      <c r="BJ201" s="168">
        <f t="shared" si="463"/>
        <v>0</v>
      </c>
      <c r="BK201" s="137"/>
      <c r="BL201" s="137"/>
      <c r="BM201" s="137"/>
      <c r="BN201" s="137"/>
      <c r="BO201" s="137"/>
      <c r="BP201" s="137"/>
      <c r="BQ201" s="137"/>
      <c r="BR201" s="137"/>
      <c r="BS201" s="137"/>
      <c r="BT201" s="137"/>
      <c r="BU201" s="137"/>
    </row>
    <row r="202" spans="1:73" ht="12.75" customHeight="1" x14ac:dyDescent="0.25">
      <c r="A202" s="200"/>
      <c r="B202" s="204" t="s">
        <v>332</v>
      </c>
      <c r="C202" s="340">
        <v>1</v>
      </c>
      <c r="D202" s="203">
        <f t="shared" si="448"/>
        <v>1.1000000000000001</v>
      </c>
      <c r="E202" s="203" t="s">
        <v>6</v>
      </c>
      <c r="F202" s="203">
        <f>'Material and Labor Cost'!$D$37</f>
        <v>6600.0000000000009</v>
      </c>
      <c r="G202" s="203">
        <f>'Material and Labor Cost'!$F$37</f>
        <v>3300.0000000000005</v>
      </c>
      <c r="H202" s="203">
        <f t="shared" si="449"/>
        <v>9900.0000000000018</v>
      </c>
      <c r="I202" s="203">
        <f t="shared" si="450"/>
        <v>10890.000000000004</v>
      </c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310">
        <f t="shared" si="451"/>
        <v>0</v>
      </c>
      <c r="Z202" s="311">
        <f t="shared" si="452"/>
        <v>0</v>
      </c>
      <c r="AA202" s="311">
        <f t="shared" si="453"/>
        <v>0</v>
      </c>
      <c r="AB202" s="167">
        <f t="shared" si="454"/>
        <v>1.1000000000000001</v>
      </c>
      <c r="AC202" s="167">
        <f t="shared" si="455"/>
        <v>0</v>
      </c>
      <c r="AD202" s="167">
        <f t="shared" si="456"/>
        <v>0</v>
      </c>
      <c r="AE202" s="167">
        <f t="shared" si="457"/>
        <v>0</v>
      </c>
      <c r="AF202" s="167">
        <f t="shared" si="458"/>
        <v>10890.000000000004</v>
      </c>
      <c r="AG202" s="168">
        <f t="shared" si="336"/>
        <v>0</v>
      </c>
      <c r="AH202" s="137"/>
      <c r="AI202" s="311">
        <v>0</v>
      </c>
      <c r="AJ202" s="137"/>
      <c r="AK202" s="137"/>
      <c r="AL202" s="137"/>
      <c r="AM202" s="137"/>
      <c r="AN202" s="137"/>
      <c r="AO202" s="137"/>
      <c r="AP202" s="137"/>
      <c r="AQ202" s="137"/>
      <c r="AR202" s="137"/>
      <c r="AS202" s="137"/>
      <c r="AT202" s="137"/>
      <c r="AU202" s="137"/>
      <c r="AV202" s="137"/>
      <c r="AW202" s="137"/>
      <c r="AX202" s="137"/>
      <c r="AY202" s="137"/>
      <c r="AZ202" s="137"/>
      <c r="BA202" s="168">
        <f t="shared" si="462"/>
        <v>0</v>
      </c>
      <c r="BB202" s="137"/>
      <c r="BC202" s="168">
        <f t="shared" ref="BC202:BJ202" si="464">SUM(BS201:BZ201)</f>
        <v>0</v>
      </c>
      <c r="BD202" s="168">
        <f t="shared" si="460"/>
        <v>0</v>
      </c>
      <c r="BE202" s="168">
        <f t="shared" si="464"/>
        <v>0</v>
      </c>
      <c r="BF202" s="168">
        <f t="shared" si="464"/>
        <v>0</v>
      </c>
      <c r="BG202" s="168">
        <f t="shared" si="464"/>
        <v>0</v>
      </c>
      <c r="BH202" s="168">
        <f t="shared" si="464"/>
        <v>0</v>
      </c>
      <c r="BI202" s="168">
        <f t="shared" si="464"/>
        <v>0</v>
      </c>
      <c r="BJ202" s="168">
        <f t="shared" si="464"/>
        <v>0</v>
      </c>
      <c r="BK202" s="137"/>
      <c r="BL202" s="137"/>
      <c r="BM202" s="137"/>
      <c r="BN202" s="137"/>
      <c r="BO202" s="137"/>
      <c r="BP202" s="137"/>
      <c r="BQ202" s="137"/>
      <c r="BR202" s="137"/>
      <c r="BS202" s="137"/>
      <c r="BT202" s="137"/>
      <c r="BU202" s="137"/>
    </row>
    <row r="203" spans="1:73" ht="12.75" customHeight="1" x14ac:dyDescent="0.25">
      <c r="A203" s="200"/>
      <c r="B203" s="200" t="s">
        <v>275</v>
      </c>
      <c r="C203" s="340">
        <f>C200+C199</f>
        <v>21.44</v>
      </c>
      <c r="D203" s="203">
        <f t="shared" si="448"/>
        <v>23.584000000000003</v>
      </c>
      <c r="E203" s="203" t="s">
        <v>6</v>
      </c>
      <c r="F203" s="203">
        <f>'Material and Labor Cost'!$D$25</f>
        <v>555</v>
      </c>
      <c r="G203" s="203">
        <f>'Material and Labor Cost'!$F$25</f>
        <v>275</v>
      </c>
      <c r="H203" s="203">
        <f t="shared" si="449"/>
        <v>830</v>
      </c>
      <c r="I203" s="203">
        <f t="shared" si="450"/>
        <v>19574.72</v>
      </c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310">
        <f t="shared" si="451"/>
        <v>0</v>
      </c>
      <c r="Z203" s="311">
        <f t="shared" si="452"/>
        <v>7.0752000000000006</v>
      </c>
      <c r="AA203" s="311">
        <f t="shared" si="453"/>
        <v>7.0752000000000006</v>
      </c>
      <c r="AB203" s="167">
        <f t="shared" si="454"/>
        <v>16.508800000000001</v>
      </c>
      <c r="AC203" s="167">
        <f t="shared" si="455"/>
        <v>0</v>
      </c>
      <c r="AD203" s="167">
        <f t="shared" si="456"/>
        <v>5872.4160000000002</v>
      </c>
      <c r="AE203" s="167">
        <f t="shared" si="457"/>
        <v>5872.4160000000002</v>
      </c>
      <c r="AF203" s="167">
        <f t="shared" si="458"/>
        <v>13702.304</v>
      </c>
      <c r="AG203" s="168">
        <f t="shared" si="336"/>
        <v>0.3</v>
      </c>
      <c r="AH203" s="137"/>
      <c r="AI203" s="311">
        <v>0</v>
      </c>
      <c r="AJ203" s="137"/>
      <c r="AK203" s="137"/>
      <c r="AL203" s="137"/>
      <c r="AM203" s="137"/>
      <c r="AN203" s="137"/>
      <c r="AO203" s="137"/>
      <c r="AP203" s="137"/>
      <c r="AQ203" s="137"/>
      <c r="AR203" s="137"/>
      <c r="AS203" s="137"/>
      <c r="AT203" s="137"/>
      <c r="AU203" s="137"/>
      <c r="AV203" s="137"/>
      <c r="AW203" s="137"/>
      <c r="AX203" s="137"/>
      <c r="AY203" s="137"/>
      <c r="AZ203" s="137"/>
      <c r="BA203" s="168">
        <v>0.3</v>
      </c>
      <c r="BB203" s="137"/>
      <c r="BC203" s="168">
        <f t="shared" ref="BC203:BJ203" si="465">SUM(BS202:BZ202)</f>
        <v>0</v>
      </c>
      <c r="BD203" s="168">
        <f t="shared" si="460"/>
        <v>0</v>
      </c>
      <c r="BE203" s="168">
        <f t="shared" si="465"/>
        <v>0</v>
      </c>
      <c r="BF203" s="168">
        <f t="shared" si="465"/>
        <v>0</v>
      </c>
      <c r="BG203" s="168">
        <f t="shared" si="465"/>
        <v>0</v>
      </c>
      <c r="BH203" s="168">
        <f t="shared" si="465"/>
        <v>0</v>
      </c>
      <c r="BI203" s="168">
        <f t="shared" si="465"/>
        <v>0</v>
      </c>
      <c r="BJ203" s="168">
        <f t="shared" si="465"/>
        <v>0</v>
      </c>
      <c r="BK203" s="137"/>
      <c r="BL203" s="137"/>
      <c r="BM203" s="137"/>
      <c r="BN203" s="137"/>
      <c r="BO203" s="137"/>
      <c r="BP203" s="137"/>
      <c r="BQ203" s="137"/>
      <c r="BR203" s="137"/>
      <c r="BS203" s="137"/>
      <c r="BT203" s="137"/>
      <c r="BU203" s="137"/>
    </row>
    <row r="204" spans="1:73" ht="12.75" customHeight="1" x14ac:dyDescent="0.25">
      <c r="A204" s="200"/>
      <c r="B204" s="204" t="s">
        <v>272</v>
      </c>
      <c r="C204" s="340"/>
      <c r="D204" s="203">
        <v>1</v>
      </c>
      <c r="E204" s="203" t="s">
        <v>94</v>
      </c>
      <c r="F204" s="203"/>
      <c r="G204" s="203"/>
      <c r="H204" s="203"/>
      <c r="I204" s="203">
        <f>SUM(I199:I203)*$L$27</f>
        <v>6144.9352800000006</v>
      </c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310">
        <f t="shared" si="451"/>
        <v>0</v>
      </c>
      <c r="Z204" s="311">
        <f t="shared" si="452"/>
        <v>0.3</v>
      </c>
      <c r="AA204" s="311">
        <f t="shared" si="453"/>
        <v>0.3</v>
      </c>
      <c r="AB204" s="167">
        <f t="shared" si="454"/>
        <v>0.7</v>
      </c>
      <c r="AC204" s="167">
        <f t="shared" si="455"/>
        <v>0</v>
      </c>
      <c r="AD204" s="167">
        <f t="shared" si="456"/>
        <v>1843.4805840000001</v>
      </c>
      <c r="AE204" s="167">
        <f t="shared" si="457"/>
        <v>1843.4805840000001</v>
      </c>
      <c r="AF204" s="167">
        <f t="shared" si="458"/>
        <v>4301.4546960000007</v>
      </c>
      <c r="AG204" s="168">
        <f t="shared" si="336"/>
        <v>0.3</v>
      </c>
      <c r="AH204" s="137"/>
      <c r="AI204" s="311">
        <v>0</v>
      </c>
      <c r="AJ204" s="137"/>
      <c r="AK204" s="137"/>
      <c r="AL204" s="137"/>
      <c r="AM204" s="137"/>
      <c r="AN204" s="137"/>
      <c r="AO204" s="137"/>
      <c r="AP204" s="137"/>
      <c r="AQ204" s="137"/>
      <c r="AR204" s="137"/>
      <c r="AS204" s="137"/>
      <c r="AT204" s="137"/>
      <c r="AU204" s="137"/>
      <c r="AV204" s="137"/>
      <c r="AW204" s="137"/>
      <c r="AX204" s="137"/>
      <c r="AY204" s="137"/>
      <c r="AZ204" s="137"/>
      <c r="BA204" s="168">
        <v>0.3</v>
      </c>
      <c r="BB204" s="137"/>
      <c r="BC204" s="168">
        <f t="shared" ref="BC204:BJ204" si="466">SUM(BS203:BZ203)</f>
        <v>0</v>
      </c>
      <c r="BD204" s="168">
        <f t="shared" si="460"/>
        <v>0</v>
      </c>
      <c r="BE204" s="168">
        <f t="shared" si="466"/>
        <v>0</v>
      </c>
      <c r="BF204" s="168">
        <f t="shared" si="466"/>
        <v>0</v>
      </c>
      <c r="BG204" s="168">
        <f t="shared" si="466"/>
        <v>0</v>
      </c>
      <c r="BH204" s="168">
        <f t="shared" si="466"/>
        <v>0</v>
      </c>
      <c r="BI204" s="168">
        <f t="shared" si="466"/>
        <v>0</v>
      </c>
      <c r="BJ204" s="168">
        <f t="shared" si="466"/>
        <v>0</v>
      </c>
      <c r="BK204" s="137"/>
      <c r="BL204" s="137"/>
      <c r="BM204" s="137"/>
      <c r="BN204" s="137"/>
      <c r="BO204" s="137"/>
      <c r="BP204" s="137"/>
      <c r="BQ204" s="137"/>
      <c r="BR204" s="137"/>
      <c r="BS204" s="137"/>
      <c r="BT204" s="137"/>
      <c r="BU204" s="137"/>
    </row>
    <row r="205" spans="1:73" ht="12.75" customHeight="1" x14ac:dyDescent="0.25">
      <c r="A205" s="228"/>
      <c r="B205" s="510" t="s">
        <v>333</v>
      </c>
      <c r="C205" s="501"/>
      <c r="D205" s="501"/>
      <c r="E205" s="501"/>
      <c r="F205" s="501"/>
      <c r="G205" s="501"/>
      <c r="H205" s="502"/>
      <c r="I205" s="229">
        <f>SUM(I199:I204)</f>
        <v>57352.729280000007</v>
      </c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307">
        <f t="shared" ref="Y205:AF205" si="467">SUM(Y198:Y204)</f>
        <v>0</v>
      </c>
      <c r="Z205" s="184">
        <f t="shared" si="467"/>
        <v>26.242400000000007</v>
      </c>
      <c r="AA205" s="184">
        <f t="shared" si="467"/>
        <v>26.242400000000007</v>
      </c>
      <c r="AB205" s="235">
        <f t="shared" si="467"/>
        <v>24.675599999999999</v>
      </c>
      <c r="AC205" s="235">
        <f t="shared" si="467"/>
        <v>0</v>
      </c>
      <c r="AD205" s="235">
        <f t="shared" si="467"/>
        <v>23874.755784000004</v>
      </c>
      <c r="AE205" s="235">
        <f t="shared" si="467"/>
        <v>23874.755784000004</v>
      </c>
      <c r="AF205" s="235">
        <f t="shared" si="467"/>
        <v>33477.973496000006</v>
      </c>
      <c r="AG205" s="168">
        <f t="shared" si="336"/>
        <v>0.3666666666666667</v>
      </c>
      <c r="AH205" s="137"/>
      <c r="AI205" s="184">
        <v>0</v>
      </c>
      <c r="AJ205" s="137"/>
      <c r="AK205" s="137"/>
      <c r="AL205" s="137"/>
      <c r="AM205" s="137"/>
      <c r="AN205" s="137"/>
      <c r="AO205" s="137"/>
      <c r="AP205" s="137"/>
      <c r="AQ205" s="137"/>
      <c r="AR205" s="137"/>
      <c r="AS205" s="137"/>
      <c r="AT205" s="137"/>
      <c r="AU205" s="137"/>
      <c r="AV205" s="137"/>
      <c r="AW205" s="137"/>
      <c r="AX205" s="137"/>
      <c r="AY205" s="137"/>
      <c r="AZ205" s="137"/>
      <c r="BA205" s="308">
        <f>SUM(BA198:BA204)/COUNT(BA198:BA204)</f>
        <v>0.3666666666666667</v>
      </c>
      <c r="BB205" s="137"/>
      <c r="BC205" s="308">
        <f t="shared" ref="BC205:BJ205" si="468">SUM(BC198:BC204)/COUNT(BC198:BC204)</f>
        <v>0</v>
      </c>
      <c r="BD205" s="308">
        <f>SUM(BD198:BD204)/COUNT(BD198:BD204)</f>
        <v>0</v>
      </c>
      <c r="BE205" s="308">
        <f t="shared" si="468"/>
        <v>0</v>
      </c>
      <c r="BF205" s="308">
        <f t="shared" si="468"/>
        <v>0</v>
      </c>
      <c r="BG205" s="308">
        <f t="shared" si="468"/>
        <v>0</v>
      </c>
      <c r="BH205" s="308">
        <f t="shared" si="468"/>
        <v>0</v>
      </c>
      <c r="BI205" s="308">
        <f t="shared" si="468"/>
        <v>0</v>
      </c>
      <c r="BJ205" s="308">
        <f t="shared" si="468"/>
        <v>0</v>
      </c>
      <c r="BK205" s="137"/>
      <c r="BL205" s="137"/>
      <c r="BM205" s="137"/>
      <c r="BN205" s="137"/>
      <c r="BO205" s="137"/>
      <c r="BP205" s="137"/>
      <c r="BQ205" s="137"/>
      <c r="BR205" s="137"/>
      <c r="BS205" s="137"/>
      <c r="BT205" s="137"/>
      <c r="BU205" s="137"/>
    </row>
    <row r="206" spans="1:73" ht="12.75" customHeight="1" x14ac:dyDescent="0.25">
      <c r="A206" s="200"/>
      <c r="B206" s="339" t="s">
        <v>334</v>
      </c>
      <c r="C206" s="340"/>
      <c r="D206" s="203"/>
      <c r="E206" s="203"/>
      <c r="F206" s="203"/>
      <c r="G206" s="203"/>
      <c r="H206" s="203"/>
      <c r="I206" s="203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310"/>
      <c r="Z206" s="311"/>
      <c r="AA206" s="311"/>
      <c r="AB206" s="167"/>
      <c r="AC206" s="167"/>
      <c r="AD206" s="167"/>
      <c r="AE206" s="167"/>
      <c r="AF206" s="167"/>
      <c r="AG206" s="168">
        <f t="shared" si="336"/>
        <v>0</v>
      </c>
      <c r="AH206" s="137"/>
      <c r="AI206" s="311"/>
      <c r="AJ206" s="137"/>
      <c r="AK206" s="137"/>
      <c r="AL206" s="137"/>
      <c r="AM206" s="137"/>
      <c r="AN206" s="137"/>
      <c r="AO206" s="137"/>
      <c r="AP206" s="137"/>
      <c r="AQ206" s="137"/>
      <c r="AR206" s="137"/>
      <c r="AS206" s="137"/>
      <c r="AT206" s="137"/>
      <c r="AU206" s="137"/>
      <c r="AV206" s="137"/>
      <c r="AW206" s="137"/>
      <c r="AX206" s="137"/>
      <c r="AY206" s="137"/>
      <c r="AZ206" s="137"/>
      <c r="BA206" s="137"/>
      <c r="BB206" s="137"/>
      <c r="BC206" s="137"/>
      <c r="BD206" s="137"/>
      <c r="BE206" s="137"/>
      <c r="BF206" s="137"/>
      <c r="BG206" s="137"/>
      <c r="BH206" s="137"/>
      <c r="BI206" s="137"/>
      <c r="BJ206" s="137"/>
      <c r="BK206" s="137"/>
      <c r="BL206" s="137"/>
      <c r="BM206" s="137"/>
      <c r="BN206" s="137"/>
      <c r="BO206" s="137"/>
      <c r="BP206" s="137"/>
      <c r="BQ206" s="137"/>
      <c r="BR206" s="137"/>
      <c r="BS206" s="137"/>
      <c r="BT206" s="137"/>
      <c r="BU206" s="137"/>
    </row>
    <row r="207" spans="1:73" ht="12.75" customHeight="1" x14ac:dyDescent="0.25">
      <c r="A207" s="200"/>
      <c r="B207" s="291" t="s">
        <v>267</v>
      </c>
      <c r="C207" s="340">
        <v>9.1999999999999993</v>
      </c>
      <c r="D207" s="203">
        <f t="shared" ref="D207:D212" si="469">C207*$L$23</f>
        <v>10.119999999999999</v>
      </c>
      <c r="E207" s="203" t="s">
        <v>6</v>
      </c>
      <c r="F207" s="203">
        <f>'Material and Labor Cost'!$D$21</f>
        <v>576</v>
      </c>
      <c r="G207" s="203">
        <f>'Material and Labor Cost'!$F$21</f>
        <v>300</v>
      </c>
      <c r="H207" s="203">
        <f t="shared" ref="H207:H212" si="470">SUM(F207:G207)</f>
        <v>876</v>
      </c>
      <c r="I207" s="203">
        <f t="shared" ref="I207:I212" si="471">H207*D207</f>
        <v>8865.119999999999</v>
      </c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310">
        <f t="shared" ref="Y207:Y213" si="472">SUM(AI207:AP207)</f>
        <v>0</v>
      </c>
      <c r="Z207" s="311">
        <f t="shared" ref="Z207:Z213" si="473">D207*AG207</f>
        <v>6.0719999999999992</v>
      </c>
      <c r="AA207" s="311">
        <f t="shared" ref="AA207:AA213" si="474">SUM(Y207:Z207)</f>
        <v>6.0719999999999992</v>
      </c>
      <c r="AB207" s="167">
        <f t="shared" ref="AB207:AB213" si="475">D207-AA207</f>
        <v>4.048</v>
      </c>
      <c r="AC207" s="167">
        <f t="shared" ref="AC207:AC213" si="476">SUM(AR206:AY206)</f>
        <v>0</v>
      </c>
      <c r="AD207" s="167">
        <f t="shared" ref="AD207:AD213" si="477">AG207*I207</f>
        <v>5319.0719999999992</v>
      </c>
      <c r="AE207" s="167">
        <f t="shared" ref="AE207:AE213" si="478">SUM(AC207:AD207)</f>
        <v>5319.0719999999992</v>
      </c>
      <c r="AF207" s="167">
        <f t="shared" ref="AF207:AF213" si="479">I207-AE207</f>
        <v>3546.0479999999998</v>
      </c>
      <c r="AG207" s="168">
        <f t="shared" si="336"/>
        <v>0.6</v>
      </c>
      <c r="AH207" s="137"/>
      <c r="AI207" s="311">
        <v>0</v>
      </c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68">
        <v>0.6</v>
      </c>
      <c r="BB207" s="137"/>
      <c r="BC207" s="168">
        <f t="shared" ref="BC207:BJ207" si="480">SUM(BS206:BZ206)</f>
        <v>0</v>
      </c>
      <c r="BD207" s="168">
        <f t="shared" ref="BD207:BD213" si="481">SUM(BN206:BT206)</f>
        <v>0</v>
      </c>
      <c r="BE207" s="168">
        <f t="shared" si="480"/>
        <v>0</v>
      </c>
      <c r="BF207" s="168">
        <f t="shared" si="480"/>
        <v>0</v>
      </c>
      <c r="BG207" s="168">
        <f t="shared" si="480"/>
        <v>0</v>
      </c>
      <c r="BH207" s="168">
        <f t="shared" si="480"/>
        <v>0</v>
      </c>
      <c r="BI207" s="168">
        <f t="shared" si="480"/>
        <v>0</v>
      </c>
      <c r="BJ207" s="168">
        <f t="shared" si="480"/>
        <v>0</v>
      </c>
      <c r="BK207" s="137"/>
      <c r="BL207" s="137"/>
      <c r="BM207" s="137"/>
      <c r="BN207" s="137"/>
      <c r="BO207" s="137"/>
      <c r="BP207" s="137"/>
      <c r="BQ207" s="137"/>
      <c r="BR207" s="137"/>
      <c r="BS207" s="137"/>
      <c r="BT207" s="137"/>
      <c r="BU207" s="137"/>
    </row>
    <row r="208" spans="1:73" ht="12.75" customHeight="1" x14ac:dyDescent="0.25">
      <c r="A208" s="200"/>
      <c r="B208" s="291" t="s">
        <v>269</v>
      </c>
      <c r="C208" s="340">
        <v>1</v>
      </c>
      <c r="D208" s="203">
        <f t="shared" si="469"/>
        <v>1.1000000000000001</v>
      </c>
      <c r="E208" s="203" t="s">
        <v>6</v>
      </c>
      <c r="F208" s="203">
        <f>'Material and Labor Cost'!$D$23</f>
        <v>330</v>
      </c>
      <c r="G208" s="203">
        <f>'Material and Labor Cost'!$F$23</f>
        <v>165</v>
      </c>
      <c r="H208" s="203">
        <f t="shared" si="470"/>
        <v>495</v>
      </c>
      <c r="I208" s="203">
        <f t="shared" si="471"/>
        <v>544.5</v>
      </c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310">
        <f t="shared" si="472"/>
        <v>0</v>
      </c>
      <c r="Z208" s="311">
        <f t="shared" si="473"/>
        <v>0.66</v>
      </c>
      <c r="AA208" s="311">
        <f t="shared" si="474"/>
        <v>0.66</v>
      </c>
      <c r="AB208" s="167">
        <f t="shared" si="475"/>
        <v>0.44000000000000006</v>
      </c>
      <c r="AC208" s="167">
        <f t="shared" si="476"/>
        <v>0</v>
      </c>
      <c r="AD208" s="167">
        <f t="shared" si="477"/>
        <v>326.7</v>
      </c>
      <c r="AE208" s="167">
        <f t="shared" si="478"/>
        <v>326.7</v>
      </c>
      <c r="AF208" s="167">
        <f t="shared" si="479"/>
        <v>217.8</v>
      </c>
      <c r="AG208" s="168">
        <f t="shared" si="336"/>
        <v>0.6</v>
      </c>
      <c r="AH208" s="137"/>
      <c r="AI208" s="311">
        <v>0</v>
      </c>
      <c r="AJ208" s="137"/>
      <c r="AK208" s="137"/>
      <c r="AL208" s="137"/>
      <c r="AM208" s="137"/>
      <c r="AN208" s="137"/>
      <c r="AO208" s="137"/>
      <c r="AP208" s="137"/>
      <c r="AQ208" s="137"/>
      <c r="AR208" s="137"/>
      <c r="AS208" s="137"/>
      <c r="AT208" s="137"/>
      <c r="AU208" s="137"/>
      <c r="AV208" s="137"/>
      <c r="AW208" s="137"/>
      <c r="AX208" s="137"/>
      <c r="AY208" s="137"/>
      <c r="AZ208" s="137"/>
      <c r="BA208" s="168">
        <v>0.6</v>
      </c>
      <c r="BB208" s="137"/>
      <c r="BC208" s="168">
        <f t="shared" ref="BC208:BJ208" si="482">SUM(BS207:BZ207)</f>
        <v>0</v>
      </c>
      <c r="BD208" s="168">
        <f t="shared" si="481"/>
        <v>0</v>
      </c>
      <c r="BE208" s="168">
        <f t="shared" si="482"/>
        <v>0</v>
      </c>
      <c r="BF208" s="168">
        <f t="shared" si="482"/>
        <v>0</v>
      </c>
      <c r="BG208" s="168">
        <f t="shared" si="482"/>
        <v>0</v>
      </c>
      <c r="BH208" s="168">
        <f t="shared" si="482"/>
        <v>0</v>
      </c>
      <c r="BI208" s="168">
        <f t="shared" si="482"/>
        <v>0</v>
      </c>
      <c r="BJ208" s="168">
        <f t="shared" si="482"/>
        <v>0</v>
      </c>
      <c r="BK208" s="137"/>
      <c r="BL208" s="137"/>
      <c r="BM208" s="137"/>
      <c r="BN208" s="137"/>
      <c r="BO208" s="137"/>
      <c r="BP208" s="137"/>
      <c r="BQ208" s="137"/>
      <c r="BR208" s="137"/>
      <c r="BS208" s="137"/>
      <c r="BT208" s="137"/>
      <c r="BU208" s="137"/>
    </row>
    <row r="209" spans="1:73" ht="12.75" customHeight="1" x14ac:dyDescent="0.25">
      <c r="A209" s="200"/>
      <c r="B209" s="200" t="s">
        <v>300</v>
      </c>
      <c r="C209" s="340">
        <v>4</v>
      </c>
      <c r="D209" s="203">
        <f t="shared" si="469"/>
        <v>4.4000000000000004</v>
      </c>
      <c r="E209" s="203" t="s">
        <v>6</v>
      </c>
      <c r="F209" s="203">
        <f>'Material and Labor Cost'!$D$34</f>
        <v>1265</v>
      </c>
      <c r="G209" s="203">
        <f>'Material and Labor Cost'!$F$34</f>
        <v>640</v>
      </c>
      <c r="H209" s="203">
        <f t="shared" si="470"/>
        <v>1905</v>
      </c>
      <c r="I209" s="203">
        <f t="shared" si="471"/>
        <v>8382</v>
      </c>
      <c r="J209" s="137"/>
      <c r="K209" s="137"/>
      <c r="L209" s="137"/>
      <c r="M209" s="137">
        <v>46.2</v>
      </c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310">
        <f t="shared" si="472"/>
        <v>0</v>
      </c>
      <c r="Z209" s="311">
        <f t="shared" si="473"/>
        <v>0</v>
      </c>
      <c r="AA209" s="311">
        <f t="shared" si="474"/>
        <v>0</v>
      </c>
      <c r="AB209" s="167">
        <f t="shared" si="475"/>
        <v>4.4000000000000004</v>
      </c>
      <c r="AC209" s="167">
        <f t="shared" si="476"/>
        <v>0</v>
      </c>
      <c r="AD209" s="167">
        <f t="shared" si="477"/>
        <v>0</v>
      </c>
      <c r="AE209" s="167">
        <f t="shared" si="478"/>
        <v>0</v>
      </c>
      <c r="AF209" s="167">
        <f t="shared" si="479"/>
        <v>8382</v>
      </c>
      <c r="AG209" s="168">
        <f t="shared" si="336"/>
        <v>0</v>
      </c>
      <c r="AH209" s="137"/>
      <c r="AI209" s="311">
        <v>0</v>
      </c>
      <c r="AJ209" s="137"/>
      <c r="AK209" s="137"/>
      <c r="AL209" s="137"/>
      <c r="AM209" s="137"/>
      <c r="AN209" s="137"/>
      <c r="AO209" s="137"/>
      <c r="AP209" s="137"/>
      <c r="AQ209" s="137"/>
      <c r="AR209" s="137"/>
      <c r="AS209" s="137"/>
      <c r="AT209" s="137"/>
      <c r="AU209" s="137"/>
      <c r="AV209" s="137"/>
      <c r="AW209" s="137"/>
      <c r="AX209" s="137"/>
      <c r="AY209" s="137"/>
      <c r="AZ209" s="137"/>
      <c r="BA209" s="168">
        <f t="shared" ref="BA209:BA211" si="483">SUM(BK208:BQ208)</f>
        <v>0</v>
      </c>
      <c r="BB209" s="137"/>
      <c r="BC209" s="168">
        <f t="shared" ref="BC209:BJ209" si="484">SUM(BS208:BZ208)</f>
        <v>0</v>
      </c>
      <c r="BD209" s="168">
        <f t="shared" si="481"/>
        <v>0</v>
      </c>
      <c r="BE209" s="168">
        <f t="shared" si="484"/>
        <v>0</v>
      </c>
      <c r="BF209" s="168">
        <f t="shared" si="484"/>
        <v>0</v>
      </c>
      <c r="BG209" s="168">
        <f t="shared" si="484"/>
        <v>0</v>
      </c>
      <c r="BH209" s="168">
        <f t="shared" si="484"/>
        <v>0</v>
      </c>
      <c r="BI209" s="168">
        <f t="shared" si="484"/>
        <v>0</v>
      </c>
      <c r="BJ209" s="168">
        <f t="shared" si="484"/>
        <v>0</v>
      </c>
      <c r="BK209" s="137"/>
      <c r="BL209" s="137"/>
      <c r="BM209" s="137"/>
      <c r="BN209" s="137"/>
      <c r="BO209" s="137"/>
      <c r="BP209" s="137"/>
      <c r="BQ209" s="137"/>
      <c r="BR209" s="137"/>
      <c r="BS209" s="137"/>
      <c r="BT209" s="137"/>
      <c r="BU209" s="137"/>
    </row>
    <row r="210" spans="1:73" ht="12.75" customHeight="1" x14ac:dyDescent="0.25">
      <c r="A210" s="200"/>
      <c r="B210" s="204" t="s">
        <v>310</v>
      </c>
      <c r="C210" s="340">
        <f>C208+C207</f>
        <v>10.199999999999999</v>
      </c>
      <c r="D210" s="203">
        <f t="shared" si="469"/>
        <v>11.22</v>
      </c>
      <c r="E210" s="203" t="s">
        <v>6</v>
      </c>
      <c r="F210" s="203">
        <f>'Material and Labor Cost'!$D$28</f>
        <v>2640</v>
      </c>
      <c r="G210" s="203">
        <f>'Material and Labor Cost'!$F$28</f>
        <v>880</v>
      </c>
      <c r="H210" s="203">
        <f t="shared" si="470"/>
        <v>3520</v>
      </c>
      <c r="I210" s="203">
        <f t="shared" si="471"/>
        <v>39494.400000000001</v>
      </c>
      <c r="J210" s="137"/>
      <c r="K210" s="137"/>
      <c r="L210" s="137"/>
      <c r="M210" s="137">
        <v>18</v>
      </c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310">
        <f t="shared" si="472"/>
        <v>0</v>
      </c>
      <c r="Z210" s="311">
        <f t="shared" si="473"/>
        <v>0</v>
      </c>
      <c r="AA210" s="311">
        <f t="shared" si="474"/>
        <v>0</v>
      </c>
      <c r="AB210" s="167">
        <f t="shared" si="475"/>
        <v>11.22</v>
      </c>
      <c r="AC210" s="167">
        <f t="shared" si="476"/>
        <v>0</v>
      </c>
      <c r="AD210" s="167">
        <f t="shared" si="477"/>
        <v>0</v>
      </c>
      <c r="AE210" s="167">
        <f t="shared" si="478"/>
        <v>0</v>
      </c>
      <c r="AF210" s="167">
        <f t="shared" si="479"/>
        <v>39494.400000000001</v>
      </c>
      <c r="AG210" s="168">
        <f t="shared" si="336"/>
        <v>0</v>
      </c>
      <c r="AH210" s="137"/>
      <c r="AI210" s="311">
        <v>0</v>
      </c>
      <c r="AJ210" s="137"/>
      <c r="AK210" s="137"/>
      <c r="AL210" s="137"/>
      <c r="AM210" s="137"/>
      <c r="AN210" s="137"/>
      <c r="AO210" s="137"/>
      <c r="AP210" s="137"/>
      <c r="AQ210" s="137"/>
      <c r="AR210" s="137"/>
      <c r="AS210" s="137"/>
      <c r="AT210" s="137"/>
      <c r="AU210" s="137"/>
      <c r="AV210" s="137"/>
      <c r="AW210" s="137"/>
      <c r="AX210" s="137"/>
      <c r="AY210" s="137"/>
      <c r="AZ210" s="137"/>
      <c r="BA210" s="168">
        <f t="shared" si="483"/>
        <v>0</v>
      </c>
      <c r="BB210" s="137"/>
      <c r="BC210" s="168">
        <f t="shared" ref="BC210:BJ210" si="485">SUM(BS209:BZ209)</f>
        <v>0</v>
      </c>
      <c r="BD210" s="168">
        <f t="shared" si="481"/>
        <v>0</v>
      </c>
      <c r="BE210" s="168">
        <f t="shared" si="485"/>
        <v>0</v>
      </c>
      <c r="BF210" s="168">
        <f t="shared" si="485"/>
        <v>0</v>
      </c>
      <c r="BG210" s="168">
        <f t="shared" si="485"/>
        <v>0</v>
      </c>
      <c r="BH210" s="168">
        <f t="shared" si="485"/>
        <v>0</v>
      </c>
      <c r="BI210" s="168">
        <f t="shared" si="485"/>
        <v>0</v>
      </c>
      <c r="BJ210" s="168">
        <f t="shared" si="485"/>
        <v>0</v>
      </c>
      <c r="BK210" s="137"/>
      <c r="BL210" s="137"/>
      <c r="BM210" s="137"/>
      <c r="BN210" s="137"/>
      <c r="BO210" s="137"/>
      <c r="BP210" s="137"/>
      <c r="BQ210" s="137"/>
      <c r="BR210" s="137"/>
      <c r="BS210" s="137"/>
      <c r="BT210" s="137"/>
      <c r="BU210" s="137"/>
    </row>
    <row r="211" spans="1:73" ht="12.75" customHeight="1" x14ac:dyDescent="0.25">
      <c r="A211" s="200"/>
      <c r="B211" s="200" t="s">
        <v>278</v>
      </c>
      <c r="C211" s="340">
        <v>1.1000000000000001</v>
      </c>
      <c r="D211" s="203">
        <f t="shared" si="469"/>
        <v>1.2100000000000002</v>
      </c>
      <c r="E211" s="203" t="s">
        <v>6</v>
      </c>
      <c r="F211" s="203">
        <f>'Material and Labor Cost'!$D$27</f>
        <v>6600.0000000000009</v>
      </c>
      <c r="G211" s="203">
        <f>'Material and Labor Cost'!$F$27</f>
        <v>3300.0000000000005</v>
      </c>
      <c r="H211" s="203">
        <f t="shared" si="470"/>
        <v>9900.0000000000018</v>
      </c>
      <c r="I211" s="203">
        <f t="shared" si="471"/>
        <v>11979.000000000004</v>
      </c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310">
        <f t="shared" si="472"/>
        <v>0</v>
      </c>
      <c r="Z211" s="311">
        <f t="shared" si="473"/>
        <v>0</v>
      </c>
      <c r="AA211" s="311">
        <f t="shared" si="474"/>
        <v>0</v>
      </c>
      <c r="AB211" s="167">
        <f t="shared" si="475"/>
        <v>1.2100000000000002</v>
      </c>
      <c r="AC211" s="167">
        <f t="shared" si="476"/>
        <v>0</v>
      </c>
      <c r="AD211" s="167">
        <f t="shared" si="477"/>
        <v>0</v>
      </c>
      <c r="AE211" s="167">
        <f t="shared" si="478"/>
        <v>0</v>
      </c>
      <c r="AF211" s="167">
        <f t="shared" si="479"/>
        <v>11979.000000000004</v>
      </c>
      <c r="AG211" s="168">
        <f t="shared" si="336"/>
        <v>0</v>
      </c>
      <c r="AH211" s="137"/>
      <c r="AI211" s="311">
        <v>0</v>
      </c>
      <c r="AJ211" s="137"/>
      <c r="AK211" s="137"/>
      <c r="AL211" s="137"/>
      <c r="AM211" s="137"/>
      <c r="AN211" s="137"/>
      <c r="AO211" s="137"/>
      <c r="AP211" s="137"/>
      <c r="AQ211" s="137"/>
      <c r="AR211" s="137"/>
      <c r="AS211" s="137"/>
      <c r="AT211" s="137"/>
      <c r="AU211" s="137"/>
      <c r="AV211" s="137"/>
      <c r="AW211" s="137"/>
      <c r="AX211" s="137"/>
      <c r="AY211" s="137"/>
      <c r="AZ211" s="137"/>
      <c r="BA211" s="168">
        <f t="shared" si="483"/>
        <v>0</v>
      </c>
      <c r="BB211" s="137"/>
      <c r="BC211" s="168">
        <f t="shared" ref="BC211:BJ211" si="486">SUM(BS210:BZ210)</f>
        <v>0</v>
      </c>
      <c r="BD211" s="168">
        <f t="shared" si="481"/>
        <v>0</v>
      </c>
      <c r="BE211" s="168">
        <f t="shared" si="486"/>
        <v>0</v>
      </c>
      <c r="BF211" s="168">
        <f t="shared" si="486"/>
        <v>0</v>
      </c>
      <c r="BG211" s="168">
        <f t="shared" si="486"/>
        <v>0</v>
      </c>
      <c r="BH211" s="168">
        <f t="shared" si="486"/>
        <v>0</v>
      </c>
      <c r="BI211" s="168">
        <f t="shared" si="486"/>
        <v>0</v>
      </c>
      <c r="BJ211" s="168">
        <f t="shared" si="486"/>
        <v>0</v>
      </c>
      <c r="BK211" s="137"/>
      <c r="BL211" s="137"/>
      <c r="BM211" s="137"/>
      <c r="BN211" s="137"/>
      <c r="BO211" s="137"/>
      <c r="BP211" s="137"/>
      <c r="BQ211" s="137"/>
      <c r="BR211" s="137"/>
      <c r="BS211" s="137"/>
      <c r="BT211" s="137"/>
      <c r="BU211" s="137"/>
    </row>
    <row r="212" spans="1:73" ht="12.75" customHeight="1" x14ac:dyDescent="0.25">
      <c r="A212" s="200"/>
      <c r="B212" s="204" t="s">
        <v>288</v>
      </c>
      <c r="C212" s="340">
        <v>15</v>
      </c>
      <c r="D212" s="203">
        <f t="shared" si="469"/>
        <v>16.5</v>
      </c>
      <c r="E212" s="203" t="s">
        <v>114</v>
      </c>
      <c r="F212" s="203">
        <f>'Material and Labor Cost'!$D$32</f>
        <v>55.000000000000007</v>
      </c>
      <c r="G212" s="203">
        <f>'Material and Labor Cost'!$F$32</f>
        <v>30.000000000000004</v>
      </c>
      <c r="H212" s="203">
        <f t="shared" si="470"/>
        <v>85.000000000000014</v>
      </c>
      <c r="I212" s="203">
        <f t="shared" si="471"/>
        <v>1402.5000000000002</v>
      </c>
      <c r="J212" s="137"/>
      <c r="K212" s="137"/>
      <c r="L212" s="137"/>
      <c r="M212" s="137">
        <f>SUM(M209:M211)*0.3</f>
        <v>19.260000000000002</v>
      </c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310">
        <f t="shared" si="472"/>
        <v>0</v>
      </c>
      <c r="Z212" s="311">
        <f t="shared" si="473"/>
        <v>9.9</v>
      </c>
      <c r="AA212" s="311">
        <f t="shared" si="474"/>
        <v>9.9</v>
      </c>
      <c r="AB212" s="167">
        <f t="shared" si="475"/>
        <v>6.6</v>
      </c>
      <c r="AC212" s="167">
        <f t="shared" si="476"/>
        <v>0</v>
      </c>
      <c r="AD212" s="167">
        <f t="shared" si="477"/>
        <v>841.50000000000011</v>
      </c>
      <c r="AE212" s="167">
        <f t="shared" si="478"/>
        <v>841.50000000000011</v>
      </c>
      <c r="AF212" s="167">
        <f t="shared" si="479"/>
        <v>561.00000000000011</v>
      </c>
      <c r="AG212" s="168">
        <f t="shared" si="336"/>
        <v>0.6</v>
      </c>
      <c r="AH212" s="137"/>
      <c r="AI212" s="311">
        <v>0</v>
      </c>
      <c r="AJ212" s="137"/>
      <c r="AK212" s="137"/>
      <c r="AL212" s="137"/>
      <c r="AM212" s="137"/>
      <c r="AN212" s="137"/>
      <c r="AO212" s="137"/>
      <c r="AP212" s="137"/>
      <c r="AQ212" s="137"/>
      <c r="AR212" s="137"/>
      <c r="AS212" s="137"/>
      <c r="AT212" s="137"/>
      <c r="AU212" s="137"/>
      <c r="AV212" s="137"/>
      <c r="AW212" s="137"/>
      <c r="AX212" s="137"/>
      <c r="AY212" s="137"/>
      <c r="AZ212" s="137"/>
      <c r="BA212" s="168">
        <v>0.6</v>
      </c>
      <c r="BB212" s="137"/>
      <c r="BC212" s="168">
        <f t="shared" ref="BC212:BJ212" si="487">SUM(BS211:BZ211)</f>
        <v>0</v>
      </c>
      <c r="BD212" s="168">
        <f t="shared" si="481"/>
        <v>0</v>
      </c>
      <c r="BE212" s="168">
        <f t="shared" si="487"/>
        <v>0</v>
      </c>
      <c r="BF212" s="168">
        <f t="shared" si="487"/>
        <v>0</v>
      </c>
      <c r="BG212" s="168">
        <f t="shared" si="487"/>
        <v>0</v>
      </c>
      <c r="BH212" s="168">
        <f t="shared" si="487"/>
        <v>0</v>
      </c>
      <c r="BI212" s="168">
        <f t="shared" si="487"/>
        <v>0</v>
      </c>
      <c r="BJ212" s="168">
        <f t="shared" si="487"/>
        <v>0</v>
      </c>
      <c r="BK212" s="137"/>
      <c r="BL212" s="137"/>
      <c r="BM212" s="137"/>
      <c r="BN212" s="137"/>
      <c r="BO212" s="137"/>
      <c r="BP212" s="137"/>
      <c r="BQ212" s="137"/>
      <c r="BR212" s="137"/>
      <c r="BS212" s="137"/>
      <c r="BT212" s="137"/>
      <c r="BU212" s="137"/>
    </row>
    <row r="213" spans="1:73" ht="12.75" customHeight="1" x14ac:dyDescent="0.25">
      <c r="A213" s="200"/>
      <c r="B213" s="204" t="s">
        <v>272</v>
      </c>
      <c r="C213" s="340"/>
      <c r="D213" s="203">
        <v>1</v>
      </c>
      <c r="E213" s="203" t="s">
        <v>94</v>
      </c>
      <c r="F213" s="203"/>
      <c r="G213" s="203"/>
      <c r="H213" s="203"/>
      <c r="I213" s="203">
        <f>SUM(I207:I212)*$L$27</f>
        <v>8480.1023999999998</v>
      </c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310">
        <f t="shared" si="472"/>
        <v>0</v>
      </c>
      <c r="Z213" s="311">
        <f t="shared" si="473"/>
        <v>0.3</v>
      </c>
      <c r="AA213" s="311">
        <f t="shared" si="474"/>
        <v>0.3</v>
      </c>
      <c r="AB213" s="167">
        <f t="shared" si="475"/>
        <v>0.7</v>
      </c>
      <c r="AC213" s="167">
        <f t="shared" si="476"/>
        <v>0</v>
      </c>
      <c r="AD213" s="167">
        <f t="shared" si="477"/>
        <v>2544.0307199999997</v>
      </c>
      <c r="AE213" s="167">
        <f t="shared" si="478"/>
        <v>2544.0307199999997</v>
      </c>
      <c r="AF213" s="167">
        <f t="shared" si="479"/>
        <v>5936.07168</v>
      </c>
      <c r="AG213" s="168">
        <f t="shared" si="336"/>
        <v>0.3</v>
      </c>
      <c r="AH213" s="137"/>
      <c r="AI213" s="311">
        <v>0</v>
      </c>
      <c r="AJ213" s="137"/>
      <c r="AK213" s="137"/>
      <c r="AL213" s="137"/>
      <c r="AM213" s="137"/>
      <c r="AN213" s="137"/>
      <c r="AO213" s="137"/>
      <c r="AP213" s="137"/>
      <c r="AQ213" s="137"/>
      <c r="AR213" s="137"/>
      <c r="AS213" s="137"/>
      <c r="AT213" s="137"/>
      <c r="AU213" s="137"/>
      <c r="AV213" s="137"/>
      <c r="AW213" s="137"/>
      <c r="AX213" s="137"/>
      <c r="AY213" s="137"/>
      <c r="AZ213" s="137"/>
      <c r="BA213" s="168">
        <v>0.3</v>
      </c>
      <c r="BB213" s="137"/>
      <c r="BC213" s="168">
        <f t="shared" ref="BC213:BJ213" si="488">SUM(BS212:BZ212)</f>
        <v>0</v>
      </c>
      <c r="BD213" s="168">
        <f t="shared" si="481"/>
        <v>0</v>
      </c>
      <c r="BE213" s="168">
        <f t="shared" si="488"/>
        <v>0</v>
      </c>
      <c r="BF213" s="168">
        <f t="shared" si="488"/>
        <v>0</v>
      </c>
      <c r="BG213" s="168">
        <f t="shared" si="488"/>
        <v>0</v>
      </c>
      <c r="BH213" s="168">
        <f t="shared" si="488"/>
        <v>0</v>
      </c>
      <c r="BI213" s="168">
        <f t="shared" si="488"/>
        <v>0</v>
      </c>
      <c r="BJ213" s="168">
        <f t="shared" si="488"/>
        <v>0</v>
      </c>
      <c r="BK213" s="137"/>
      <c r="BL213" s="137"/>
      <c r="BM213" s="137"/>
      <c r="BN213" s="137"/>
      <c r="BO213" s="137"/>
      <c r="BP213" s="137"/>
      <c r="BQ213" s="137"/>
      <c r="BR213" s="137"/>
      <c r="BS213" s="137"/>
      <c r="BT213" s="137"/>
      <c r="BU213" s="137"/>
    </row>
    <row r="214" spans="1:73" ht="12.75" customHeight="1" x14ac:dyDescent="0.25">
      <c r="A214" s="228"/>
      <c r="B214" s="510" t="s">
        <v>335</v>
      </c>
      <c r="C214" s="501"/>
      <c r="D214" s="501"/>
      <c r="E214" s="501"/>
      <c r="F214" s="501"/>
      <c r="G214" s="501"/>
      <c r="H214" s="502"/>
      <c r="I214" s="229">
        <f>SUM(I207:I213)</f>
        <v>79147.622400000007</v>
      </c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307">
        <f t="shared" ref="Y214:AF214" si="489">SUM(Y207:Y213)</f>
        <v>0</v>
      </c>
      <c r="Z214" s="184">
        <f t="shared" si="489"/>
        <v>16.931999999999999</v>
      </c>
      <c r="AA214" s="184">
        <f t="shared" si="489"/>
        <v>16.931999999999999</v>
      </c>
      <c r="AB214" s="235">
        <f t="shared" si="489"/>
        <v>28.618000000000006</v>
      </c>
      <c r="AC214" s="235">
        <f t="shared" si="489"/>
        <v>0</v>
      </c>
      <c r="AD214" s="235">
        <f t="shared" si="489"/>
        <v>9031.3027199999997</v>
      </c>
      <c r="AE214" s="235">
        <f t="shared" si="489"/>
        <v>9031.3027199999997</v>
      </c>
      <c r="AF214" s="235">
        <f t="shared" si="489"/>
        <v>70116.319680000001</v>
      </c>
      <c r="AG214" s="168">
        <f t="shared" ref="AG214:AG239" si="490">BA214</f>
        <v>0.29999999999999993</v>
      </c>
      <c r="AH214" s="137"/>
      <c r="AI214" s="184">
        <v>0</v>
      </c>
      <c r="AJ214" s="137"/>
      <c r="AK214" s="137"/>
      <c r="AL214" s="137"/>
      <c r="AM214" s="137"/>
      <c r="AN214" s="137"/>
      <c r="AO214" s="137"/>
      <c r="AP214" s="137"/>
      <c r="AQ214" s="137"/>
      <c r="AR214" s="137"/>
      <c r="AS214" s="137"/>
      <c r="AT214" s="137"/>
      <c r="AU214" s="137"/>
      <c r="AV214" s="137"/>
      <c r="AW214" s="137"/>
      <c r="AX214" s="137"/>
      <c r="AY214" s="137"/>
      <c r="AZ214" s="137"/>
      <c r="BA214" s="308">
        <f>SUM(BA207:BA213)/COUNT(BA207:BA213)</f>
        <v>0.29999999999999993</v>
      </c>
      <c r="BB214" s="137"/>
      <c r="BC214" s="308">
        <f t="shared" ref="BC214:BJ214" si="491">SUM(BC207:BC213)/COUNT(BC207:BC213)</f>
        <v>0</v>
      </c>
      <c r="BD214" s="308">
        <f>SUM(BD207:BD213)/COUNT(BD207:BD213)</f>
        <v>0</v>
      </c>
      <c r="BE214" s="308">
        <f t="shared" si="491"/>
        <v>0</v>
      </c>
      <c r="BF214" s="308">
        <f t="shared" si="491"/>
        <v>0</v>
      </c>
      <c r="BG214" s="308">
        <f t="shared" si="491"/>
        <v>0</v>
      </c>
      <c r="BH214" s="308">
        <f t="shared" si="491"/>
        <v>0</v>
      </c>
      <c r="BI214" s="308">
        <f t="shared" si="491"/>
        <v>0</v>
      </c>
      <c r="BJ214" s="308">
        <f t="shared" si="491"/>
        <v>0</v>
      </c>
      <c r="BK214" s="137"/>
      <c r="BL214" s="137"/>
      <c r="BM214" s="137"/>
      <c r="BN214" s="137"/>
      <c r="BO214" s="137"/>
      <c r="BP214" s="137"/>
      <c r="BQ214" s="137"/>
      <c r="BR214" s="137"/>
      <c r="BS214" s="137"/>
      <c r="BT214" s="137"/>
      <c r="BU214" s="137"/>
    </row>
    <row r="215" spans="1:73" ht="12.75" customHeight="1" x14ac:dyDescent="0.25">
      <c r="A215" s="200"/>
      <c r="B215" s="339" t="s">
        <v>336</v>
      </c>
      <c r="C215" s="340"/>
      <c r="D215" s="203"/>
      <c r="E215" s="203"/>
      <c r="F215" s="203"/>
      <c r="G215" s="203"/>
      <c r="H215" s="203"/>
      <c r="I215" s="203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310"/>
      <c r="Z215" s="311"/>
      <c r="AA215" s="311"/>
      <c r="AB215" s="167"/>
      <c r="AC215" s="167"/>
      <c r="AD215" s="167"/>
      <c r="AE215" s="167"/>
      <c r="AF215" s="167"/>
      <c r="AG215" s="168">
        <f t="shared" si="490"/>
        <v>0</v>
      </c>
      <c r="AH215" s="137"/>
      <c r="AI215" s="311"/>
      <c r="AJ215" s="137"/>
      <c r="AK215" s="137"/>
      <c r="AL215" s="137"/>
      <c r="AM215" s="137"/>
      <c r="AN215" s="137"/>
      <c r="AO215" s="137"/>
      <c r="AP215" s="137"/>
      <c r="AQ215" s="137"/>
      <c r="AR215" s="137"/>
      <c r="AS215" s="137"/>
      <c r="AT215" s="137"/>
      <c r="AU215" s="137"/>
      <c r="AV215" s="137"/>
      <c r="AW215" s="137"/>
      <c r="AX215" s="137"/>
      <c r="AY215" s="137"/>
      <c r="AZ215" s="137"/>
      <c r="BA215" s="137"/>
      <c r="BB215" s="137"/>
      <c r="BC215" s="137"/>
      <c r="BD215" s="137"/>
      <c r="BE215" s="137"/>
      <c r="BF215" s="137"/>
      <c r="BG215" s="137"/>
      <c r="BH215" s="137"/>
      <c r="BI215" s="137"/>
      <c r="BJ215" s="137"/>
      <c r="BK215" s="137"/>
      <c r="BL215" s="137"/>
      <c r="BM215" s="137"/>
      <c r="BN215" s="137"/>
      <c r="BO215" s="137"/>
      <c r="BP215" s="137"/>
      <c r="BQ215" s="137"/>
      <c r="BR215" s="137"/>
      <c r="BS215" s="137"/>
      <c r="BT215" s="137"/>
      <c r="BU215" s="137"/>
    </row>
    <row r="216" spans="1:73" ht="12.75" customHeight="1" x14ac:dyDescent="0.25">
      <c r="A216" s="200"/>
      <c r="B216" s="291" t="s">
        <v>267</v>
      </c>
      <c r="C216" s="340">
        <v>24.36</v>
      </c>
      <c r="D216" s="203">
        <f t="shared" ref="D216:D221" si="492">C216*$L$23</f>
        <v>26.796000000000003</v>
      </c>
      <c r="E216" s="203" t="s">
        <v>6</v>
      </c>
      <c r="F216" s="203">
        <f>'Material and Labor Cost'!$D$21</f>
        <v>576</v>
      </c>
      <c r="G216" s="203">
        <f>'Material and Labor Cost'!$F$21</f>
        <v>300</v>
      </c>
      <c r="H216" s="203">
        <f t="shared" ref="H216:H221" si="493">SUM(F216:G216)</f>
        <v>876</v>
      </c>
      <c r="I216" s="203">
        <f t="shared" ref="I216:I221" si="494">H216*D216</f>
        <v>23473.296000000002</v>
      </c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310">
        <f t="shared" ref="Y216:Y222" si="495">SUM(AI216:AP216)</f>
        <v>0</v>
      </c>
      <c r="Z216" s="311">
        <f t="shared" ref="Z216:Z222" si="496">D216*AG216</f>
        <v>5.3592000000000013</v>
      </c>
      <c r="AA216" s="311">
        <f t="shared" ref="AA216:AA222" si="497">SUM(Y216:Z216)</f>
        <v>5.3592000000000013</v>
      </c>
      <c r="AB216" s="167">
        <f t="shared" ref="AB216:AB222" si="498">D216-AA216</f>
        <v>21.436800000000002</v>
      </c>
      <c r="AC216" s="167">
        <f t="shared" ref="AC216:AC222" si="499">SUM(AR215:AY215)</f>
        <v>0</v>
      </c>
      <c r="AD216" s="167">
        <f t="shared" ref="AD216:AD222" si="500">AG216*I216</f>
        <v>4694.659200000001</v>
      </c>
      <c r="AE216" s="167">
        <f t="shared" ref="AE216:AE222" si="501">SUM(AC216:AD216)</f>
        <v>4694.659200000001</v>
      </c>
      <c r="AF216" s="167">
        <f t="shared" ref="AF216:AF222" si="502">I216-AE216</f>
        <v>18778.6368</v>
      </c>
      <c r="AG216" s="168">
        <f t="shared" si="490"/>
        <v>0.2</v>
      </c>
      <c r="AH216" s="137"/>
      <c r="AI216" s="311">
        <v>0</v>
      </c>
      <c r="AJ216" s="137"/>
      <c r="AK216" s="137"/>
      <c r="AL216" s="137"/>
      <c r="AM216" s="137"/>
      <c r="AN216" s="137"/>
      <c r="AO216" s="137"/>
      <c r="AP216" s="137"/>
      <c r="AQ216" s="137"/>
      <c r="AR216" s="137"/>
      <c r="AS216" s="137"/>
      <c r="AT216" s="137"/>
      <c r="AU216" s="137"/>
      <c r="AV216" s="137"/>
      <c r="AW216" s="137"/>
      <c r="AX216" s="137"/>
      <c r="AY216" s="137"/>
      <c r="AZ216" s="137"/>
      <c r="BA216" s="168">
        <v>0.2</v>
      </c>
      <c r="BB216" s="137"/>
      <c r="BC216" s="168">
        <f t="shared" ref="BC216:BJ216" si="503">SUM(BS215:BZ215)</f>
        <v>0</v>
      </c>
      <c r="BD216" s="168">
        <v>0.8</v>
      </c>
      <c r="BE216" s="168">
        <f t="shared" si="503"/>
        <v>0</v>
      </c>
      <c r="BF216" s="168">
        <f t="shared" si="503"/>
        <v>0</v>
      </c>
      <c r="BG216" s="168">
        <f t="shared" si="503"/>
        <v>0</v>
      </c>
      <c r="BH216" s="168">
        <f t="shared" si="503"/>
        <v>0</v>
      </c>
      <c r="BI216" s="168">
        <f t="shared" si="503"/>
        <v>0</v>
      </c>
      <c r="BJ216" s="168">
        <f t="shared" si="503"/>
        <v>0</v>
      </c>
      <c r="BK216" s="137"/>
      <c r="BL216" s="137"/>
      <c r="BM216" s="137"/>
      <c r="BN216" s="137"/>
      <c r="BO216" s="137"/>
      <c r="BP216" s="137"/>
      <c r="BQ216" s="137"/>
      <c r="BR216" s="137"/>
      <c r="BS216" s="137"/>
      <c r="BT216" s="137"/>
      <c r="BU216" s="137"/>
    </row>
    <row r="217" spans="1:73" ht="12.75" customHeight="1" x14ac:dyDescent="0.25">
      <c r="A217" s="200"/>
      <c r="B217" s="291" t="s">
        <v>269</v>
      </c>
      <c r="C217" s="340">
        <v>5.5</v>
      </c>
      <c r="D217" s="203">
        <f t="shared" si="492"/>
        <v>6.0500000000000007</v>
      </c>
      <c r="E217" s="203" t="s">
        <v>6</v>
      </c>
      <c r="F217" s="203">
        <f>'Material and Labor Cost'!$D$23</f>
        <v>330</v>
      </c>
      <c r="G217" s="203">
        <f>'Material and Labor Cost'!$F$23</f>
        <v>165</v>
      </c>
      <c r="H217" s="203">
        <f t="shared" si="493"/>
        <v>495</v>
      </c>
      <c r="I217" s="203">
        <f t="shared" si="494"/>
        <v>2994.7500000000005</v>
      </c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310">
        <f t="shared" si="495"/>
        <v>0</v>
      </c>
      <c r="Z217" s="311">
        <f t="shared" si="496"/>
        <v>1.2100000000000002</v>
      </c>
      <c r="AA217" s="311">
        <f t="shared" si="497"/>
        <v>1.2100000000000002</v>
      </c>
      <c r="AB217" s="167">
        <f t="shared" si="498"/>
        <v>4.8400000000000007</v>
      </c>
      <c r="AC217" s="167">
        <f t="shared" si="499"/>
        <v>0</v>
      </c>
      <c r="AD217" s="167">
        <f t="shared" si="500"/>
        <v>598.95000000000016</v>
      </c>
      <c r="AE217" s="167">
        <f t="shared" si="501"/>
        <v>598.95000000000016</v>
      </c>
      <c r="AF217" s="167">
        <f t="shared" si="502"/>
        <v>2395.8000000000002</v>
      </c>
      <c r="AG217" s="168">
        <f t="shared" si="490"/>
        <v>0.2</v>
      </c>
      <c r="AH217" s="137"/>
      <c r="AI217" s="311">
        <v>0</v>
      </c>
      <c r="AJ217" s="137"/>
      <c r="AK217" s="137"/>
      <c r="AL217" s="137"/>
      <c r="AM217" s="137"/>
      <c r="AN217" s="137"/>
      <c r="AO217" s="137"/>
      <c r="AP217" s="137"/>
      <c r="AQ217" s="137"/>
      <c r="AR217" s="137"/>
      <c r="AS217" s="137"/>
      <c r="AT217" s="137"/>
      <c r="AU217" s="137"/>
      <c r="AV217" s="137"/>
      <c r="AW217" s="137"/>
      <c r="AX217" s="137"/>
      <c r="AY217" s="137"/>
      <c r="AZ217" s="137"/>
      <c r="BA217" s="168">
        <v>0.2</v>
      </c>
      <c r="BB217" s="137"/>
      <c r="BC217" s="168">
        <f t="shared" ref="BC217:BJ217" si="504">SUM(BS216:BZ216)</f>
        <v>0</v>
      </c>
      <c r="BD217" s="168">
        <v>0.8</v>
      </c>
      <c r="BE217" s="168">
        <f t="shared" si="504"/>
        <v>0</v>
      </c>
      <c r="BF217" s="168">
        <f t="shared" si="504"/>
        <v>0</v>
      </c>
      <c r="BG217" s="168">
        <f t="shared" si="504"/>
        <v>0</v>
      </c>
      <c r="BH217" s="168">
        <f t="shared" si="504"/>
        <v>0</v>
      </c>
      <c r="BI217" s="168">
        <f t="shared" si="504"/>
        <v>0</v>
      </c>
      <c r="BJ217" s="168">
        <f t="shared" si="504"/>
        <v>0</v>
      </c>
      <c r="BK217" s="137"/>
      <c r="BL217" s="137"/>
      <c r="BM217" s="137"/>
      <c r="BN217" s="137"/>
      <c r="BO217" s="137"/>
      <c r="BP217" s="137"/>
      <c r="BQ217" s="137"/>
      <c r="BR217" s="137"/>
      <c r="BS217" s="137"/>
      <c r="BT217" s="137"/>
      <c r="BU217" s="137"/>
    </row>
    <row r="218" spans="1:73" ht="12.75" customHeight="1" x14ac:dyDescent="0.25">
      <c r="A218" s="200"/>
      <c r="B218" s="200" t="s">
        <v>270</v>
      </c>
      <c r="C218" s="340">
        <v>7.81</v>
      </c>
      <c r="D218" s="203">
        <f t="shared" si="492"/>
        <v>8.5910000000000011</v>
      </c>
      <c r="E218" s="203" t="s">
        <v>114</v>
      </c>
      <c r="F218" s="203">
        <f>'Material and Labor Cost'!$D$24</f>
        <v>220.00000000000003</v>
      </c>
      <c r="G218" s="203">
        <f>'Material and Labor Cost'!$F$24</f>
        <v>110.00000000000001</v>
      </c>
      <c r="H218" s="203">
        <f t="shared" si="493"/>
        <v>330.00000000000006</v>
      </c>
      <c r="I218" s="203">
        <f t="shared" si="494"/>
        <v>2835.0300000000007</v>
      </c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310">
        <f t="shared" si="495"/>
        <v>0</v>
      </c>
      <c r="Z218" s="311">
        <f t="shared" si="496"/>
        <v>1.7182000000000004</v>
      </c>
      <c r="AA218" s="311">
        <f t="shared" si="497"/>
        <v>1.7182000000000004</v>
      </c>
      <c r="AB218" s="167">
        <f t="shared" si="498"/>
        <v>6.8728000000000007</v>
      </c>
      <c r="AC218" s="167">
        <f t="shared" si="499"/>
        <v>0</v>
      </c>
      <c r="AD218" s="167">
        <f t="shared" si="500"/>
        <v>567.0060000000002</v>
      </c>
      <c r="AE218" s="167">
        <f t="shared" si="501"/>
        <v>567.0060000000002</v>
      </c>
      <c r="AF218" s="167">
        <f t="shared" si="502"/>
        <v>2268.0240000000003</v>
      </c>
      <c r="AG218" s="168">
        <f t="shared" si="490"/>
        <v>0.2</v>
      </c>
      <c r="AH218" s="137"/>
      <c r="AI218" s="311">
        <v>0</v>
      </c>
      <c r="AJ218" s="137"/>
      <c r="AK218" s="137"/>
      <c r="AL218" s="137"/>
      <c r="AM218" s="137"/>
      <c r="AN218" s="137"/>
      <c r="AO218" s="137"/>
      <c r="AP218" s="137"/>
      <c r="AQ218" s="137"/>
      <c r="AR218" s="137"/>
      <c r="AS218" s="137"/>
      <c r="AT218" s="137"/>
      <c r="AU218" s="137"/>
      <c r="AV218" s="137"/>
      <c r="AW218" s="137"/>
      <c r="AX218" s="137"/>
      <c r="AY218" s="137"/>
      <c r="AZ218" s="137"/>
      <c r="BA218" s="168">
        <v>0.2</v>
      </c>
      <c r="BB218" s="137"/>
      <c r="BC218" s="168">
        <f t="shared" ref="BC218:BJ218" si="505">SUM(BS217:BZ217)</f>
        <v>0</v>
      </c>
      <c r="BD218" s="168">
        <v>0.8</v>
      </c>
      <c r="BE218" s="168">
        <f t="shared" si="505"/>
        <v>0</v>
      </c>
      <c r="BF218" s="168">
        <f t="shared" si="505"/>
        <v>0</v>
      </c>
      <c r="BG218" s="168">
        <f t="shared" si="505"/>
        <v>0</v>
      </c>
      <c r="BH218" s="168">
        <f t="shared" si="505"/>
        <v>0</v>
      </c>
      <c r="BI218" s="168">
        <f t="shared" si="505"/>
        <v>0</v>
      </c>
      <c r="BJ218" s="168">
        <f t="shared" si="505"/>
        <v>0</v>
      </c>
      <c r="BK218" s="137"/>
      <c r="BL218" s="137"/>
      <c r="BM218" s="137"/>
      <c r="BN218" s="137"/>
      <c r="BO218" s="137"/>
      <c r="BP218" s="137"/>
      <c r="BQ218" s="137"/>
      <c r="BR218" s="137"/>
      <c r="BS218" s="137"/>
      <c r="BT218" s="137"/>
      <c r="BU218" s="137"/>
    </row>
    <row r="219" spans="1:73" ht="12.75" customHeight="1" x14ac:dyDescent="0.25">
      <c r="A219" s="200"/>
      <c r="B219" s="204" t="s">
        <v>337</v>
      </c>
      <c r="C219" s="340">
        <v>3.9</v>
      </c>
      <c r="D219" s="203">
        <f t="shared" si="492"/>
        <v>4.29</v>
      </c>
      <c r="E219" s="203" t="s">
        <v>6</v>
      </c>
      <c r="F219" s="203">
        <f>'Material and Labor Cost'!$D$37</f>
        <v>6600.0000000000009</v>
      </c>
      <c r="G219" s="203">
        <f>'Material and Labor Cost'!$F$37</f>
        <v>3300.0000000000005</v>
      </c>
      <c r="H219" s="203">
        <f t="shared" si="493"/>
        <v>9900.0000000000018</v>
      </c>
      <c r="I219" s="203">
        <f t="shared" si="494"/>
        <v>42471.000000000007</v>
      </c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310">
        <f t="shared" si="495"/>
        <v>0</v>
      </c>
      <c r="Z219" s="311">
        <f t="shared" si="496"/>
        <v>0.8580000000000001</v>
      </c>
      <c r="AA219" s="311">
        <f t="shared" si="497"/>
        <v>0.8580000000000001</v>
      </c>
      <c r="AB219" s="167">
        <f t="shared" si="498"/>
        <v>3.4319999999999999</v>
      </c>
      <c r="AC219" s="167">
        <f t="shared" si="499"/>
        <v>0</v>
      </c>
      <c r="AD219" s="167">
        <f t="shared" si="500"/>
        <v>8494.2000000000025</v>
      </c>
      <c r="AE219" s="167">
        <f t="shared" si="501"/>
        <v>8494.2000000000025</v>
      </c>
      <c r="AF219" s="167">
        <f t="shared" si="502"/>
        <v>33976.800000000003</v>
      </c>
      <c r="AG219" s="168">
        <f t="shared" si="490"/>
        <v>0.2</v>
      </c>
      <c r="AH219" s="137"/>
      <c r="AI219" s="311">
        <v>0</v>
      </c>
      <c r="AJ219" s="137"/>
      <c r="AK219" s="137"/>
      <c r="AL219" s="137"/>
      <c r="AM219" s="137"/>
      <c r="AN219" s="137"/>
      <c r="AO219" s="137"/>
      <c r="AP219" s="137"/>
      <c r="AQ219" s="137"/>
      <c r="AR219" s="137"/>
      <c r="AS219" s="137"/>
      <c r="AT219" s="137"/>
      <c r="AU219" s="137"/>
      <c r="AV219" s="137"/>
      <c r="AW219" s="137"/>
      <c r="AX219" s="137"/>
      <c r="AY219" s="137"/>
      <c r="AZ219" s="137"/>
      <c r="BA219" s="168">
        <v>0.2</v>
      </c>
      <c r="BB219" s="137"/>
      <c r="BC219" s="168">
        <f t="shared" ref="BC219:BJ219" si="506">SUM(BS218:BZ218)</f>
        <v>0</v>
      </c>
      <c r="BD219" s="168">
        <v>0.8</v>
      </c>
      <c r="BE219" s="168">
        <f t="shared" si="506"/>
        <v>0</v>
      </c>
      <c r="BF219" s="168">
        <f t="shared" si="506"/>
        <v>0</v>
      </c>
      <c r="BG219" s="168">
        <f t="shared" si="506"/>
        <v>0</v>
      </c>
      <c r="BH219" s="168">
        <f t="shared" si="506"/>
        <v>0</v>
      </c>
      <c r="BI219" s="168">
        <f t="shared" si="506"/>
        <v>0</v>
      </c>
      <c r="BJ219" s="168">
        <f t="shared" si="506"/>
        <v>0</v>
      </c>
      <c r="BK219" s="137"/>
      <c r="BL219" s="137"/>
      <c r="BM219" s="137"/>
      <c r="BN219" s="137"/>
      <c r="BO219" s="137"/>
      <c r="BP219" s="137"/>
      <c r="BQ219" s="137"/>
      <c r="BR219" s="137"/>
      <c r="BS219" s="137"/>
      <c r="BT219" s="137"/>
      <c r="BU219" s="137"/>
    </row>
    <row r="220" spans="1:73" ht="12.75" customHeight="1" x14ac:dyDescent="0.25">
      <c r="A220" s="200"/>
      <c r="B220" s="204" t="s">
        <v>310</v>
      </c>
      <c r="C220" s="340">
        <f>C216+C217</f>
        <v>29.86</v>
      </c>
      <c r="D220" s="203">
        <f t="shared" si="492"/>
        <v>32.846000000000004</v>
      </c>
      <c r="E220" s="203" t="s">
        <v>6</v>
      </c>
      <c r="F220" s="203">
        <f>'Material and Labor Cost'!$D$28</f>
        <v>2640</v>
      </c>
      <c r="G220" s="203">
        <f>'Material and Labor Cost'!$F$28</f>
        <v>880</v>
      </c>
      <c r="H220" s="203">
        <f t="shared" si="493"/>
        <v>3520</v>
      </c>
      <c r="I220" s="203">
        <f t="shared" si="494"/>
        <v>115617.92000000001</v>
      </c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310">
        <f t="shared" si="495"/>
        <v>0</v>
      </c>
      <c r="Z220" s="311">
        <f t="shared" si="496"/>
        <v>6.5692000000000013</v>
      </c>
      <c r="AA220" s="311">
        <f t="shared" si="497"/>
        <v>6.5692000000000013</v>
      </c>
      <c r="AB220" s="167">
        <f t="shared" si="498"/>
        <v>26.276800000000001</v>
      </c>
      <c r="AC220" s="167">
        <f t="shared" si="499"/>
        <v>0</v>
      </c>
      <c r="AD220" s="167">
        <f t="shared" si="500"/>
        <v>23123.584000000003</v>
      </c>
      <c r="AE220" s="167">
        <f t="shared" si="501"/>
        <v>23123.584000000003</v>
      </c>
      <c r="AF220" s="167">
        <f t="shared" si="502"/>
        <v>92494.33600000001</v>
      </c>
      <c r="AG220" s="168">
        <f t="shared" si="490"/>
        <v>0.2</v>
      </c>
      <c r="AH220" s="137"/>
      <c r="AI220" s="311">
        <v>0</v>
      </c>
      <c r="AJ220" s="137"/>
      <c r="AK220" s="137"/>
      <c r="AL220" s="137"/>
      <c r="AM220" s="137"/>
      <c r="AN220" s="137"/>
      <c r="AO220" s="137"/>
      <c r="AP220" s="137"/>
      <c r="AQ220" s="137"/>
      <c r="AR220" s="137"/>
      <c r="AS220" s="137"/>
      <c r="AT220" s="137"/>
      <c r="AU220" s="137"/>
      <c r="AV220" s="137"/>
      <c r="AW220" s="137"/>
      <c r="AX220" s="137"/>
      <c r="AY220" s="137"/>
      <c r="AZ220" s="137"/>
      <c r="BA220" s="168">
        <v>0.2</v>
      </c>
      <c r="BB220" s="137"/>
      <c r="BC220" s="168">
        <f t="shared" ref="BC220:BJ220" si="507">SUM(BS219:BZ219)</f>
        <v>0</v>
      </c>
      <c r="BD220" s="168">
        <v>0.8</v>
      </c>
      <c r="BE220" s="168">
        <f t="shared" si="507"/>
        <v>0</v>
      </c>
      <c r="BF220" s="168">
        <f t="shared" si="507"/>
        <v>0</v>
      </c>
      <c r="BG220" s="168">
        <f t="shared" si="507"/>
        <v>0</v>
      </c>
      <c r="BH220" s="168">
        <f t="shared" si="507"/>
        <v>0</v>
      </c>
      <c r="BI220" s="168">
        <f t="shared" si="507"/>
        <v>0</v>
      </c>
      <c r="BJ220" s="168">
        <f t="shared" si="507"/>
        <v>0</v>
      </c>
      <c r="BK220" s="137"/>
      <c r="BL220" s="137"/>
      <c r="BM220" s="137"/>
      <c r="BN220" s="137"/>
      <c r="BO220" s="137"/>
      <c r="BP220" s="137"/>
      <c r="BQ220" s="137"/>
      <c r="BR220" s="137"/>
      <c r="BS220" s="137"/>
      <c r="BT220" s="137"/>
      <c r="BU220" s="137"/>
    </row>
    <row r="221" spans="1:73" ht="12.75" customHeight="1" x14ac:dyDescent="0.25">
      <c r="A221" s="200"/>
      <c r="B221" s="204" t="s">
        <v>288</v>
      </c>
      <c r="C221" s="340">
        <v>69.3</v>
      </c>
      <c r="D221" s="203">
        <f t="shared" si="492"/>
        <v>76.23</v>
      </c>
      <c r="E221" s="203" t="s">
        <v>114</v>
      </c>
      <c r="F221" s="203">
        <f>'Material and Labor Cost'!$D$32</f>
        <v>55.000000000000007</v>
      </c>
      <c r="G221" s="203">
        <f>'Material and Labor Cost'!$F$32</f>
        <v>30.000000000000004</v>
      </c>
      <c r="H221" s="203">
        <f t="shared" si="493"/>
        <v>85.000000000000014</v>
      </c>
      <c r="I221" s="203">
        <f t="shared" si="494"/>
        <v>6479.5500000000011</v>
      </c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310">
        <f t="shared" si="495"/>
        <v>0</v>
      </c>
      <c r="Z221" s="311">
        <f t="shared" si="496"/>
        <v>15.246000000000002</v>
      </c>
      <c r="AA221" s="311">
        <f t="shared" si="497"/>
        <v>15.246000000000002</v>
      </c>
      <c r="AB221" s="167">
        <f t="shared" si="498"/>
        <v>60.984000000000002</v>
      </c>
      <c r="AC221" s="167">
        <f t="shared" si="499"/>
        <v>0</v>
      </c>
      <c r="AD221" s="167">
        <f t="shared" si="500"/>
        <v>1295.9100000000003</v>
      </c>
      <c r="AE221" s="167">
        <f t="shared" si="501"/>
        <v>1295.9100000000003</v>
      </c>
      <c r="AF221" s="167">
        <f t="shared" si="502"/>
        <v>5183.6400000000012</v>
      </c>
      <c r="AG221" s="168">
        <f t="shared" si="490"/>
        <v>0.2</v>
      </c>
      <c r="AH221" s="137"/>
      <c r="AI221" s="311">
        <v>0</v>
      </c>
      <c r="AJ221" s="137"/>
      <c r="AK221" s="137"/>
      <c r="AL221" s="137"/>
      <c r="AM221" s="137"/>
      <c r="AN221" s="137"/>
      <c r="AO221" s="137"/>
      <c r="AP221" s="137"/>
      <c r="AQ221" s="137"/>
      <c r="AR221" s="137"/>
      <c r="AS221" s="137"/>
      <c r="AT221" s="137"/>
      <c r="AU221" s="137"/>
      <c r="AV221" s="137"/>
      <c r="AW221" s="137"/>
      <c r="AX221" s="137"/>
      <c r="AY221" s="137"/>
      <c r="AZ221" s="137"/>
      <c r="BA221" s="168">
        <v>0.2</v>
      </c>
      <c r="BB221" s="137"/>
      <c r="BC221" s="168">
        <f t="shared" ref="BC221:BJ221" si="508">SUM(BS220:BZ220)</f>
        <v>0</v>
      </c>
      <c r="BD221" s="168">
        <v>0.8</v>
      </c>
      <c r="BE221" s="168">
        <f t="shared" si="508"/>
        <v>0</v>
      </c>
      <c r="BF221" s="168">
        <f t="shared" si="508"/>
        <v>0</v>
      </c>
      <c r="BG221" s="168">
        <f t="shared" si="508"/>
        <v>0</v>
      </c>
      <c r="BH221" s="168">
        <f t="shared" si="508"/>
        <v>0</v>
      </c>
      <c r="BI221" s="168">
        <f t="shared" si="508"/>
        <v>0</v>
      </c>
      <c r="BJ221" s="168">
        <f t="shared" si="508"/>
        <v>0</v>
      </c>
      <c r="BK221" s="137"/>
      <c r="BL221" s="137"/>
      <c r="BM221" s="137"/>
      <c r="BN221" s="137"/>
      <c r="BO221" s="137"/>
      <c r="BP221" s="137"/>
      <c r="BQ221" s="137"/>
      <c r="BR221" s="137"/>
      <c r="BS221" s="137"/>
      <c r="BT221" s="137"/>
      <c r="BU221" s="137"/>
    </row>
    <row r="222" spans="1:73" ht="12.75" customHeight="1" x14ac:dyDescent="0.25">
      <c r="A222" s="200"/>
      <c r="B222" s="204" t="s">
        <v>272</v>
      </c>
      <c r="C222" s="340"/>
      <c r="D222" s="203">
        <v>1</v>
      </c>
      <c r="E222" s="203" t="s">
        <v>94</v>
      </c>
      <c r="F222" s="203"/>
      <c r="G222" s="203"/>
      <c r="H222" s="203"/>
      <c r="I222" s="203">
        <f>SUM(I216:I221)*$L$27</f>
        <v>23264.585520000001</v>
      </c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310">
        <f t="shared" si="495"/>
        <v>0</v>
      </c>
      <c r="Z222" s="311">
        <f t="shared" si="496"/>
        <v>0.2</v>
      </c>
      <c r="AA222" s="311">
        <f t="shared" si="497"/>
        <v>0.2</v>
      </c>
      <c r="AB222" s="167">
        <f t="shared" si="498"/>
        <v>0.8</v>
      </c>
      <c r="AC222" s="167">
        <f t="shared" si="499"/>
        <v>0</v>
      </c>
      <c r="AD222" s="167">
        <f t="shared" si="500"/>
        <v>4652.9171040000001</v>
      </c>
      <c r="AE222" s="167">
        <f t="shared" si="501"/>
        <v>4652.9171040000001</v>
      </c>
      <c r="AF222" s="167">
        <f t="shared" si="502"/>
        <v>18611.668416</v>
      </c>
      <c r="AG222" s="168">
        <f t="shared" si="490"/>
        <v>0.2</v>
      </c>
      <c r="AH222" s="137"/>
      <c r="AI222" s="311">
        <v>0</v>
      </c>
      <c r="AJ222" s="137"/>
      <c r="AK222" s="137"/>
      <c r="AL222" s="137"/>
      <c r="AM222" s="137"/>
      <c r="AN222" s="137"/>
      <c r="AO222" s="137"/>
      <c r="AP222" s="137"/>
      <c r="AQ222" s="137"/>
      <c r="AR222" s="137"/>
      <c r="AS222" s="137"/>
      <c r="AT222" s="137"/>
      <c r="AU222" s="137"/>
      <c r="AV222" s="137"/>
      <c r="AW222" s="137"/>
      <c r="AX222" s="137"/>
      <c r="AY222" s="137"/>
      <c r="AZ222" s="137"/>
      <c r="BA222" s="168">
        <v>0.2</v>
      </c>
      <c r="BB222" s="137"/>
      <c r="BC222" s="168">
        <f t="shared" ref="BC222:BJ222" si="509">SUM(BS221:BZ221)</f>
        <v>0</v>
      </c>
      <c r="BD222" s="168">
        <v>0.8</v>
      </c>
      <c r="BE222" s="168">
        <f t="shared" si="509"/>
        <v>0</v>
      </c>
      <c r="BF222" s="168">
        <f t="shared" si="509"/>
        <v>0</v>
      </c>
      <c r="BG222" s="168">
        <f t="shared" si="509"/>
        <v>0</v>
      </c>
      <c r="BH222" s="168">
        <f t="shared" si="509"/>
        <v>0</v>
      </c>
      <c r="BI222" s="168">
        <f t="shared" si="509"/>
        <v>0</v>
      </c>
      <c r="BJ222" s="168">
        <f t="shared" si="509"/>
        <v>0</v>
      </c>
      <c r="BK222" s="137"/>
      <c r="BL222" s="137"/>
      <c r="BM222" s="137"/>
      <c r="BN222" s="137"/>
      <c r="BO222" s="137"/>
      <c r="BP222" s="137"/>
      <c r="BQ222" s="137"/>
      <c r="BR222" s="137"/>
      <c r="BS222" s="137"/>
      <c r="BT222" s="137"/>
      <c r="BU222" s="137"/>
    </row>
    <row r="223" spans="1:73" ht="12.75" customHeight="1" x14ac:dyDescent="0.25">
      <c r="A223" s="228"/>
      <c r="B223" s="510" t="s">
        <v>338</v>
      </c>
      <c r="C223" s="501"/>
      <c r="D223" s="501"/>
      <c r="E223" s="501"/>
      <c r="F223" s="501"/>
      <c r="G223" s="501"/>
      <c r="H223" s="502"/>
      <c r="I223" s="229">
        <f>SUM(I216:I222)</f>
        <v>217136.13152</v>
      </c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69">
        <v>5082097.2</v>
      </c>
      <c r="V223" s="137">
        <v>56700</v>
      </c>
      <c r="W223" s="137"/>
      <c r="X223" s="137"/>
      <c r="Y223" s="307">
        <f t="shared" ref="Y223:AF223" si="510">SUM(Y216:Y222)</f>
        <v>0</v>
      </c>
      <c r="Z223" s="184">
        <f t="shared" si="510"/>
        <v>31.160600000000006</v>
      </c>
      <c r="AA223" s="184">
        <f t="shared" si="510"/>
        <v>31.160600000000006</v>
      </c>
      <c r="AB223" s="235">
        <f t="shared" si="510"/>
        <v>124.64239999999999</v>
      </c>
      <c r="AC223" s="235">
        <f t="shared" si="510"/>
        <v>0</v>
      </c>
      <c r="AD223" s="235">
        <f t="shared" si="510"/>
        <v>43427.226304000011</v>
      </c>
      <c r="AE223" s="235">
        <f t="shared" si="510"/>
        <v>43427.226304000011</v>
      </c>
      <c r="AF223" s="235">
        <f t="shared" si="510"/>
        <v>173708.90521600001</v>
      </c>
      <c r="AG223" s="168">
        <f t="shared" si="490"/>
        <v>0.19999999999999998</v>
      </c>
      <c r="AH223" s="137"/>
      <c r="AI223" s="184">
        <v>0</v>
      </c>
      <c r="AJ223" s="137"/>
      <c r="AK223" s="137"/>
      <c r="AL223" s="137"/>
      <c r="AM223" s="137"/>
      <c r="AN223" s="137"/>
      <c r="AO223" s="137"/>
      <c r="AP223" s="137"/>
      <c r="AQ223" s="137"/>
      <c r="AR223" s="137"/>
      <c r="AS223" s="137"/>
      <c r="AT223" s="137"/>
      <c r="AU223" s="137"/>
      <c r="AV223" s="137"/>
      <c r="AW223" s="137"/>
      <c r="AX223" s="137"/>
      <c r="AY223" s="137"/>
      <c r="AZ223" s="137"/>
      <c r="BA223" s="308">
        <f>SUM(BA216:BA222)/COUNT(BA216:BA222)</f>
        <v>0.19999999999999998</v>
      </c>
      <c r="BB223" s="137"/>
      <c r="BC223" s="308">
        <f t="shared" ref="BC223:BJ223" si="511">SUM(BC216:BC222)/COUNT(BC216:BC222)</f>
        <v>0</v>
      </c>
      <c r="BD223" s="308">
        <f>SUM(BD216:BD222)/COUNT(BD216:BD222)</f>
        <v>0.79999999999999993</v>
      </c>
      <c r="BE223" s="308">
        <f t="shared" si="511"/>
        <v>0</v>
      </c>
      <c r="BF223" s="308">
        <f t="shared" si="511"/>
        <v>0</v>
      </c>
      <c r="BG223" s="308">
        <f t="shared" si="511"/>
        <v>0</v>
      </c>
      <c r="BH223" s="308">
        <f t="shared" si="511"/>
        <v>0</v>
      </c>
      <c r="BI223" s="308">
        <f t="shared" si="511"/>
        <v>0</v>
      </c>
      <c r="BJ223" s="308">
        <f t="shared" si="511"/>
        <v>0</v>
      </c>
      <c r="BK223" s="137"/>
      <c r="BL223" s="137"/>
      <c r="BM223" s="137"/>
      <c r="BN223" s="137"/>
      <c r="BO223" s="137"/>
      <c r="BP223" s="137"/>
      <c r="BQ223" s="137"/>
      <c r="BR223" s="137"/>
      <c r="BS223" s="137"/>
      <c r="BT223" s="137"/>
      <c r="BU223" s="137"/>
    </row>
    <row r="224" spans="1:73" ht="12.75" customHeight="1" x14ac:dyDescent="0.25">
      <c r="A224" s="200"/>
      <c r="B224" s="339" t="s">
        <v>339</v>
      </c>
      <c r="C224" s="340"/>
      <c r="D224" s="203"/>
      <c r="E224" s="203"/>
      <c r="F224" s="203"/>
      <c r="G224" s="203"/>
      <c r="H224" s="203"/>
      <c r="I224" s="203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310"/>
      <c r="Z224" s="311"/>
      <c r="AA224" s="311"/>
      <c r="AB224" s="167"/>
      <c r="AC224" s="167"/>
      <c r="AD224" s="167"/>
      <c r="AE224" s="167"/>
      <c r="AF224" s="167"/>
      <c r="AG224" s="168">
        <f t="shared" si="490"/>
        <v>0</v>
      </c>
      <c r="AH224" s="137"/>
      <c r="AI224" s="311"/>
      <c r="AJ224" s="137"/>
      <c r="AK224" s="137"/>
      <c r="AL224" s="137"/>
      <c r="AM224" s="137"/>
      <c r="AN224" s="137"/>
      <c r="AO224" s="137"/>
      <c r="AP224" s="137"/>
      <c r="AQ224" s="137"/>
      <c r="AR224" s="137"/>
      <c r="AS224" s="137"/>
      <c r="AT224" s="137"/>
      <c r="AU224" s="137"/>
      <c r="AV224" s="137"/>
      <c r="AW224" s="137"/>
      <c r="AX224" s="137"/>
      <c r="AY224" s="137"/>
      <c r="AZ224" s="137"/>
      <c r="BA224" s="137"/>
      <c r="BB224" s="137"/>
      <c r="BC224" s="137"/>
      <c r="BD224" s="137"/>
      <c r="BE224" s="137"/>
      <c r="BF224" s="137"/>
      <c r="BG224" s="137"/>
      <c r="BH224" s="137"/>
      <c r="BI224" s="137"/>
      <c r="BJ224" s="137"/>
      <c r="BK224" s="137"/>
      <c r="BL224" s="137"/>
      <c r="BM224" s="137"/>
      <c r="BN224" s="137"/>
      <c r="BO224" s="137"/>
      <c r="BP224" s="137"/>
      <c r="BQ224" s="137"/>
      <c r="BR224" s="137"/>
      <c r="BS224" s="137"/>
      <c r="BT224" s="137"/>
      <c r="BU224" s="137"/>
    </row>
    <row r="225" spans="1:73" ht="12.75" customHeight="1" x14ac:dyDescent="0.25">
      <c r="A225" s="200"/>
      <c r="B225" s="291" t="s">
        <v>267</v>
      </c>
      <c r="C225" s="340">
        <v>29.6</v>
      </c>
      <c r="D225" s="203">
        <f t="shared" ref="D225:D228" si="512">C225*$L$23</f>
        <v>32.56</v>
      </c>
      <c r="E225" s="203" t="s">
        <v>6</v>
      </c>
      <c r="F225" s="203">
        <f>'Material and Labor Cost'!$D$21</f>
        <v>576</v>
      </c>
      <c r="G225" s="203">
        <f>'Material and Labor Cost'!$F$21</f>
        <v>300</v>
      </c>
      <c r="H225" s="203">
        <f t="shared" ref="H225:H228" si="513">SUM(F225:G225)</f>
        <v>876</v>
      </c>
      <c r="I225" s="203">
        <f t="shared" ref="I225:I228" si="514">H225*D225</f>
        <v>28522.560000000001</v>
      </c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310">
        <f t="shared" ref="Y225:Y229" si="515">SUM(AI225:AP225)</f>
        <v>0</v>
      </c>
      <c r="Z225" s="311">
        <f t="shared" ref="Z225:Z229" si="516">D225*AG225</f>
        <v>32.56</v>
      </c>
      <c r="AA225" s="311">
        <f t="shared" ref="AA225:AA229" si="517">SUM(Y225:Z225)</f>
        <v>32.56</v>
      </c>
      <c r="AB225" s="167">
        <f t="shared" ref="AB225:AB229" si="518">D225-AA225</f>
        <v>0</v>
      </c>
      <c r="AC225" s="167">
        <f t="shared" ref="AC225:AC229" si="519">SUM(AR224:AY224)</f>
        <v>0</v>
      </c>
      <c r="AD225" s="167">
        <f t="shared" ref="AD225:AD229" si="520">AG225*I225</f>
        <v>28522.560000000001</v>
      </c>
      <c r="AE225" s="167">
        <f t="shared" ref="AE225:AE229" si="521">SUM(AC225:AD225)</f>
        <v>28522.560000000001</v>
      </c>
      <c r="AF225" s="167">
        <f t="shared" ref="AF225:AF229" si="522">I225-AE225</f>
        <v>0</v>
      </c>
      <c r="AG225" s="168">
        <f t="shared" si="490"/>
        <v>1</v>
      </c>
      <c r="AH225" s="137"/>
      <c r="AI225" s="311">
        <v>0</v>
      </c>
      <c r="AJ225" s="137"/>
      <c r="AK225" s="137"/>
      <c r="AL225" s="137"/>
      <c r="AM225" s="137"/>
      <c r="AN225" s="137"/>
      <c r="AO225" s="137"/>
      <c r="AP225" s="137"/>
      <c r="AQ225" s="137"/>
      <c r="AR225" s="137"/>
      <c r="AS225" s="137"/>
      <c r="AT225" s="137"/>
      <c r="AU225" s="137"/>
      <c r="AV225" s="137"/>
      <c r="AW225" s="137"/>
      <c r="AX225" s="137"/>
      <c r="AY225" s="137"/>
      <c r="AZ225" s="137"/>
      <c r="BA225" s="168">
        <v>1</v>
      </c>
      <c r="BB225" s="137"/>
      <c r="BC225" s="168">
        <f t="shared" ref="BC225:BJ225" si="523">SUM(BS224:BZ224)</f>
        <v>0</v>
      </c>
      <c r="BD225" s="168">
        <v>1</v>
      </c>
      <c r="BE225" s="168">
        <f t="shared" si="523"/>
        <v>0</v>
      </c>
      <c r="BF225" s="168">
        <f t="shared" si="523"/>
        <v>0</v>
      </c>
      <c r="BG225" s="168">
        <f t="shared" si="523"/>
        <v>0</v>
      </c>
      <c r="BH225" s="168">
        <f t="shared" si="523"/>
        <v>0</v>
      </c>
      <c r="BI225" s="168">
        <f t="shared" si="523"/>
        <v>0</v>
      </c>
      <c r="BJ225" s="168">
        <f t="shared" si="523"/>
        <v>0</v>
      </c>
      <c r="BK225" s="137"/>
      <c r="BL225" s="137"/>
      <c r="BM225" s="137"/>
      <c r="BN225" s="137"/>
      <c r="BO225" s="137"/>
      <c r="BP225" s="137"/>
      <c r="BQ225" s="137"/>
      <c r="BR225" s="137"/>
      <c r="BS225" s="137"/>
      <c r="BT225" s="137"/>
      <c r="BU225" s="137"/>
    </row>
    <row r="226" spans="1:73" ht="12.75" customHeight="1" x14ac:dyDescent="0.25">
      <c r="A226" s="200"/>
      <c r="B226" s="291" t="s">
        <v>269</v>
      </c>
      <c r="C226" s="340">
        <v>2.1</v>
      </c>
      <c r="D226" s="203">
        <f t="shared" si="512"/>
        <v>2.3100000000000005</v>
      </c>
      <c r="E226" s="203" t="s">
        <v>6</v>
      </c>
      <c r="F226" s="203">
        <f>'Material and Labor Cost'!$D$23</f>
        <v>330</v>
      </c>
      <c r="G226" s="203">
        <f>'Material and Labor Cost'!$F$23</f>
        <v>165</v>
      </c>
      <c r="H226" s="203">
        <f t="shared" si="513"/>
        <v>495</v>
      </c>
      <c r="I226" s="203">
        <f t="shared" si="514"/>
        <v>1143.4500000000003</v>
      </c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310">
        <f t="shared" si="515"/>
        <v>0</v>
      </c>
      <c r="Z226" s="311">
        <f t="shared" si="516"/>
        <v>2.3100000000000005</v>
      </c>
      <c r="AA226" s="311">
        <f t="shared" si="517"/>
        <v>2.3100000000000005</v>
      </c>
      <c r="AB226" s="167">
        <f t="shared" si="518"/>
        <v>0</v>
      </c>
      <c r="AC226" s="167">
        <f t="shared" si="519"/>
        <v>0</v>
      </c>
      <c r="AD226" s="167">
        <f t="shared" si="520"/>
        <v>1143.4500000000003</v>
      </c>
      <c r="AE226" s="167">
        <f t="shared" si="521"/>
        <v>1143.4500000000003</v>
      </c>
      <c r="AF226" s="167">
        <f t="shared" si="522"/>
        <v>0</v>
      </c>
      <c r="AG226" s="168">
        <f t="shared" si="490"/>
        <v>1</v>
      </c>
      <c r="AH226" s="137"/>
      <c r="AI226" s="311">
        <v>0</v>
      </c>
      <c r="AJ226" s="137"/>
      <c r="AK226" s="137"/>
      <c r="AL226" s="137"/>
      <c r="AM226" s="137"/>
      <c r="AN226" s="137"/>
      <c r="AO226" s="137"/>
      <c r="AP226" s="137"/>
      <c r="AQ226" s="137"/>
      <c r="AR226" s="137"/>
      <c r="AS226" s="137"/>
      <c r="AT226" s="137"/>
      <c r="AU226" s="137"/>
      <c r="AV226" s="137"/>
      <c r="AW226" s="137"/>
      <c r="AX226" s="137"/>
      <c r="AY226" s="137"/>
      <c r="AZ226" s="137"/>
      <c r="BA226" s="168">
        <v>1</v>
      </c>
      <c r="BB226" s="137"/>
      <c r="BC226" s="168">
        <f t="shared" ref="BC226:BJ226" si="524">SUM(BS225:BZ225)</f>
        <v>0</v>
      </c>
      <c r="BD226" s="168">
        <v>1</v>
      </c>
      <c r="BE226" s="168">
        <f t="shared" si="524"/>
        <v>0</v>
      </c>
      <c r="BF226" s="168">
        <f t="shared" si="524"/>
        <v>0</v>
      </c>
      <c r="BG226" s="168">
        <f t="shared" si="524"/>
        <v>0</v>
      </c>
      <c r="BH226" s="168">
        <f t="shared" si="524"/>
        <v>0</v>
      </c>
      <c r="BI226" s="168">
        <f t="shared" si="524"/>
        <v>0</v>
      </c>
      <c r="BJ226" s="168">
        <f t="shared" si="524"/>
        <v>0</v>
      </c>
      <c r="BK226" s="137"/>
      <c r="BL226" s="137"/>
      <c r="BM226" s="137"/>
      <c r="BN226" s="137"/>
      <c r="BO226" s="137"/>
      <c r="BP226" s="137"/>
      <c r="BQ226" s="137"/>
      <c r="BR226" s="137"/>
      <c r="BS226" s="137"/>
      <c r="BT226" s="137"/>
      <c r="BU226" s="137"/>
    </row>
    <row r="227" spans="1:73" ht="12.75" customHeight="1" x14ac:dyDescent="0.25">
      <c r="A227" s="200"/>
      <c r="B227" s="200" t="s">
        <v>278</v>
      </c>
      <c r="C227" s="340">
        <v>1.7</v>
      </c>
      <c r="D227" s="203">
        <f t="shared" si="512"/>
        <v>1.87</v>
      </c>
      <c r="E227" s="203" t="s">
        <v>6</v>
      </c>
      <c r="F227" s="203">
        <f>'Material and Labor Cost'!$D$27</f>
        <v>6600.0000000000009</v>
      </c>
      <c r="G227" s="203">
        <f>'Material and Labor Cost'!$F$27</f>
        <v>3300.0000000000005</v>
      </c>
      <c r="H227" s="203">
        <f t="shared" si="513"/>
        <v>9900.0000000000018</v>
      </c>
      <c r="I227" s="203">
        <f t="shared" si="514"/>
        <v>18513.000000000004</v>
      </c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310">
        <f t="shared" si="515"/>
        <v>0</v>
      </c>
      <c r="Z227" s="311">
        <f t="shared" si="516"/>
        <v>0</v>
      </c>
      <c r="AA227" s="311">
        <f t="shared" si="517"/>
        <v>0</v>
      </c>
      <c r="AB227" s="167">
        <f t="shared" si="518"/>
        <v>1.87</v>
      </c>
      <c r="AC227" s="167">
        <f t="shared" si="519"/>
        <v>0</v>
      </c>
      <c r="AD227" s="167">
        <f t="shared" si="520"/>
        <v>0</v>
      </c>
      <c r="AE227" s="167">
        <f t="shared" si="521"/>
        <v>0</v>
      </c>
      <c r="AF227" s="167">
        <f t="shared" si="522"/>
        <v>18513.000000000004</v>
      </c>
      <c r="AG227" s="168">
        <f t="shared" si="490"/>
        <v>0</v>
      </c>
      <c r="AH227" s="137"/>
      <c r="AI227" s="311">
        <v>0</v>
      </c>
      <c r="AJ227" s="137"/>
      <c r="AK227" s="137"/>
      <c r="AL227" s="137"/>
      <c r="AM227" s="137"/>
      <c r="AN227" s="137"/>
      <c r="AO227" s="137"/>
      <c r="AP227" s="137"/>
      <c r="AQ227" s="137"/>
      <c r="AR227" s="137"/>
      <c r="AS227" s="137"/>
      <c r="AT227" s="137"/>
      <c r="AU227" s="137"/>
      <c r="AV227" s="137"/>
      <c r="AW227" s="137"/>
      <c r="AX227" s="137"/>
      <c r="AY227" s="137"/>
      <c r="AZ227" s="137"/>
      <c r="BA227" s="168">
        <v>0</v>
      </c>
      <c r="BB227" s="137"/>
      <c r="BC227" s="168">
        <f t="shared" ref="BC227:BJ227" si="525">SUM(BS226:BZ226)</f>
        <v>0</v>
      </c>
      <c r="BD227" s="168">
        <v>0</v>
      </c>
      <c r="BE227" s="168">
        <f t="shared" si="525"/>
        <v>0</v>
      </c>
      <c r="BF227" s="168">
        <f t="shared" si="525"/>
        <v>0</v>
      </c>
      <c r="BG227" s="168">
        <f t="shared" si="525"/>
        <v>0</v>
      </c>
      <c r="BH227" s="168">
        <f t="shared" si="525"/>
        <v>0</v>
      </c>
      <c r="BI227" s="168">
        <f t="shared" si="525"/>
        <v>0</v>
      </c>
      <c r="BJ227" s="168">
        <f t="shared" si="525"/>
        <v>0</v>
      </c>
      <c r="BK227" s="137"/>
      <c r="BL227" s="137"/>
      <c r="BM227" s="137"/>
      <c r="BN227" s="137"/>
      <c r="BO227" s="137"/>
      <c r="BP227" s="137"/>
      <c r="BQ227" s="137"/>
      <c r="BR227" s="137"/>
      <c r="BS227" s="137"/>
      <c r="BT227" s="137"/>
      <c r="BU227" s="137"/>
    </row>
    <row r="228" spans="1:73" ht="12.75" customHeight="1" x14ac:dyDescent="0.25">
      <c r="A228" s="200"/>
      <c r="B228" s="200" t="s">
        <v>275</v>
      </c>
      <c r="C228" s="340">
        <f>C225+C226</f>
        <v>31.700000000000003</v>
      </c>
      <c r="D228" s="203">
        <f t="shared" si="512"/>
        <v>34.870000000000005</v>
      </c>
      <c r="E228" s="203" t="s">
        <v>6</v>
      </c>
      <c r="F228" s="203">
        <f>'Material and Labor Cost'!$D$25</f>
        <v>555</v>
      </c>
      <c r="G228" s="203">
        <f>'Material and Labor Cost'!$F$25</f>
        <v>275</v>
      </c>
      <c r="H228" s="203">
        <f t="shared" si="513"/>
        <v>830</v>
      </c>
      <c r="I228" s="203">
        <f t="shared" si="514"/>
        <v>28942.100000000002</v>
      </c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310">
        <f t="shared" si="515"/>
        <v>0</v>
      </c>
      <c r="Z228" s="311">
        <f t="shared" si="516"/>
        <v>17.435000000000002</v>
      </c>
      <c r="AA228" s="311">
        <f t="shared" si="517"/>
        <v>17.435000000000002</v>
      </c>
      <c r="AB228" s="167">
        <f t="shared" si="518"/>
        <v>17.435000000000002</v>
      </c>
      <c r="AC228" s="167">
        <f t="shared" si="519"/>
        <v>0</v>
      </c>
      <c r="AD228" s="167">
        <f t="shared" si="520"/>
        <v>14471.050000000001</v>
      </c>
      <c r="AE228" s="167">
        <f t="shared" si="521"/>
        <v>14471.050000000001</v>
      </c>
      <c r="AF228" s="167">
        <f t="shared" si="522"/>
        <v>14471.050000000001</v>
      </c>
      <c r="AG228" s="168">
        <f t="shared" si="490"/>
        <v>0.5</v>
      </c>
      <c r="AH228" s="137"/>
      <c r="AI228" s="311">
        <v>0</v>
      </c>
      <c r="AJ228" s="137"/>
      <c r="AK228" s="137"/>
      <c r="AL228" s="137"/>
      <c r="AM228" s="137"/>
      <c r="AN228" s="137"/>
      <c r="AO228" s="137"/>
      <c r="AP228" s="137"/>
      <c r="AQ228" s="137"/>
      <c r="AR228" s="137"/>
      <c r="AS228" s="137"/>
      <c r="AT228" s="137"/>
      <c r="AU228" s="137"/>
      <c r="AV228" s="137"/>
      <c r="AW228" s="137"/>
      <c r="AX228" s="137"/>
      <c r="AY228" s="137"/>
      <c r="AZ228" s="137"/>
      <c r="BA228" s="168">
        <v>0.5</v>
      </c>
      <c r="BB228" s="137"/>
      <c r="BC228" s="168">
        <f t="shared" ref="BC228:BJ228" si="526">SUM(BS227:BZ227)</f>
        <v>0</v>
      </c>
      <c r="BD228" s="168">
        <v>0.5</v>
      </c>
      <c r="BE228" s="168">
        <f t="shared" si="526"/>
        <v>0</v>
      </c>
      <c r="BF228" s="168">
        <f t="shared" si="526"/>
        <v>0</v>
      </c>
      <c r="BG228" s="168">
        <f t="shared" si="526"/>
        <v>0</v>
      </c>
      <c r="BH228" s="168">
        <f t="shared" si="526"/>
        <v>0</v>
      </c>
      <c r="BI228" s="168">
        <f t="shared" si="526"/>
        <v>0</v>
      </c>
      <c r="BJ228" s="168">
        <f t="shared" si="526"/>
        <v>0</v>
      </c>
      <c r="BK228" s="137"/>
      <c r="BL228" s="137"/>
      <c r="BM228" s="137"/>
      <c r="BN228" s="137"/>
      <c r="BO228" s="137"/>
      <c r="BP228" s="137"/>
      <c r="BQ228" s="137"/>
      <c r="BR228" s="137"/>
      <c r="BS228" s="137"/>
      <c r="BT228" s="137"/>
      <c r="BU228" s="137"/>
    </row>
    <row r="229" spans="1:73" ht="12.75" customHeight="1" x14ac:dyDescent="0.25">
      <c r="A229" s="200"/>
      <c r="B229" s="204" t="s">
        <v>272</v>
      </c>
      <c r="C229" s="340"/>
      <c r="D229" s="203">
        <v>1</v>
      </c>
      <c r="E229" s="203" t="s">
        <v>94</v>
      </c>
      <c r="F229" s="203"/>
      <c r="G229" s="203"/>
      <c r="H229" s="203"/>
      <c r="I229" s="203">
        <f>SUM(I225:I228)*$L$27</f>
        <v>9254.5332000000017</v>
      </c>
      <c r="J229" s="137"/>
      <c r="K229" s="137"/>
      <c r="L229" s="137"/>
      <c r="M229" s="137"/>
      <c r="N229" s="137"/>
      <c r="O229" s="137"/>
      <c r="P229" s="137"/>
      <c r="Q229" s="137"/>
      <c r="R229" s="137">
        <v>19.399999999999999</v>
      </c>
      <c r="S229" s="137"/>
      <c r="T229" s="137"/>
      <c r="U229" s="137"/>
      <c r="V229" s="137"/>
      <c r="W229" s="137"/>
      <c r="X229" s="137"/>
      <c r="Y229" s="310">
        <f t="shared" si="515"/>
        <v>0</v>
      </c>
      <c r="Z229" s="311">
        <f t="shared" si="516"/>
        <v>0.5</v>
      </c>
      <c r="AA229" s="311">
        <f t="shared" si="517"/>
        <v>0.5</v>
      </c>
      <c r="AB229" s="167">
        <f t="shared" si="518"/>
        <v>0.5</v>
      </c>
      <c r="AC229" s="167">
        <f t="shared" si="519"/>
        <v>0</v>
      </c>
      <c r="AD229" s="167">
        <f t="shared" si="520"/>
        <v>4627.2666000000008</v>
      </c>
      <c r="AE229" s="167">
        <f t="shared" si="521"/>
        <v>4627.2666000000008</v>
      </c>
      <c r="AF229" s="167">
        <f t="shared" si="522"/>
        <v>4627.2666000000008</v>
      </c>
      <c r="AG229" s="168">
        <f t="shared" si="490"/>
        <v>0.5</v>
      </c>
      <c r="AH229" s="137"/>
      <c r="AI229" s="311">
        <v>0</v>
      </c>
      <c r="AJ229" s="137"/>
      <c r="AK229" s="137"/>
      <c r="AL229" s="137"/>
      <c r="AM229" s="137"/>
      <c r="AN229" s="137"/>
      <c r="AO229" s="137"/>
      <c r="AP229" s="137"/>
      <c r="AQ229" s="137"/>
      <c r="AR229" s="137"/>
      <c r="AS229" s="137"/>
      <c r="AT229" s="137"/>
      <c r="AU229" s="137"/>
      <c r="AV229" s="137"/>
      <c r="AW229" s="137"/>
      <c r="AX229" s="137"/>
      <c r="AY229" s="137"/>
      <c r="AZ229" s="137"/>
      <c r="BA229" s="168">
        <v>0.5</v>
      </c>
      <c r="BB229" s="137"/>
      <c r="BC229" s="168">
        <f t="shared" ref="BC229:BJ229" si="527">SUM(BS228:BZ228)</f>
        <v>0</v>
      </c>
      <c r="BD229" s="168">
        <v>0.5</v>
      </c>
      <c r="BE229" s="168">
        <f t="shared" si="527"/>
        <v>0</v>
      </c>
      <c r="BF229" s="168">
        <f t="shared" si="527"/>
        <v>0</v>
      </c>
      <c r="BG229" s="168">
        <f t="shared" si="527"/>
        <v>0</v>
      </c>
      <c r="BH229" s="168">
        <f t="shared" si="527"/>
        <v>0</v>
      </c>
      <c r="BI229" s="168">
        <f t="shared" si="527"/>
        <v>0</v>
      </c>
      <c r="BJ229" s="168">
        <f t="shared" si="527"/>
        <v>0</v>
      </c>
      <c r="BK229" s="137"/>
      <c r="BL229" s="137"/>
      <c r="BM229" s="137"/>
      <c r="BN229" s="137"/>
      <c r="BO229" s="137"/>
      <c r="BP229" s="137"/>
      <c r="BQ229" s="137"/>
      <c r="BR229" s="137"/>
      <c r="BS229" s="137"/>
      <c r="BT229" s="137"/>
      <c r="BU229" s="137"/>
    </row>
    <row r="230" spans="1:73" ht="12.75" customHeight="1" x14ac:dyDescent="0.25">
      <c r="A230" s="228"/>
      <c r="B230" s="510" t="s">
        <v>340</v>
      </c>
      <c r="C230" s="501"/>
      <c r="D230" s="501"/>
      <c r="E230" s="501"/>
      <c r="F230" s="501"/>
      <c r="G230" s="501"/>
      <c r="H230" s="502"/>
      <c r="I230" s="229">
        <f>SUM(I225:I229)</f>
        <v>86375.64320000002</v>
      </c>
      <c r="J230" s="137"/>
      <c r="K230" s="137"/>
      <c r="L230" s="137"/>
      <c r="M230" s="137"/>
      <c r="N230" s="137"/>
      <c r="O230" s="137"/>
      <c r="P230" s="137"/>
      <c r="Q230" s="137"/>
      <c r="R230" s="137">
        <v>13.2</v>
      </c>
      <c r="S230" s="137"/>
      <c r="T230" s="137"/>
      <c r="U230" s="169">
        <v>5082097.2</v>
      </c>
      <c r="V230" s="137">
        <v>56700</v>
      </c>
      <c r="W230" s="137"/>
      <c r="X230" s="137"/>
      <c r="Y230" s="307">
        <f t="shared" ref="Y230:AF230" si="528">SUM(Y225:Y229)</f>
        <v>0</v>
      </c>
      <c r="Z230" s="184">
        <f t="shared" si="528"/>
        <v>52.805000000000007</v>
      </c>
      <c r="AA230" s="184">
        <f t="shared" si="528"/>
        <v>52.805000000000007</v>
      </c>
      <c r="AB230" s="235">
        <f t="shared" si="528"/>
        <v>19.805000000000003</v>
      </c>
      <c r="AC230" s="235">
        <f t="shared" si="528"/>
        <v>0</v>
      </c>
      <c r="AD230" s="235">
        <f t="shared" si="528"/>
        <v>48764.326600000008</v>
      </c>
      <c r="AE230" s="235">
        <f t="shared" si="528"/>
        <v>48764.326600000008</v>
      </c>
      <c r="AF230" s="235">
        <f t="shared" si="528"/>
        <v>37611.316600000006</v>
      </c>
      <c r="AG230" s="168">
        <f t="shared" si="490"/>
        <v>0.6</v>
      </c>
      <c r="AH230" s="137"/>
      <c r="AI230" s="184">
        <v>0</v>
      </c>
      <c r="AJ230" s="137"/>
      <c r="AK230" s="137"/>
      <c r="AL230" s="137"/>
      <c r="AM230" s="137"/>
      <c r="AN230" s="137"/>
      <c r="AO230" s="137"/>
      <c r="AP230" s="137"/>
      <c r="AQ230" s="137"/>
      <c r="AR230" s="137"/>
      <c r="AS230" s="137"/>
      <c r="AT230" s="137"/>
      <c r="AU230" s="137"/>
      <c r="AV230" s="137"/>
      <c r="AW230" s="137"/>
      <c r="AX230" s="137"/>
      <c r="AY230" s="137"/>
      <c r="AZ230" s="137"/>
      <c r="BA230" s="308">
        <f>SUM(BA225:BA229)/COUNT(BA225:BA229)</f>
        <v>0.6</v>
      </c>
      <c r="BB230" s="137"/>
      <c r="BC230" s="308">
        <f t="shared" ref="BC230:BJ230" si="529">SUM(BC225:BC229)/COUNT(BC225:BC229)</f>
        <v>0</v>
      </c>
      <c r="BD230" s="308">
        <f>SUM(BD225:BD229)/COUNT(BD225:BD229)</f>
        <v>0.6</v>
      </c>
      <c r="BE230" s="308">
        <f t="shared" si="529"/>
        <v>0</v>
      </c>
      <c r="BF230" s="308">
        <f t="shared" si="529"/>
        <v>0</v>
      </c>
      <c r="BG230" s="308">
        <f t="shared" si="529"/>
        <v>0</v>
      </c>
      <c r="BH230" s="308">
        <f t="shared" si="529"/>
        <v>0</v>
      </c>
      <c r="BI230" s="308">
        <f t="shared" si="529"/>
        <v>0</v>
      </c>
      <c r="BJ230" s="308">
        <f t="shared" si="529"/>
        <v>0</v>
      </c>
      <c r="BK230" s="137"/>
      <c r="BL230" s="137"/>
      <c r="BM230" s="137"/>
      <c r="BN230" s="137"/>
      <c r="BO230" s="137"/>
      <c r="BP230" s="137"/>
      <c r="BQ230" s="137"/>
      <c r="BR230" s="137"/>
      <c r="BS230" s="137"/>
      <c r="BT230" s="137"/>
      <c r="BU230" s="137"/>
    </row>
    <row r="231" spans="1:73" ht="12.75" customHeight="1" x14ac:dyDescent="0.25">
      <c r="A231" s="200"/>
      <c r="B231" s="339" t="s">
        <v>341</v>
      </c>
      <c r="C231" s="340"/>
      <c r="D231" s="203"/>
      <c r="E231" s="203"/>
      <c r="F231" s="203"/>
      <c r="G231" s="203"/>
      <c r="H231" s="203"/>
      <c r="I231" s="203"/>
      <c r="J231" s="137"/>
      <c r="K231" s="137"/>
      <c r="L231" s="137"/>
      <c r="M231" s="137"/>
      <c r="N231" s="137"/>
      <c r="O231" s="137"/>
      <c r="P231" s="137"/>
      <c r="Q231" s="137"/>
      <c r="R231" s="137">
        <v>7.2</v>
      </c>
      <c r="S231" s="137"/>
      <c r="T231" s="137"/>
      <c r="U231" s="137"/>
      <c r="V231" s="137"/>
      <c r="W231" s="137"/>
      <c r="X231" s="137"/>
      <c r="Y231" s="310"/>
      <c r="Z231" s="311"/>
      <c r="AA231" s="311"/>
      <c r="AB231" s="167"/>
      <c r="AC231" s="167"/>
      <c r="AD231" s="167"/>
      <c r="AE231" s="167"/>
      <c r="AF231" s="167"/>
      <c r="AG231" s="168">
        <f t="shared" si="490"/>
        <v>0</v>
      </c>
      <c r="AH231" s="137"/>
      <c r="AI231" s="311"/>
      <c r="AJ231" s="137"/>
      <c r="AK231" s="137"/>
      <c r="AL231" s="137"/>
      <c r="AM231" s="137"/>
      <c r="AN231" s="137"/>
      <c r="AO231" s="137"/>
      <c r="AP231" s="137"/>
      <c r="AQ231" s="137"/>
      <c r="AR231" s="137"/>
      <c r="AS231" s="137"/>
      <c r="AT231" s="137"/>
      <c r="AU231" s="137"/>
      <c r="AV231" s="137"/>
      <c r="AW231" s="137"/>
      <c r="AX231" s="137"/>
      <c r="AY231" s="137"/>
      <c r="AZ231" s="137"/>
      <c r="BA231" s="137"/>
      <c r="BB231" s="137"/>
      <c r="BC231" s="137"/>
      <c r="BD231" s="137"/>
      <c r="BE231" s="137"/>
      <c r="BF231" s="137"/>
      <c r="BG231" s="137"/>
      <c r="BH231" s="137"/>
      <c r="BI231" s="137"/>
      <c r="BJ231" s="137"/>
      <c r="BK231" s="137"/>
      <c r="BL231" s="137"/>
      <c r="BM231" s="137"/>
      <c r="BN231" s="137"/>
      <c r="BO231" s="137"/>
      <c r="BP231" s="137"/>
      <c r="BQ231" s="137"/>
      <c r="BR231" s="137"/>
      <c r="BS231" s="137"/>
      <c r="BT231" s="137"/>
      <c r="BU231" s="137"/>
    </row>
    <row r="232" spans="1:73" ht="12.75" customHeight="1" x14ac:dyDescent="0.25">
      <c r="A232" s="200"/>
      <c r="B232" s="291" t="s">
        <v>267</v>
      </c>
      <c r="C232" s="340">
        <v>19.98</v>
      </c>
      <c r="D232" s="203">
        <f t="shared" ref="D232:D233" si="530">C232*$L$23</f>
        <v>21.978000000000002</v>
      </c>
      <c r="E232" s="203" t="s">
        <v>6</v>
      </c>
      <c r="F232" s="203">
        <f>'Material and Labor Cost'!$D$21</f>
        <v>576</v>
      </c>
      <c r="G232" s="203">
        <f>'Material and Labor Cost'!$F$21</f>
        <v>300</v>
      </c>
      <c r="H232" s="203">
        <f t="shared" ref="H232:H235" si="531">SUM(F232:G232)</f>
        <v>876</v>
      </c>
      <c r="I232" s="203">
        <f t="shared" ref="I232:I235" si="532">H232*D232</f>
        <v>19252.728000000003</v>
      </c>
      <c r="J232" s="137"/>
      <c r="K232" s="137"/>
      <c r="L232" s="137"/>
      <c r="M232" s="137"/>
      <c r="N232" s="137"/>
      <c r="O232" s="137"/>
      <c r="P232" s="137"/>
      <c r="Q232" s="137"/>
      <c r="R232" s="137">
        <f>SUM(R229:R231)*0.6</f>
        <v>23.88</v>
      </c>
      <c r="S232" s="137"/>
      <c r="T232" s="137"/>
      <c r="U232" s="137"/>
      <c r="V232" s="137"/>
      <c r="W232" s="137"/>
      <c r="X232" s="137"/>
      <c r="Y232" s="310">
        <f t="shared" ref="Y232:Y236" si="533">SUM(AI232:AP232)</f>
        <v>0</v>
      </c>
      <c r="Z232" s="311">
        <f t="shared" ref="Z232:Z236" si="534">D232*AG232</f>
        <v>21.978000000000002</v>
      </c>
      <c r="AA232" s="311">
        <f t="shared" ref="AA232:AA236" si="535">SUM(Y232:Z232)</f>
        <v>21.978000000000002</v>
      </c>
      <c r="AB232" s="167">
        <f t="shared" ref="AB232:AB236" si="536">D232-AA232</f>
        <v>0</v>
      </c>
      <c r="AC232" s="167">
        <f t="shared" ref="AC232:AC236" si="537">SUM(AR231:AY231)</f>
        <v>0</v>
      </c>
      <c r="AD232" s="167">
        <f t="shared" ref="AD232:AD236" si="538">AG232*I232</f>
        <v>19252.728000000003</v>
      </c>
      <c r="AE232" s="167">
        <f t="shared" ref="AE232:AE236" si="539">SUM(AC232:AD232)</f>
        <v>19252.728000000003</v>
      </c>
      <c r="AF232" s="167">
        <f t="shared" ref="AF232:AF236" si="540">I232-AE232</f>
        <v>0</v>
      </c>
      <c r="AG232" s="168">
        <f t="shared" si="490"/>
        <v>1</v>
      </c>
      <c r="AH232" s="137"/>
      <c r="AI232" s="311">
        <v>0</v>
      </c>
      <c r="AJ232" s="137"/>
      <c r="AK232" s="137"/>
      <c r="AL232" s="137"/>
      <c r="AM232" s="137"/>
      <c r="AN232" s="137"/>
      <c r="AO232" s="137"/>
      <c r="AP232" s="137"/>
      <c r="AQ232" s="137"/>
      <c r="AR232" s="137"/>
      <c r="AS232" s="137"/>
      <c r="AT232" s="137"/>
      <c r="AU232" s="137"/>
      <c r="AV232" s="137"/>
      <c r="AW232" s="137"/>
      <c r="AX232" s="137"/>
      <c r="AY232" s="137"/>
      <c r="AZ232" s="137"/>
      <c r="BA232" s="168">
        <v>1</v>
      </c>
      <c r="BB232" s="137"/>
      <c r="BC232" s="168">
        <f t="shared" ref="BC232:BJ232" si="541">SUM(BS231:BZ231)</f>
        <v>0</v>
      </c>
      <c r="BD232" s="168">
        <v>1</v>
      </c>
      <c r="BE232" s="168">
        <f t="shared" si="541"/>
        <v>0</v>
      </c>
      <c r="BF232" s="168">
        <f t="shared" si="541"/>
        <v>0</v>
      </c>
      <c r="BG232" s="168">
        <f t="shared" si="541"/>
        <v>0</v>
      </c>
      <c r="BH232" s="168">
        <f t="shared" si="541"/>
        <v>0</v>
      </c>
      <c r="BI232" s="168">
        <f t="shared" si="541"/>
        <v>0</v>
      </c>
      <c r="BJ232" s="168">
        <f t="shared" si="541"/>
        <v>0</v>
      </c>
      <c r="BK232" s="137"/>
      <c r="BL232" s="137"/>
      <c r="BM232" s="137"/>
      <c r="BN232" s="137"/>
      <c r="BO232" s="137"/>
      <c r="BP232" s="137"/>
      <c r="BQ232" s="137"/>
      <c r="BR232" s="137"/>
      <c r="BS232" s="137"/>
      <c r="BT232" s="137"/>
      <c r="BU232" s="137"/>
    </row>
    <row r="233" spans="1:73" ht="12.75" customHeight="1" x14ac:dyDescent="0.25">
      <c r="A233" s="200"/>
      <c r="B233" s="291" t="s">
        <v>269</v>
      </c>
      <c r="C233" s="340">
        <v>3.6</v>
      </c>
      <c r="D233" s="203">
        <f t="shared" si="530"/>
        <v>3.9600000000000004</v>
      </c>
      <c r="E233" s="203" t="s">
        <v>6</v>
      </c>
      <c r="F233" s="203">
        <f>'Material and Labor Cost'!$D$23</f>
        <v>330</v>
      </c>
      <c r="G233" s="203">
        <f>'Material and Labor Cost'!$F$23</f>
        <v>165</v>
      </c>
      <c r="H233" s="203">
        <f t="shared" si="531"/>
        <v>495</v>
      </c>
      <c r="I233" s="203">
        <f t="shared" si="532"/>
        <v>1960.2000000000003</v>
      </c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310">
        <f t="shared" si="533"/>
        <v>0</v>
      </c>
      <c r="Z233" s="311">
        <f t="shared" si="534"/>
        <v>3.9600000000000004</v>
      </c>
      <c r="AA233" s="311">
        <f t="shared" si="535"/>
        <v>3.9600000000000004</v>
      </c>
      <c r="AB233" s="167">
        <f t="shared" si="536"/>
        <v>0</v>
      </c>
      <c r="AC233" s="167">
        <f t="shared" si="537"/>
        <v>0</v>
      </c>
      <c r="AD233" s="167">
        <f t="shared" si="538"/>
        <v>1960.2000000000003</v>
      </c>
      <c r="AE233" s="167">
        <f t="shared" si="539"/>
        <v>1960.2000000000003</v>
      </c>
      <c r="AF233" s="167">
        <f t="shared" si="540"/>
        <v>0</v>
      </c>
      <c r="AG233" s="168">
        <f t="shared" si="490"/>
        <v>1</v>
      </c>
      <c r="AH233" s="137"/>
      <c r="AI233" s="311">
        <v>0</v>
      </c>
      <c r="AJ233" s="137"/>
      <c r="AK233" s="137"/>
      <c r="AL233" s="137"/>
      <c r="AM233" s="137"/>
      <c r="AN233" s="137"/>
      <c r="AO233" s="137"/>
      <c r="AP233" s="137"/>
      <c r="AQ233" s="137"/>
      <c r="AR233" s="137"/>
      <c r="AS233" s="137"/>
      <c r="AT233" s="137"/>
      <c r="AU233" s="137"/>
      <c r="AV233" s="137"/>
      <c r="AW233" s="137"/>
      <c r="AX233" s="137"/>
      <c r="AY233" s="137"/>
      <c r="AZ233" s="137"/>
      <c r="BA233" s="168">
        <v>1</v>
      </c>
      <c r="BB233" s="137"/>
      <c r="BC233" s="168">
        <f t="shared" ref="BC233:BJ233" si="542">SUM(BS232:BZ232)</f>
        <v>0</v>
      </c>
      <c r="BD233" s="168">
        <v>1</v>
      </c>
      <c r="BE233" s="168">
        <f t="shared" si="542"/>
        <v>0</v>
      </c>
      <c r="BF233" s="168">
        <f t="shared" si="542"/>
        <v>0</v>
      </c>
      <c r="BG233" s="168">
        <f t="shared" si="542"/>
        <v>0</v>
      </c>
      <c r="BH233" s="168">
        <f t="shared" si="542"/>
        <v>0</v>
      </c>
      <c r="BI233" s="168">
        <f t="shared" si="542"/>
        <v>0</v>
      </c>
      <c r="BJ233" s="168">
        <f t="shared" si="542"/>
        <v>0</v>
      </c>
      <c r="BK233" s="137"/>
      <c r="BL233" s="137"/>
      <c r="BM233" s="137"/>
      <c r="BN233" s="137"/>
      <c r="BO233" s="137"/>
      <c r="BP233" s="137"/>
      <c r="BQ233" s="137"/>
      <c r="BR233" s="137"/>
      <c r="BS233" s="137"/>
      <c r="BT233" s="137"/>
      <c r="BU233" s="137"/>
    </row>
    <row r="234" spans="1:73" ht="12.75" customHeight="1" x14ac:dyDescent="0.25">
      <c r="A234" s="200"/>
      <c r="B234" s="200" t="s">
        <v>268</v>
      </c>
      <c r="C234" s="340">
        <v>5</v>
      </c>
      <c r="D234" s="203">
        <v>3.96</v>
      </c>
      <c r="E234" s="203" t="s">
        <v>6</v>
      </c>
      <c r="F234" s="203">
        <f>'Material and Labor Cost'!$D$22</f>
        <v>880.00000000000011</v>
      </c>
      <c r="G234" s="203">
        <f>'Material and Labor Cost'!$F$22</f>
        <v>450.00000000000006</v>
      </c>
      <c r="H234" s="203">
        <f t="shared" si="531"/>
        <v>1330.0000000000002</v>
      </c>
      <c r="I234" s="203">
        <f t="shared" si="532"/>
        <v>5266.8000000000011</v>
      </c>
      <c r="J234" s="137"/>
      <c r="K234" s="137"/>
      <c r="L234" s="206">
        <v>1.1000000000000001</v>
      </c>
      <c r="M234" s="327"/>
      <c r="N234" s="141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310">
        <f t="shared" si="533"/>
        <v>0</v>
      </c>
      <c r="Z234" s="311">
        <f t="shared" si="534"/>
        <v>0</v>
      </c>
      <c r="AA234" s="311">
        <f t="shared" si="535"/>
        <v>0</v>
      </c>
      <c r="AB234" s="167">
        <f t="shared" si="536"/>
        <v>3.96</v>
      </c>
      <c r="AC234" s="167">
        <f t="shared" si="537"/>
        <v>0</v>
      </c>
      <c r="AD234" s="167">
        <f t="shared" si="538"/>
        <v>0</v>
      </c>
      <c r="AE234" s="167">
        <f t="shared" si="539"/>
        <v>0</v>
      </c>
      <c r="AF234" s="167">
        <f t="shared" si="540"/>
        <v>5266.8000000000011</v>
      </c>
      <c r="AG234" s="168">
        <f t="shared" si="490"/>
        <v>0</v>
      </c>
      <c r="AH234" s="137"/>
      <c r="AI234" s="311">
        <v>0</v>
      </c>
      <c r="AJ234" s="137"/>
      <c r="AK234" s="137"/>
      <c r="AL234" s="137"/>
      <c r="AM234" s="137"/>
      <c r="AN234" s="137"/>
      <c r="AO234" s="137"/>
      <c r="AP234" s="137"/>
      <c r="AQ234" s="137"/>
      <c r="AR234" s="137"/>
      <c r="AS234" s="137"/>
      <c r="AT234" s="137"/>
      <c r="AU234" s="137"/>
      <c r="AV234" s="137"/>
      <c r="AW234" s="137"/>
      <c r="AX234" s="137"/>
      <c r="AY234" s="137"/>
      <c r="AZ234" s="137"/>
      <c r="BA234" s="168">
        <f t="shared" ref="BA234:BA235" si="543">SUM(BK233:BQ233)</f>
        <v>0</v>
      </c>
      <c r="BB234" s="137"/>
      <c r="BC234" s="168">
        <f t="shared" ref="BC234:BJ234" si="544">SUM(BS233:BZ233)</f>
        <v>0</v>
      </c>
      <c r="BD234" s="168">
        <f t="shared" ref="BD234:BD235" si="545">SUM(BN233:BT233)</f>
        <v>0</v>
      </c>
      <c r="BE234" s="168">
        <f t="shared" si="544"/>
        <v>0</v>
      </c>
      <c r="BF234" s="168">
        <f t="shared" si="544"/>
        <v>0</v>
      </c>
      <c r="BG234" s="168">
        <f t="shared" si="544"/>
        <v>0</v>
      </c>
      <c r="BH234" s="168">
        <f t="shared" si="544"/>
        <v>0</v>
      </c>
      <c r="BI234" s="168">
        <f t="shared" si="544"/>
        <v>0</v>
      </c>
      <c r="BJ234" s="168">
        <f t="shared" si="544"/>
        <v>0</v>
      </c>
      <c r="BK234" s="137"/>
      <c r="BL234" s="137"/>
      <c r="BM234" s="137"/>
      <c r="BN234" s="137"/>
      <c r="BO234" s="137"/>
      <c r="BP234" s="137"/>
      <c r="BQ234" s="137"/>
      <c r="BR234" s="137"/>
      <c r="BS234" s="137"/>
      <c r="BT234" s="137"/>
      <c r="BU234" s="137"/>
    </row>
    <row r="235" spans="1:73" ht="12.75" customHeight="1" x14ac:dyDescent="0.25">
      <c r="A235" s="200"/>
      <c r="B235" s="200" t="s">
        <v>278</v>
      </c>
      <c r="C235" s="340">
        <v>6.73</v>
      </c>
      <c r="D235" s="203">
        <f>C235*$L$23</f>
        <v>7.4030000000000014</v>
      </c>
      <c r="E235" s="203" t="s">
        <v>6</v>
      </c>
      <c r="F235" s="203">
        <f>'Material and Labor Cost'!$D$27</f>
        <v>6600.0000000000009</v>
      </c>
      <c r="G235" s="203">
        <f>'Material and Labor Cost'!$F$27</f>
        <v>3300.0000000000005</v>
      </c>
      <c r="H235" s="203">
        <f t="shared" si="531"/>
        <v>9900.0000000000018</v>
      </c>
      <c r="I235" s="203">
        <f t="shared" si="532"/>
        <v>73289.700000000026</v>
      </c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310">
        <f t="shared" si="533"/>
        <v>0</v>
      </c>
      <c r="Z235" s="311">
        <f t="shared" si="534"/>
        <v>0</v>
      </c>
      <c r="AA235" s="311">
        <f t="shared" si="535"/>
        <v>0</v>
      </c>
      <c r="AB235" s="167">
        <f t="shared" si="536"/>
        <v>7.4030000000000014</v>
      </c>
      <c r="AC235" s="167">
        <f t="shared" si="537"/>
        <v>0</v>
      </c>
      <c r="AD235" s="167">
        <f t="shared" si="538"/>
        <v>0</v>
      </c>
      <c r="AE235" s="167">
        <f t="shared" si="539"/>
        <v>0</v>
      </c>
      <c r="AF235" s="167">
        <f t="shared" si="540"/>
        <v>73289.700000000026</v>
      </c>
      <c r="AG235" s="168">
        <f t="shared" si="490"/>
        <v>0</v>
      </c>
      <c r="AH235" s="137"/>
      <c r="AI235" s="311">
        <v>0</v>
      </c>
      <c r="AJ235" s="137"/>
      <c r="AK235" s="137"/>
      <c r="AL235" s="137"/>
      <c r="AM235" s="137"/>
      <c r="AN235" s="137"/>
      <c r="AO235" s="137"/>
      <c r="AP235" s="137"/>
      <c r="AQ235" s="137"/>
      <c r="AR235" s="137"/>
      <c r="AS235" s="137"/>
      <c r="AT235" s="137"/>
      <c r="AU235" s="137"/>
      <c r="AV235" s="137"/>
      <c r="AW235" s="137"/>
      <c r="AX235" s="137"/>
      <c r="AY235" s="137"/>
      <c r="AZ235" s="137"/>
      <c r="BA235" s="168">
        <f t="shared" si="543"/>
        <v>0</v>
      </c>
      <c r="BB235" s="137"/>
      <c r="BC235" s="168">
        <f t="shared" ref="BC235:BJ235" si="546">SUM(BS234:BZ234)</f>
        <v>0</v>
      </c>
      <c r="BD235" s="168">
        <f t="shared" si="545"/>
        <v>0</v>
      </c>
      <c r="BE235" s="168">
        <f t="shared" si="546"/>
        <v>0</v>
      </c>
      <c r="BF235" s="168">
        <f t="shared" si="546"/>
        <v>0</v>
      </c>
      <c r="BG235" s="168">
        <f t="shared" si="546"/>
        <v>0</v>
      </c>
      <c r="BH235" s="168">
        <f t="shared" si="546"/>
        <v>0</v>
      </c>
      <c r="BI235" s="168">
        <f t="shared" si="546"/>
        <v>0</v>
      </c>
      <c r="BJ235" s="168">
        <f t="shared" si="546"/>
        <v>0</v>
      </c>
      <c r="BK235" s="137"/>
      <c r="BL235" s="137"/>
      <c r="BM235" s="137"/>
      <c r="BN235" s="137"/>
      <c r="BO235" s="137"/>
      <c r="BP235" s="137"/>
      <c r="BQ235" s="137"/>
      <c r="BR235" s="137"/>
      <c r="BS235" s="137"/>
      <c r="BT235" s="137"/>
      <c r="BU235" s="137"/>
    </row>
    <row r="236" spans="1:73" ht="12.75" customHeight="1" x14ac:dyDescent="0.25">
      <c r="A236" s="200"/>
      <c r="B236" s="204" t="s">
        <v>272</v>
      </c>
      <c r="C236" s="340"/>
      <c r="D236" s="203">
        <v>1</v>
      </c>
      <c r="E236" s="203" t="s">
        <v>94</v>
      </c>
      <c r="F236" s="203"/>
      <c r="G236" s="203"/>
      <c r="H236" s="203"/>
      <c r="I236" s="203">
        <f>SUM(I232:I235)*$L$27</f>
        <v>11972.331360000004</v>
      </c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310">
        <f t="shared" si="533"/>
        <v>0</v>
      </c>
      <c r="Z236" s="311">
        <f t="shared" si="534"/>
        <v>0.4</v>
      </c>
      <c r="AA236" s="311">
        <f t="shared" si="535"/>
        <v>0.4</v>
      </c>
      <c r="AB236" s="167">
        <f t="shared" si="536"/>
        <v>0.6</v>
      </c>
      <c r="AC236" s="167">
        <f t="shared" si="537"/>
        <v>0</v>
      </c>
      <c r="AD236" s="167">
        <f t="shared" si="538"/>
        <v>4788.9325440000021</v>
      </c>
      <c r="AE236" s="167">
        <f t="shared" si="539"/>
        <v>4788.9325440000021</v>
      </c>
      <c r="AF236" s="167">
        <f t="shared" si="540"/>
        <v>7183.3988160000017</v>
      </c>
      <c r="AG236" s="168">
        <f t="shared" si="490"/>
        <v>0.4</v>
      </c>
      <c r="AH236" s="137"/>
      <c r="AI236" s="311">
        <v>0</v>
      </c>
      <c r="AJ236" s="137"/>
      <c r="AK236" s="137"/>
      <c r="AL236" s="137"/>
      <c r="AM236" s="137"/>
      <c r="AN236" s="137"/>
      <c r="AO236" s="137"/>
      <c r="AP236" s="137"/>
      <c r="AQ236" s="137"/>
      <c r="AR236" s="137"/>
      <c r="AS236" s="137"/>
      <c r="AT236" s="137"/>
      <c r="AU236" s="137"/>
      <c r="AV236" s="137"/>
      <c r="AW236" s="137"/>
      <c r="AX236" s="137"/>
      <c r="AY236" s="137"/>
      <c r="AZ236" s="137"/>
      <c r="BA236" s="168">
        <v>0.4</v>
      </c>
      <c r="BB236" s="137"/>
      <c r="BC236" s="168">
        <f t="shared" ref="BC236:BJ236" si="547">SUM(BS235:BZ235)</f>
        <v>0</v>
      </c>
      <c r="BD236" s="168">
        <v>0.4</v>
      </c>
      <c r="BE236" s="168">
        <f t="shared" si="547"/>
        <v>0</v>
      </c>
      <c r="BF236" s="168">
        <f t="shared" si="547"/>
        <v>0</v>
      </c>
      <c r="BG236" s="168">
        <f t="shared" si="547"/>
        <v>0</v>
      </c>
      <c r="BH236" s="168">
        <f t="shared" si="547"/>
        <v>0</v>
      </c>
      <c r="BI236" s="168">
        <f t="shared" si="547"/>
        <v>0</v>
      </c>
      <c r="BJ236" s="168">
        <f t="shared" si="547"/>
        <v>0</v>
      </c>
      <c r="BK236" s="137"/>
      <c r="BL236" s="137"/>
      <c r="BM236" s="137"/>
      <c r="BN236" s="137"/>
      <c r="BO236" s="137"/>
      <c r="BP236" s="137"/>
      <c r="BQ236" s="137"/>
      <c r="BR236" s="137"/>
      <c r="BS236" s="137"/>
      <c r="BT236" s="137"/>
      <c r="BU236" s="137"/>
    </row>
    <row r="237" spans="1:73" ht="12.75" customHeight="1" x14ac:dyDescent="0.25">
      <c r="A237" s="228"/>
      <c r="B237" s="510" t="s">
        <v>342</v>
      </c>
      <c r="C237" s="501"/>
      <c r="D237" s="501"/>
      <c r="E237" s="501"/>
      <c r="F237" s="501"/>
      <c r="G237" s="501"/>
      <c r="H237" s="502"/>
      <c r="I237" s="229">
        <f>SUM(I232:I236)</f>
        <v>111741.75936000003</v>
      </c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69">
        <v>5082097.2</v>
      </c>
      <c r="V237" s="137">
        <v>56700</v>
      </c>
      <c r="W237" s="137"/>
      <c r="X237" s="137"/>
      <c r="Y237" s="307">
        <f t="shared" ref="Y237:AF237" si="548">SUM(Y232:Y236)</f>
        <v>0</v>
      </c>
      <c r="Z237" s="184">
        <f t="shared" si="548"/>
        <v>26.338000000000001</v>
      </c>
      <c r="AA237" s="184">
        <f t="shared" si="548"/>
        <v>26.338000000000001</v>
      </c>
      <c r="AB237" s="235">
        <f t="shared" si="548"/>
        <v>11.963000000000001</v>
      </c>
      <c r="AC237" s="235">
        <f t="shared" si="548"/>
        <v>0</v>
      </c>
      <c r="AD237" s="235">
        <f t="shared" si="548"/>
        <v>26001.860544000006</v>
      </c>
      <c r="AE237" s="235">
        <f t="shared" si="548"/>
        <v>26001.860544000006</v>
      </c>
      <c r="AF237" s="235">
        <f t="shared" si="548"/>
        <v>85739.89881600003</v>
      </c>
      <c r="AG237" s="469">
        <f t="shared" si="490"/>
        <v>0.48</v>
      </c>
      <c r="AH237" s="137"/>
      <c r="AI237" s="184">
        <v>0</v>
      </c>
      <c r="AJ237" s="137"/>
      <c r="AK237" s="137"/>
      <c r="AL237" s="137"/>
      <c r="AM237" s="137"/>
      <c r="AN237" s="137"/>
      <c r="AO237" s="137"/>
      <c r="AP237" s="137"/>
      <c r="AQ237" s="137"/>
      <c r="AR237" s="137"/>
      <c r="AS237" s="137"/>
      <c r="AT237" s="137"/>
      <c r="AU237" s="137"/>
      <c r="AV237" s="137"/>
      <c r="AW237" s="137"/>
      <c r="AX237" s="137"/>
      <c r="AY237" s="137"/>
      <c r="AZ237" s="137"/>
      <c r="BA237" s="308">
        <f>SUM(BA232:BA236)/COUNT(BA232:BA236)</f>
        <v>0.48</v>
      </c>
      <c r="BB237" s="137"/>
      <c r="BC237" s="308">
        <f t="shared" ref="BC237:BJ237" si="549">SUM(BC232:BC236)/COUNT(BC232:BC236)</f>
        <v>0</v>
      </c>
      <c r="BD237" s="308">
        <f>SUM(BD232:BD236)/COUNT(BD232:BD236)</f>
        <v>0.48</v>
      </c>
      <c r="BE237" s="308">
        <f t="shared" si="549"/>
        <v>0</v>
      </c>
      <c r="BF237" s="308">
        <f t="shared" si="549"/>
        <v>0</v>
      </c>
      <c r="BG237" s="308">
        <f t="shared" si="549"/>
        <v>0</v>
      </c>
      <c r="BH237" s="308">
        <f t="shared" si="549"/>
        <v>0</v>
      </c>
      <c r="BI237" s="308">
        <f t="shared" si="549"/>
        <v>0</v>
      </c>
      <c r="BJ237" s="308">
        <f t="shared" si="549"/>
        <v>0</v>
      </c>
      <c r="BK237" s="137"/>
      <c r="BL237" s="137"/>
      <c r="BM237" s="137"/>
      <c r="BN237" s="137"/>
      <c r="BO237" s="137"/>
      <c r="BP237" s="137"/>
      <c r="BQ237" s="137"/>
      <c r="BR237" s="137"/>
      <c r="BS237" s="137"/>
      <c r="BT237" s="137"/>
      <c r="BU237" s="137"/>
    </row>
    <row r="238" spans="1:73" ht="12.75" customHeight="1" x14ac:dyDescent="0.25">
      <c r="A238" s="243"/>
      <c r="B238" s="507" t="s">
        <v>343</v>
      </c>
      <c r="C238" s="508"/>
      <c r="D238" s="508"/>
      <c r="E238" s="508"/>
      <c r="F238" s="508"/>
      <c r="G238" s="508"/>
      <c r="H238" s="491"/>
      <c r="I238" s="244">
        <f>SUM(I163,I170,I179,I188,I197,I205,I214,I223,I230,I237)</f>
        <v>1204064.07968</v>
      </c>
      <c r="J238" s="230"/>
      <c r="K238" s="231"/>
      <c r="L238" s="230"/>
      <c r="M238" s="230"/>
      <c r="N238" s="230"/>
      <c r="O238" s="230"/>
      <c r="P238" s="230"/>
      <c r="Q238" s="230"/>
      <c r="R238" s="230"/>
      <c r="S238" s="230"/>
      <c r="T238" s="230"/>
      <c r="U238" s="230"/>
      <c r="V238" s="230"/>
      <c r="W238" s="230"/>
      <c r="X238" s="232"/>
      <c r="Y238" s="307">
        <f t="shared" ref="Y238:AF238" si="550">SUM(Y163,Y170,Y179,Y188,Y197,Y205,Y214,Y223,Y230,Y237)</f>
        <v>0</v>
      </c>
      <c r="Z238" s="184">
        <f t="shared" si="550"/>
        <v>406.72330000000005</v>
      </c>
      <c r="AA238" s="184">
        <f t="shared" si="550"/>
        <v>406.72330000000005</v>
      </c>
      <c r="AB238" s="235">
        <f t="shared" si="550"/>
        <v>387.18070000000006</v>
      </c>
      <c r="AC238" s="235">
        <f t="shared" si="550"/>
        <v>0</v>
      </c>
      <c r="AD238" s="235">
        <f t="shared" si="550"/>
        <v>430142.57624799997</v>
      </c>
      <c r="AE238" s="235">
        <f t="shared" si="550"/>
        <v>430142.57624799997</v>
      </c>
      <c r="AF238" s="235">
        <f t="shared" si="550"/>
        <v>773921.50343200006</v>
      </c>
      <c r="AG238" s="469">
        <f t="shared" si="490"/>
        <v>0.39038095238095238</v>
      </c>
      <c r="AH238" s="237"/>
      <c r="AI238" s="184">
        <v>0</v>
      </c>
      <c r="AJ238" s="230"/>
      <c r="AK238" s="230"/>
      <c r="AL238" s="230"/>
      <c r="AM238" s="230"/>
      <c r="AN238" s="230"/>
      <c r="AO238" s="230"/>
      <c r="AP238" s="230"/>
      <c r="AQ238" s="230"/>
      <c r="AR238" s="230"/>
      <c r="AS238" s="230"/>
      <c r="AT238" s="230"/>
      <c r="AU238" s="230"/>
      <c r="AV238" s="230"/>
      <c r="AW238" s="230"/>
      <c r="AX238" s="230"/>
      <c r="AY238" s="230"/>
      <c r="AZ238" s="230"/>
      <c r="BA238" s="308">
        <f>SUM(BA163,BA170,BA179,BA188,BA197,BA205,BA214,BA223,BA230,BA237)/10</f>
        <v>0.39038095238095238</v>
      </c>
      <c r="BB238" s="230"/>
      <c r="BC238" s="308">
        <f t="shared" ref="BC238:BJ238" si="551">SUM(BC163,BC170,BC179,BC188,BC197,BC205,BC214,BC223,BC230,BC237)/10</f>
        <v>0</v>
      </c>
      <c r="BD238" s="308">
        <f>SUM(BD163,BD170,BD179,BD188,BD197,BD205,BD214,BD223,BD230,BD237)/10</f>
        <v>0.31799999999999995</v>
      </c>
      <c r="BE238" s="308">
        <f t="shared" si="551"/>
        <v>0</v>
      </c>
      <c r="BF238" s="308">
        <f t="shared" si="551"/>
        <v>0</v>
      </c>
      <c r="BG238" s="308">
        <f t="shared" si="551"/>
        <v>0</v>
      </c>
      <c r="BH238" s="308">
        <f t="shared" si="551"/>
        <v>0</v>
      </c>
      <c r="BI238" s="308">
        <f t="shared" si="551"/>
        <v>0</v>
      </c>
      <c r="BJ238" s="308">
        <f t="shared" si="551"/>
        <v>0</v>
      </c>
      <c r="BK238" s="230"/>
      <c r="BL238" s="230"/>
      <c r="BM238" s="230"/>
      <c r="BN238" s="230"/>
      <c r="BO238" s="230"/>
      <c r="BP238" s="230"/>
      <c r="BQ238" s="230"/>
      <c r="BR238" s="230"/>
      <c r="BS238" s="230"/>
      <c r="BT238" s="230"/>
      <c r="BU238" s="230"/>
    </row>
    <row r="239" spans="1:73" ht="12.75" customHeight="1" x14ac:dyDescent="0.25">
      <c r="A239" s="349"/>
      <c r="B239" s="528" t="s">
        <v>344</v>
      </c>
      <c r="C239" s="529"/>
      <c r="D239" s="529"/>
      <c r="E239" s="529"/>
      <c r="F239" s="529"/>
      <c r="G239" s="529"/>
      <c r="H239" s="496"/>
      <c r="I239" s="350">
        <f>SUM(I238,I155,I68)</f>
        <v>2421974.5710600005</v>
      </c>
      <c r="J239" s="351"/>
      <c r="K239" s="352"/>
      <c r="L239" s="351"/>
      <c r="M239" s="351"/>
      <c r="N239" s="351"/>
      <c r="O239" s="351"/>
      <c r="P239" s="351"/>
      <c r="Q239" s="351"/>
      <c r="R239" s="351"/>
      <c r="S239" s="351"/>
      <c r="T239" s="351"/>
      <c r="U239" s="351"/>
      <c r="V239" s="351"/>
      <c r="W239" s="351"/>
      <c r="X239" s="353"/>
      <c r="Y239" s="354">
        <f t="shared" ref="Y239:AF239" si="552">SUM(Y238,Y155,Y68)</f>
        <v>0</v>
      </c>
      <c r="Z239" s="355">
        <f t="shared" si="552"/>
        <v>907.00810000000001</v>
      </c>
      <c r="AA239" s="355">
        <f t="shared" si="552"/>
        <v>907.00810000000001</v>
      </c>
      <c r="AB239" s="356">
        <f t="shared" si="552"/>
        <v>926.76602000000003</v>
      </c>
      <c r="AC239" s="356">
        <f t="shared" si="552"/>
        <v>0</v>
      </c>
      <c r="AD239" s="356">
        <f t="shared" si="552"/>
        <v>996590.49745199992</v>
      </c>
      <c r="AE239" s="356">
        <f t="shared" si="552"/>
        <v>996590.49745199992</v>
      </c>
      <c r="AF239" s="356">
        <f t="shared" si="552"/>
        <v>1425384.0736080001</v>
      </c>
      <c r="AG239" s="469">
        <f t="shared" si="490"/>
        <v>0.36208465608465606</v>
      </c>
      <c r="AH239" s="358"/>
      <c r="AI239" s="355">
        <v>0</v>
      </c>
      <c r="AJ239" s="351"/>
      <c r="AK239" s="351"/>
      <c r="AL239" s="351"/>
      <c r="AM239" s="351"/>
      <c r="AN239" s="351"/>
      <c r="AO239" s="351"/>
      <c r="AP239" s="351"/>
      <c r="AQ239" s="351"/>
      <c r="AR239" s="351"/>
      <c r="AS239" s="351"/>
      <c r="AT239" s="351"/>
      <c r="AU239" s="351"/>
      <c r="AV239" s="351"/>
      <c r="AW239" s="351"/>
      <c r="AX239" s="351"/>
      <c r="AY239" s="351"/>
      <c r="AZ239" s="351"/>
      <c r="BA239" s="357">
        <f>SUM(BA238,BA155,BA68)/3</f>
        <v>0.36208465608465606</v>
      </c>
      <c r="BB239" s="351"/>
      <c r="BC239" s="357">
        <f t="shared" ref="BC239:BJ239" si="553">SUM(BC238,BC155,BC68)/3</f>
        <v>0</v>
      </c>
      <c r="BD239" s="357">
        <f>SUM(BD238,BD155,BD68)/3</f>
        <v>0.12028571428571427</v>
      </c>
      <c r="BE239" s="357">
        <f t="shared" si="553"/>
        <v>0</v>
      </c>
      <c r="BF239" s="357">
        <f t="shared" si="553"/>
        <v>0</v>
      </c>
      <c r="BG239" s="357">
        <f t="shared" si="553"/>
        <v>0</v>
      </c>
      <c r="BH239" s="357">
        <f t="shared" si="553"/>
        <v>0</v>
      </c>
      <c r="BI239" s="357">
        <f t="shared" si="553"/>
        <v>0</v>
      </c>
      <c r="BJ239" s="357">
        <f t="shared" si="553"/>
        <v>0</v>
      </c>
      <c r="BK239" s="351"/>
      <c r="BL239" s="351"/>
      <c r="BM239" s="351"/>
      <c r="BN239" s="351"/>
      <c r="BO239" s="351"/>
      <c r="BP239" s="351"/>
      <c r="BQ239" s="351"/>
      <c r="BR239" s="351"/>
      <c r="BS239" s="351"/>
      <c r="BT239" s="351"/>
      <c r="BU239" s="351"/>
    </row>
    <row r="240" spans="1:73" ht="12.75" customHeight="1" x14ac:dyDescent="0.25">
      <c r="A240" s="132"/>
      <c r="B240" s="132"/>
      <c r="C240" s="359"/>
      <c r="D240" s="134"/>
      <c r="E240" s="134"/>
      <c r="F240" s="134"/>
      <c r="G240" s="134"/>
      <c r="H240" s="134"/>
      <c r="I240" s="134"/>
      <c r="J240" s="132"/>
      <c r="K240" s="132"/>
      <c r="L240" s="137"/>
      <c r="M240" s="137"/>
      <c r="N240" s="137"/>
      <c r="O240" s="137"/>
      <c r="P240" s="137"/>
      <c r="Q240" s="137">
        <v>6.3</v>
      </c>
      <c r="R240" s="137"/>
      <c r="S240" s="137"/>
      <c r="T240" s="137"/>
      <c r="U240" s="137"/>
      <c r="V240" s="137"/>
      <c r="W240" s="137"/>
      <c r="X240" s="137"/>
      <c r="Y240" s="146"/>
      <c r="Z240" s="146"/>
      <c r="AA240" s="146"/>
      <c r="AB240" s="250"/>
      <c r="AC240" s="250"/>
      <c r="AD240" s="250"/>
      <c r="AE240" s="250"/>
      <c r="AF240" s="250"/>
      <c r="AG240" s="251"/>
      <c r="AH240" s="137"/>
      <c r="AI240" s="137"/>
      <c r="AJ240" s="137"/>
      <c r="AK240" s="137"/>
      <c r="AL240" s="137"/>
      <c r="AM240" s="137"/>
      <c r="AN240" s="137"/>
      <c r="AO240" s="137"/>
      <c r="AP240" s="137"/>
      <c r="AQ240" s="137"/>
      <c r="AR240" s="137"/>
      <c r="AS240" s="137"/>
      <c r="AT240" s="137"/>
      <c r="AU240" s="137"/>
      <c r="AV240" s="137"/>
      <c r="AW240" s="137"/>
      <c r="AX240" s="137"/>
      <c r="AY240" s="137"/>
      <c r="AZ240" s="137"/>
      <c r="BA240" s="137"/>
      <c r="BB240" s="137"/>
      <c r="BC240" s="137"/>
      <c r="BD240" s="137"/>
      <c r="BE240" s="137"/>
      <c r="BF240" s="137"/>
      <c r="BG240" s="137"/>
      <c r="BH240" s="137"/>
      <c r="BI240" s="137"/>
      <c r="BJ240" s="137"/>
      <c r="BK240" s="137"/>
      <c r="BL240" s="137"/>
      <c r="BM240" s="137"/>
      <c r="BN240" s="137"/>
      <c r="BO240" s="137"/>
      <c r="BP240" s="137"/>
      <c r="BQ240" s="137"/>
      <c r="BR240" s="137"/>
      <c r="BS240" s="137"/>
      <c r="BT240" s="137"/>
      <c r="BU240" s="137"/>
    </row>
  </sheetData>
  <mergeCells count="42">
    <mergeCell ref="B230:H230"/>
    <mergeCell ref="B237:H237"/>
    <mergeCell ref="B238:H238"/>
    <mergeCell ref="B239:H239"/>
    <mergeCell ref="B155:H155"/>
    <mergeCell ref="B156:I156"/>
    <mergeCell ref="B163:H163"/>
    <mergeCell ref="B170:H170"/>
    <mergeCell ref="B179:H179"/>
    <mergeCell ref="B188:H188"/>
    <mergeCell ref="B197:H197"/>
    <mergeCell ref="B146:H146"/>
    <mergeCell ref="B154:H154"/>
    <mergeCell ref="B205:H205"/>
    <mergeCell ref="B214:H214"/>
    <mergeCell ref="B223:H223"/>
    <mergeCell ref="B99:H99"/>
    <mergeCell ref="B107:H107"/>
    <mergeCell ref="B115:H115"/>
    <mergeCell ref="B126:H126"/>
    <mergeCell ref="B137:H137"/>
    <mergeCell ref="B68:H68"/>
    <mergeCell ref="B69:I69"/>
    <mergeCell ref="B75:H75"/>
    <mergeCell ref="B83:H83"/>
    <mergeCell ref="B91:H91"/>
    <mergeCell ref="B35:H35"/>
    <mergeCell ref="B42:H42"/>
    <mergeCell ref="B49:H49"/>
    <mergeCell ref="B56:H56"/>
    <mergeCell ref="B67:H67"/>
    <mergeCell ref="BC16:BJ16"/>
    <mergeCell ref="B15:H15"/>
    <mergeCell ref="B18:I18"/>
    <mergeCell ref="B19:I19"/>
    <mergeCell ref="B28:H28"/>
    <mergeCell ref="B13:H13"/>
    <mergeCell ref="B14:H14"/>
    <mergeCell ref="AI16:AP16"/>
    <mergeCell ref="AR16:AY16"/>
    <mergeCell ref="Y17:AB17"/>
    <mergeCell ref="AC17:AF17"/>
  </mergeCells>
  <pageMargins left="0.7" right="0.7" top="0.75" bottom="0.75" header="0" footer="0"/>
  <pageSetup paperSize="5" scale="88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FF"/>
    <outlinePr summaryBelow="0" summaryRight="0"/>
    <pageSetUpPr fitToPage="1"/>
  </sheetPr>
  <dimension ref="A1:AU1000"/>
  <sheetViews>
    <sheetView view="pageBreakPreview" topLeftCell="C13" zoomScale="60" zoomScaleNormal="100" workbookViewId="0">
      <selection activeCell="AL44" sqref="AL44"/>
    </sheetView>
  </sheetViews>
  <sheetFormatPr defaultColWidth="12.6640625" defaultRowHeight="15" customHeight="1" x14ac:dyDescent="0.25"/>
  <cols>
    <col min="1" max="1" width="16.77734375" customWidth="1"/>
    <col min="2" max="2" width="86.33203125" customWidth="1"/>
    <col min="3" max="3" width="16.77734375" customWidth="1"/>
    <col min="4" max="4" width="16.77734375" hidden="1" customWidth="1"/>
    <col min="5" max="5" width="23.88671875" hidden="1" customWidth="1"/>
    <col min="6" max="6" width="29.21875" hidden="1" customWidth="1"/>
    <col min="7" max="9" width="16.77734375" hidden="1" customWidth="1"/>
    <col min="10" max="17" width="16.77734375" customWidth="1"/>
    <col min="18" max="18" width="17.21875" customWidth="1"/>
    <col min="19" max="36" width="16.77734375" hidden="1" customWidth="1"/>
    <col min="37" max="37" width="16.77734375" customWidth="1"/>
    <col min="38" max="38" width="29.6640625" customWidth="1"/>
    <col min="39" max="47" width="16.77734375" customWidth="1"/>
  </cols>
  <sheetData>
    <row r="1" spans="1:47" ht="12.75" customHeight="1" x14ac:dyDescent="0.25">
      <c r="A1" s="359"/>
      <c r="B1" s="133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AL1" s="360"/>
      <c r="AM1" s="499"/>
    </row>
    <row r="2" spans="1:47" ht="12.75" customHeight="1" x14ac:dyDescent="0.25">
      <c r="A2" s="359"/>
      <c r="B2" s="133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AL2" s="360"/>
      <c r="AM2" s="499"/>
    </row>
    <row r="3" spans="1:47" ht="12.75" customHeight="1" x14ac:dyDescent="0.25">
      <c r="A3" s="359"/>
      <c r="B3" s="133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AL3" s="360"/>
      <c r="AM3" s="499"/>
    </row>
    <row r="4" spans="1:47" ht="12.75" customHeight="1" x14ac:dyDescent="0.25">
      <c r="A4" s="359"/>
      <c r="B4" s="133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AL4" s="360"/>
      <c r="AM4" s="499"/>
    </row>
    <row r="5" spans="1:47" ht="12.75" customHeight="1" x14ac:dyDescent="0.25">
      <c r="A5" s="359"/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AL5" s="360"/>
      <c r="AM5" s="499"/>
    </row>
    <row r="6" spans="1:47" ht="12.75" customHeight="1" x14ac:dyDescent="0.25">
      <c r="A6" s="359"/>
      <c r="B6" s="133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AL6" s="360"/>
      <c r="AM6" s="499"/>
    </row>
    <row r="7" spans="1:47" ht="12.75" customHeight="1" x14ac:dyDescent="0.25">
      <c r="A7" s="359"/>
      <c r="B7" s="133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AL7" s="360"/>
      <c r="AM7" s="499"/>
    </row>
    <row r="8" spans="1:47" ht="12.75" customHeight="1" x14ac:dyDescent="0.25">
      <c r="A8" s="359"/>
      <c r="B8" s="133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AL8" s="360"/>
      <c r="AM8" s="499"/>
    </row>
    <row r="9" spans="1:47" ht="12.75" customHeight="1" x14ac:dyDescent="0.25">
      <c r="A9" s="359"/>
      <c r="B9" s="133"/>
      <c r="C9" s="134"/>
      <c r="D9" s="134" t="s">
        <v>74</v>
      </c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AL9" s="360"/>
      <c r="AM9" s="499"/>
    </row>
    <row r="10" spans="1:47" ht="12.75" customHeight="1" x14ac:dyDescent="0.25">
      <c r="A10" s="359"/>
      <c r="B10" s="133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AL10" s="360"/>
      <c r="AM10" s="499"/>
    </row>
    <row r="11" spans="1:47" ht="12.75" customHeight="1" x14ac:dyDescent="0.25">
      <c r="A11" s="359"/>
      <c r="B11" s="133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AL11" s="360"/>
      <c r="AM11" s="499"/>
    </row>
    <row r="12" spans="1:47" ht="12.75" customHeight="1" x14ac:dyDescent="0.25">
      <c r="A12" s="359"/>
      <c r="B12" s="133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AL12" s="360"/>
      <c r="AM12" s="499"/>
    </row>
    <row r="13" spans="1:47" ht="12.75" customHeight="1" x14ac:dyDescent="0.25">
      <c r="A13" s="10" t="s">
        <v>0</v>
      </c>
      <c r="B13" s="514" t="s">
        <v>1</v>
      </c>
      <c r="C13" s="484"/>
      <c r="D13" s="484"/>
      <c r="E13" s="484"/>
      <c r="F13" s="484"/>
      <c r="G13" s="484"/>
      <c r="H13" s="485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AL13" s="360"/>
      <c r="AM13" s="499"/>
    </row>
    <row r="14" spans="1:47" ht="12.75" customHeight="1" x14ac:dyDescent="0.25">
      <c r="A14" s="10" t="s">
        <v>2</v>
      </c>
      <c r="B14" s="514" t="s">
        <v>3</v>
      </c>
      <c r="C14" s="484"/>
      <c r="D14" s="484"/>
      <c r="E14" s="484"/>
      <c r="F14" s="484"/>
      <c r="G14" s="484"/>
      <c r="H14" s="485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AL14" s="360"/>
      <c r="AM14" s="499"/>
    </row>
    <row r="15" spans="1:47" ht="12.75" customHeight="1" x14ac:dyDescent="0.25">
      <c r="A15" s="10" t="s">
        <v>4</v>
      </c>
      <c r="B15" s="486">
        <f ca="1">TODAY()</f>
        <v>46251</v>
      </c>
      <c r="C15" s="484"/>
      <c r="D15" s="484"/>
      <c r="E15" s="484"/>
      <c r="F15" s="484"/>
      <c r="G15" s="484"/>
      <c r="H15" s="485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AL15" s="360"/>
      <c r="AM15" s="499"/>
    </row>
    <row r="16" spans="1:47" ht="12.75" customHeight="1" x14ac:dyDescent="0.25">
      <c r="A16" s="361"/>
      <c r="B16" s="362"/>
      <c r="C16" s="362"/>
      <c r="D16" s="362"/>
      <c r="E16" s="362"/>
      <c r="F16" s="362"/>
      <c r="G16" s="362"/>
      <c r="H16" s="362"/>
      <c r="I16" s="362"/>
      <c r="J16" s="363"/>
      <c r="K16" s="363"/>
      <c r="L16" s="363"/>
      <c r="M16" s="363"/>
      <c r="N16" s="363"/>
      <c r="O16" s="363"/>
      <c r="P16" s="363"/>
      <c r="Q16" s="363"/>
      <c r="R16" s="364"/>
      <c r="T16" s="515" t="s">
        <v>75</v>
      </c>
      <c r="U16" s="499"/>
      <c r="V16" s="499"/>
      <c r="W16" s="499"/>
      <c r="X16" s="499"/>
      <c r="Y16" s="499"/>
      <c r="Z16" s="499"/>
      <c r="AA16" s="499"/>
      <c r="AB16" s="137"/>
      <c r="AC16" s="516" t="s">
        <v>13</v>
      </c>
      <c r="AD16" s="499"/>
      <c r="AE16" s="499"/>
      <c r="AF16" s="499"/>
      <c r="AG16" s="499"/>
      <c r="AH16" s="499"/>
      <c r="AI16" s="499"/>
      <c r="AJ16" s="499"/>
      <c r="AK16" s="257"/>
      <c r="AL16" s="258" t="s">
        <v>76</v>
      </c>
      <c r="AM16" s="499"/>
      <c r="AN16" s="530" t="s">
        <v>77</v>
      </c>
      <c r="AO16" s="499"/>
      <c r="AP16" s="499"/>
      <c r="AQ16" s="499"/>
      <c r="AR16" s="499"/>
      <c r="AS16" s="499"/>
      <c r="AT16" s="499"/>
      <c r="AU16" s="499"/>
    </row>
    <row r="17" spans="1:47" ht="12.75" customHeight="1" x14ac:dyDescent="0.25">
      <c r="A17" s="259" t="s">
        <v>8</v>
      </c>
      <c r="B17" s="259" t="s">
        <v>78</v>
      </c>
      <c r="C17" s="261" t="s">
        <v>75</v>
      </c>
      <c r="D17" s="262" t="s">
        <v>79</v>
      </c>
      <c r="E17" s="262" t="s">
        <v>80</v>
      </c>
      <c r="F17" s="262" t="s">
        <v>81</v>
      </c>
      <c r="G17" s="262" t="s">
        <v>82</v>
      </c>
      <c r="H17" s="262" t="s">
        <v>10</v>
      </c>
      <c r="I17" s="137"/>
      <c r="J17" s="518" t="s">
        <v>75</v>
      </c>
      <c r="K17" s="492"/>
      <c r="L17" s="492"/>
      <c r="M17" s="512"/>
      <c r="N17" s="519" t="s">
        <v>13</v>
      </c>
      <c r="O17" s="492"/>
      <c r="P17" s="492"/>
      <c r="Q17" s="512"/>
      <c r="R17" s="264" t="s">
        <v>83</v>
      </c>
      <c r="S17" s="263"/>
      <c r="T17" s="265" t="s">
        <v>84</v>
      </c>
      <c r="U17" s="265" t="s">
        <v>85</v>
      </c>
      <c r="V17" s="265" t="s">
        <v>86</v>
      </c>
      <c r="W17" s="265" t="s">
        <v>87</v>
      </c>
      <c r="X17" s="265" t="s">
        <v>88</v>
      </c>
      <c r="Y17" s="265" t="s">
        <v>89</v>
      </c>
      <c r="Z17" s="265" t="s">
        <v>90</v>
      </c>
      <c r="AA17" s="265" t="s">
        <v>91</v>
      </c>
      <c r="AB17" s="266"/>
      <c r="AC17" s="267" t="s">
        <v>84</v>
      </c>
      <c r="AD17" s="267" t="s">
        <v>85</v>
      </c>
      <c r="AE17" s="267" t="s">
        <v>86</v>
      </c>
      <c r="AF17" s="267" t="s">
        <v>87</v>
      </c>
      <c r="AG17" s="267" t="s">
        <v>88</v>
      </c>
      <c r="AH17" s="267" t="s">
        <v>89</v>
      </c>
      <c r="AI17" s="267" t="s">
        <v>90</v>
      </c>
      <c r="AJ17" s="267" t="s">
        <v>91</v>
      </c>
      <c r="AK17" s="266"/>
      <c r="AL17" s="365" t="s">
        <v>262</v>
      </c>
      <c r="AM17" s="499"/>
      <c r="AN17" s="366" t="s">
        <v>84</v>
      </c>
      <c r="AO17" s="366" t="s">
        <v>85</v>
      </c>
      <c r="AP17" s="366" t="s">
        <v>86</v>
      </c>
      <c r="AQ17" s="366" t="s">
        <v>87</v>
      </c>
      <c r="AR17" s="366" t="s">
        <v>88</v>
      </c>
      <c r="AS17" s="366" t="s">
        <v>89</v>
      </c>
      <c r="AT17" s="366" t="s">
        <v>90</v>
      </c>
      <c r="AU17" s="366" t="s">
        <v>91</v>
      </c>
    </row>
    <row r="18" spans="1:47" ht="12.75" customHeight="1" x14ac:dyDescent="0.25">
      <c r="A18" s="367"/>
      <c r="B18" s="368" t="s">
        <v>345</v>
      </c>
      <c r="C18" s="367"/>
      <c r="D18" s="367"/>
      <c r="E18" s="369"/>
      <c r="F18" s="369"/>
      <c r="G18" s="369"/>
      <c r="H18" s="369"/>
      <c r="I18" s="4"/>
      <c r="J18" s="275" t="s">
        <v>20</v>
      </c>
      <c r="K18" s="276" t="s">
        <v>19</v>
      </c>
      <c r="L18" s="276" t="s">
        <v>21</v>
      </c>
      <c r="M18" s="277" t="s">
        <v>50</v>
      </c>
      <c r="N18" s="277" t="s">
        <v>20</v>
      </c>
      <c r="O18" s="277" t="s">
        <v>19</v>
      </c>
      <c r="P18" s="277" t="s">
        <v>21</v>
      </c>
      <c r="Q18" s="277" t="s">
        <v>50</v>
      </c>
      <c r="R18" s="278" t="s">
        <v>92</v>
      </c>
      <c r="S18" s="274"/>
      <c r="T18" s="274"/>
      <c r="U18" s="274"/>
      <c r="V18" s="274"/>
      <c r="W18" s="274"/>
      <c r="X18" s="274"/>
      <c r="Y18" s="274"/>
      <c r="Z18" s="274"/>
      <c r="AA18" s="274"/>
      <c r="AB18" s="274"/>
      <c r="AC18" s="274"/>
      <c r="AD18" s="274"/>
      <c r="AE18" s="274"/>
      <c r="AF18" s="274"/>
      <c r="AG18" s="274"/>
      <c r="AH18" s="274"/>
      <c r="AI18" s="274"/>
      <c r="AJ18" s="274"/>
      <c r="AK18" s="274"/>
      <c r="AL18" s="370"/>
      <c r="AM18" s="499"/>
      <c r="AN18" s="274"/>
      <c r="AO18" s="274"/>
      <c r="AP18" s="274"/>
      <c r="AQ18" s="274"/>
      <c r="AR18" s="274"/>
      <c r="AS18" s="274"/>
      <c r="AT18" s="274"/>
      <c r="AU18" s="274"/>
    </row>
    <row r="19" spans="1:47" ht="12.75" customHeight="1" x14ac:dyDescent="0.25">
      <c r="A19" s="32" t="s">
        <v>346</v>
      </c>
      <c r="B19" s="200" t="s">
        <v>347</v>
      </c>
      <c r="C19" s="32">
        <v>1</v>
      </c>
      <c r="D19" s="32" t="s">
        <v>348</v>
      </c>
      <c r="E19" s="34">
        <f>'Materials labor doors and windo'!$D$4</f>
        <v>25300.000000000004</v>
      </c>
      <c r="F19" s="34">
        <f>'Materials labor doors and windo'!$F$4</f>
        <v>13300.000000000002</v>
      </c>
      <c r="G19" s="34">
        <f t="shared" ref="G19:G20" si="0">SUM(E19,F19)</f>
        <v>38600.000000000007</v>
      </c>
      <c r="H19" s="34">
        <f t="shared" ref="H19:H20" si="1">C19*G19</f>
        <v>38600.000000000007</v>
      </c>
      <c r="I19" s="4"/>
      <c r="J19" s="287">
        <f t="shared" ref="J19:J20" si="2">SUM(T19:AA19)</f>
        <v>0</v>
      </c>
      <c r="K19" s="288">
        <f t="shared" ref="K19:K20" si="3">C19*R19</f>
        <v>0</v>
      </c>
      <c r="L19" s="288">
        <f t="shared" ref="L19:L20" si="4">SUM(J19:K19)</f>
        <v>0</v>
      </c>
      <c r="M19" s="289">
        <f t="shared" ref="M19:M20" si="5">C19-L19</f>
        <v>1</v>
      </c>
      <c r="N19" s="289">
        <f t="shared" ref="N19:N20" si="6">SUM(AC19:AJ19)</f>
        <v>0</v>
      </c>
      <c r="O19" s="289">
        <f t="shared" ref="O19:O20" si="7">R19*H19</f>
        <v>0</v>
      </c>
      <c r="P19" s="289">
        <f t="shared" ref="P19:P20" si="8">SUM(N19:O19)</f>
        <v>0</v>
      </c>
      <c r="Q19" s="289">
        <f t="shared" ref="Q19:Q20" si="9">H19-P19</f>
        <v>38600.000000000007</v>
      </c>
      <c r="R19" s="290">
        <f t="shared" ref="R19:R20" si="10">SUM(AL19)</f>
        <v>0</v>
      </c>
      <c r="S19" s="4"/>
      <c r="T19" s="4"/>
      <c r="U19" s="4"/>
      <c r="V19" s="4"/>
      <c r="W19" s="4"/>
      <c r="X19" s="4"/>
      <c r="Y19" s="4"/>
      <c r="AL19" s="360"/>
      <c r="AM19" s="499"/>
      <c r="AN19" s="290">
        <v>0</v>
      </c>
      <c r="AO19" s="290">
        <v>0</v>
      </c>
      <c r="AP19" s="290">
        <v>0</v>
      </c>
      <c r="AQ19" s="290">
        <v>0</v>
      </c>
      <c r="AR19" s="290">
        <v>0</v>
      </c>
      <c r="AS19" s="290">
        <v>0</v>
      </c>
      <c r="AT19" s="290">
        <v>0</v>
      </c>
      <c r="AU19" s="290">
        <v>0</v>
      </c>
    </row>
    <row r="20" spans="1:47" ht="12.75" customHeight="1" x14ac:dyDescent="0.25">
      <c r="A20" s="311" t="s">
        <v>349</v>
      </c>
      <c r="B20" s="200" t="s">
        <v>350</v>
      </c>
      <c r="C20" s="311">
        <v>1</v>
      </c>
      <c r="D20" s="311" t="s">
        <v>348</v>
      </c>
      <c r="E20" s="34">
        <f>'Materials labor doors and windo'!$D$5</f>
        <v>25300.000000000004</v>
      </c>
      <c r="F20" s="34">
        <f>'Materials labor doors and windo'!$F$5</f>
        <v>13300.000000000002</v>
      </c>
      <c r="G20" s="34">
        <f t="shared" si="0"/>
        <v>38600.000000000007</v>
      </c>
      <c r="H20" s="34">
        <f t="shared" si="1"/>
        <v>38600.000000000007</v>
      </c>
      <c r="I20" s="137"/>
      <c r="J20" s="287">
        <f t="shared" si="2"/>
        <v>0</v>
      </c>
      <c r="K20" s="288">
        <f t="shared" si="3"/>
        <v>0</v>
      </c>
      <c r="L20" s="288">
        <f t="shared" si="4"/>
        <v>0</v>
      </c>
      <c r="M20" s="289">
        <f t="shared" si="5"/>
        <v>1</v>
      </c>
      <c r="N20" s="289">
        <f t="shared" si="6"/>
        <v>0</v>
      </c>
      <c r="O20" s="289">
        <f t="shared" si="7"/>
        <v>0</v>
      </c>
      <c r="P20" s="289">
        <f t="shared" si="8"/>
        <v>0</v>
      </c>
      <c r="Q20" s="289">
        <f t="shared" si="9"/>
        <v>38600.000000000007</v>
      </c>
      <c r="R20" s="290">
        <f t="shared" si="10"/>
        <v>0</v>
      </c>
      <c r="S20" s="137"/>
      <c r="T20" s="137"/>
      <c r="U20" s="137"/>
      <c r="V20" s="137"/>
      <c r="W20" s="137"/>
      <c r="X20" s="137"/>
      <c r="Y20" s="137"/>
      <c r="AL20" s="360"/>
      <c r="AM20" s="499"/>
      <c r="AN20" s="290"/>
      <c r="AO20" s="290">
        <v>0</v>
      </c>
      <c r="AP20" s="290"/>
      <c r="AQ20" s="290"/>
      <c r="AR20" s="290"/>
      <c r="AS20" s="290"/>
      <c r="AT20" s="290"/>
      <c r="AU20" s="290"/>
    </row>
    <row r="21" spans="1:47" ht="12.75" customHeight="1" x14ac:dyDescent="0.25">
      <c r="A21" s="311" t="s">
        <v>351</v>
      </c>
      <c r="B21" s="161" t="s">
        <v>352</v>
      </c>
      <c r="C21" s="162">
        <v>6</v>
      </c>
      <c r="D21" s="162" t="s">
        <v>348</v>
      </c>
      <c r="E21" s="34" t="s">
        <v>353</v>
      </c>
      <c r="F21" s="34" t="s">
        <v>353</v>
      </c>
      <c r="G21" s="34"/>
      <c r="H21" s="34"/>
      <c r="I21" s="137"/>
      <c r="J21" s="310"/>
      <c r="K21" s="311"/>
      <c r="L21" s="311"/>
      <c r="M21" s="311"/>
      <c r="N21" s="311"/>
      <c r="O21" s="311"/>
      <c r="P21" s="311"/>
      <c r="Q21" s="311"/>
      <c r="R21" s="312"/>
      <c r="S21" s="137"/>
      <c r="T21" s="137"/>
      <c r="U21" s="137"/>
      <c r="V21" s="137"/>
      <c r="W21" s="137"/>
      <c r="X21" s="137"/>
      <c r="Y21" s="137"/>
      <c r="AL21" s="360"/>
      <c r="AM21" s="499"/>
      <c r="AN21" s="312"/>
      <c r="AO21" s="312"/>
      <c r="AP21" s="312"/>
      <c r="AQ21" s="312"/>
      <c r="AR21" s="312"/>
      <c r="AS21" s="312"/>
      <c r="AT21" s="312"/>
      <c r="AU21" s="312"/>
    </row>
    <row r="22" spans="1:47" ht="12.75" customHeight="1" x14ac:dyDescent="0.25">
      <c r="A22" s="311" t="s">
        <v>354</v>
      </c>
      <c r="B22" s="200" t="s">
        <v>355</v>
      </c>
      <c r="C22" s="311">
        <v>5</v>
      </c>
      <c r="D22" s="311" t="s">
        <v>348</v>
      </c>
      <c r="E22" s="34">
        <f>'Materials labor doors and windo'!$D$7</f>
        <v>23100.000000000004</v>
      </c>
      <c r="F22" s="34">
        <f>'Materials labor doors and windo'!$F$7</f>
        <v>12130.000000000002</v>
      </c>
      <c r="G22" s="34">
        <f t="shared" ref="G22:G33" si="11">SUM(E22,F22)</f>
        <v>35230.000000000007</v>
      </c>
      <c r="H22" s="34">
        <f t="shared" ref="H22:H33" si="12">C22*G22</f>
        <v>176150.00000000003</v>
      </c>
      <c r="I22" s="137"/>
      <c r="J22" s="287">
        <f t="shared" ref="J22:J33" si="13">SUM(T22:AA22)</f>
        <v>0</v>
      </c>
      <c r="K22" s="288">
        <f t="shared" ref="K22:K33" si="14">C22*R22</f>
        <v>2.5</v>
      </c>
      <c r="L22" s="288">
        <f t="shared" ref="L22:L33" si="15">SUM(J22:K22)</f>
        <v>2.5</v>
      </c>
      <c r="M22" s="289">
        <f t="shared" ref="M22:M33" si="16">C22-L22</f>
        <v>2.5</v>
      </c>
      <c r="N22" s="289">
        <f t="shared" ref="N22:N33" si="17">SUM(AC22:AJ22)</f>
        <v>0</v>
      </c>
      <c r="O22" s="289">
        <f t="shared" ref="O22:O33" si="18">R22*H22</f>
        <v>88075.000000000015</v>
      </c>
      <c r="P22" s="289">
        <f t="shared" ref="P22:P33" si="19">SUM(N22:O22)</f>
        <v>88075.000000000015</v>
      </c>
      <c r="Q22" s="289">
        <f t="shared" ref="Q22:Q33" si="20">H22-P22</f>
        <v>88075.000000000015</v>
      </c>
      <c r="R22" s="290">
        <f t="shared" ref="R22:R33" si="21">SUM(AL22)</f>
        <v>0.5</v>
      </c>
      <c r="S22" s="137"/>
      <c r="T22" s="137"/>
      <c r="U22" s="137"/>
      <c r="V22" s="137"/>
      <c r="W22" s="137"/>
      <c r="X22" s="137"/>
      <c r="Y22" s="137"/>
      <c r="AL22" s="360">
        <v>0.5</v>
      </c>
      <c r="AM22" s="499"/>
      <c r="AN22" s="290"/>
      <c r="AO22" s="360">
        <v>0.5</v>
      </c>
      <c r="AP22" s="290"/>
      <c r="AQ22" s="290"/>
      <c r="AR22" s="290"/>
      <c r="AS22" s="290"/>
      <c r="AT22" s="290"/>
      <c r="AU22" s="290"/>
    </row>
    <row r="23" spans="1:47" ht="12.75" customHeight="1" x14ac:dyDescent="0.25">
      <c r="A23" s="311" t="s">
        <v>356</v>
      </c>
      <c r="B23" s="200" t="s">
        <v>357</v>
      </c>
      <c r="C23" s="311">
        <v>1</v>
      </c>
      <c r="D23" s="311" t="s">
        <v>348</v>
      </c>
      <c r="E23" s="34">
        <f>'Materials labor doors and windo'!$D$8</f>
        <v>37400</v>
      </c>
      <c r="F23" s="34">
        <f>'Materials labor doors and windo'!$F$8</f>
        <v>19640</v>
      </c>
      <c r="G23" s="34">
        <f t="shared" si="11"/>
        <v>57040</v>
      </c>
      <c r="H23" s="34">
        <f t="shared" si="12"/>
        <v>57040</v>
      </c>
      <c r="I23" s="137"/>
      <c r="J23" s="287">
        <f t="shared" si="13"/>
        <v>0</v>
      </c>
      <c r="K23" s="288">
        <f t="shared" si="14"/>
        <v>0.5</v>
      </c>
      <c r="L23" s="288">
        <f t="shared" si="15"/>
        <v>0.5</v>
      </c>
      <c r="M23" s="289">
        <f t="shared" si="16"/>
        <v>0.5</v>
      </c>
      <c r="N23" s="289">
        <f t="shared" si="17"/>
        <v>0</v>
      </c>
      <c r="O23" s="289">
        <f t="shared" si="18"/>
        <v>28520</v>
      </c>
      <c r="P23" s="289">
        <f t="shared" si="19"/>
        <v>28520</v>
      </c>
      <c r="Q23" s="289">
        <f t="shared" si="20"/>
        <v>28520</v>
      </c>
      <c r="R23" s="290">
        <f t="shared" si="21"/>
        <v>0.5</v>
      </c>
      <c r="S23" s="137"/>
      <c r="T23" s="137"/>
      <c r="U23" s="137"/>
      <c r="V23" s="137"/>
      <c r="W23" s="137"/>
      <c r="X23" s="137"/>
      <c r="Y23" s="137"/>
      <c r="AL23" s="360">
        <v>0.5</v>
      </c>
      <c r="AM23" s="499"/>
      <c r="AN23" s="290"/>
      <c r="AO23" s="360">
        <v>0</v>
      </c>
      <c r="AP23" s="290"/>
      <c r="AQ23" s="290"/>
      <c r="AR23" s="290"/>
      <c r="AS23" s="290"/>
      <c r="AT23" s="290"/>
      <c r="AU23" s="290"/>
    </row>
    <row r="24" spans="1:47" ht="12.75" customHeight="1" x14ac:dyDescent="0.25">
      <c r="A24" s="311" t="s">
        <v>358</v>
      </c>
      <c r="B24" s="200" t="s">
        <v>359</v>
      </c>
      <c r="C24" s="311">
        <v>12</v>
      </c>
      <c r="D24" s="311" t="s">
        <v>348</v>
      </c>
      <c r="E24" s="34">
        <f>'Materials labor doors and windo'!$D$9</f>
        <v>9130</v>
      </c>
      <c r="F24" s="34">
        <f>'Materials labor doors and windo'!$F$9</f>
        <v>4800</v>
      </c>
      <c r="G24" s="34">
        <f t="shared" si="11"/>
        <v>13930</v>
      </c>
      <c r="H24" s="34">
        <f t="shared" si="12"/>
        <v>167160</v>
      </c>
      <c r="I24" s="137"/>
      <c r="J24" s="287">
        <f t="shared" si="13"/>
        <v>0</v>
      </c>
      <c r="K24" s="288">
        <f t="shared" si="14"/>
        <v>6</v>
      </c>
      <c r="L24" s="288">
        <f t="shared" si="15"/>
        <v>6</v>
      </c>
      <c r="M24" s="289">
        <f t="shared" si="16"/>
        <v>6</v>
      </c>
      <c r="N24" s="289">
        <f t="shared" si="17"/>
        <v>0</v>
      </c>
      <c r="O24" s="289">
        <f t="shared" si="18"/>
        <v>83580</v>
      </c>
      <c r="P24" s="289">
        <f t="shared" si="19"/>
        <v>83580</v>
      </c>
      <c r="Q24" s="289">
        <f t="shared" si="20"/>
        <v>83580</v>
      </c>
      <c r="R24" s="290">
        <f t="shared" si="21"/>
        <v>0.5</v>
      </c>
      <c r="S24" s="137"/>
      <c r="T24" s="137"/>
      <c r="U24" s="137"/>
      <c r="V24" s="137"/>
      <c r="W24" s="137"/>
      <c r="X24" s="137"/>
      <c r="Y24" s="137"/>
      <c r="AL24" s="360">
        <v>0.5</v>
      </c>
      <c r="AM24" s="499"/>
      <c r="AN24" s="290"/>
      <c r="AO24" s="360">
        <v>0</v>
      </c>
      <c r="AP24" s="290"/>
      <c r="AQ24" s="290"/>
      <c r="AR24" s="290"/>
      <c r="AS24" s="290"/>
      <c r="AT24" s="290"/>
      <c r="AU24" s="290"/>
    </row>
    <row r="25" spans="1:47" ht="12.75" customHeight="1" x14ac:dyDescent="0.25">
      <c r="A25" s="311" t="s">
        <v>360</v>
      </c>
      <c r="B25" s="200" t="s">
        <v>361</v>
      </c>
      <c r="C25" s="311">
        <v>3</v>
      </c>
      <c r="D25" s="311" t="s">
        <v>348</v>
      </c>
      <c r="E25" s="34">
        <f>'Materials labor doors and windo'!$D$10</f>
        <v>18220</v>
      </c>
      <c r="F25" s="34">
        <f>'Materials labor doors and windo'!$F$10</f>
        <v>9572.4</v>
      </c>
      <c r="G25" s="34">
        <f t="shared" si="11"/>
        <v>27792.400000000001</v>
      </c>
      <c r="H25" s="34">
        <f t="shared" si="12"/>
        <v>83377.200000000012</v>
      </c>
      <c r="I25" s="137"/>
      <c r="J25" s="287">
        <f t="shared" si="13"/>
        <v>0</v>
      </c>
      <c r="K25" s="288">
        <f t="shared" si="14"/>
        <v>1.5</v>
      </c>
      <c r="L25" s="288">
        <f t="shared" si="15"/>
        <v>1.5</v>
      </c>
      <c r="M25" s="289">
        <f t="shared" si="16"/>
        <v>1.5</v>
      </c>
      <c r="N25" s="289">
        <f t="shared" si="17"/>
        <v>0</v>
      </c>
      <c r="O25" s="289">
        <f t="shared" si="18"/>
        <v>41688.600000000006</v>
      </c>
      <c r="P25" s="289">
        <f t="shared" si="19"/>
        <v>41688.600000000006</v>
      </c>
      <c r="Q25" s="289">
        <f t="shared" si="20"/>
        <v>41688.600000000006</v>
      </c>
      <c r="R25" s="290">
        <f t="shared" si="21"/>
        <v>0.5</v>
      </c>
      <c r="S25" s="137"/>
      <c r="T25" s="137"/>
      <c r="U25" s="137"/>
      <c r="V25" s="137"/>
      <c r="W25" s="137"/>
      <c r="X25" s="137"/>
      <c r="Y25" s="137"/>
      <c r="AL25" s="360">
        <v>0.5</v>
      </c>
      <c r="AM25" s="499"/>
      <c r="AN25" s="290"/>
      <c r="AO25" s="360">
        <v>0.5</v>
      </c>
      <c r="AP25" s="290"/>
      <c r="AQ25" s="290"/>
      <c r="AR25" s="290"/>
      <c r="AS25" s="290"/>
      <c r="AT25" s="290"/>
      <c r="AU25" s="290"/>
    </row>
    <row r="26" spans="1:47" ht="12.75" customHeight="1" x14ac:dyDescent="0.25">
      <c r="A26" s="311" t="s">
        <v>362</v>
      </c>
      <c r="B26" s="200" t="s">
        <v>363</v>
      </c>
      <c r="C26" s="311">
        <v>3</v>
      </c>
      <c r="D26" s="311" t="s">
        <v>348</v>
      </c>
      <c r="E26" s="34">
        <f>'Materials labor doors and windo'!$D$11</f>
        <v>50100.000000000007</v>
      </c>
      <c r="F26" s="34">
        <f>'Materials labor doors and windo'!$F$11</f>
        <v>26312.000000000004</v>
      </c>
      <c r="G26" s="34">
        <f t="shared" si="11"/>
        <v>76412.000000000015</v>
      </c>
      <c r="H26" s="34">
        <f t="shared" si="12"/>
        <v>229236.00000000006</v>
      </c>
      <c r="I26" s="137"/>
      <c r="J26" s="287">
        <f t="shared" si="13"/>
        <v>0</v>
      </c>
      <c r="K26" s="288">
        <f t="shared" si="14"/>
        <v>0</v>
      </c>
      <c r="L26" s="288">
        <f t="shared" si="15"/>
        <v>0</v>
      </c>
      <c r="M26" s="289">
        <f t="shared" si="16"/>
        <v>3</v>
      </c>
      <c r="N26" s="289">
        <f t="shared" si="17"/>
        <v>0</v>
      </c>
      <c r="O26" s="289">
        <f t="shared" si="18"/>
        <v>0</v>
      </c>
      <c r="P26" s="289">
        <f t="shared" si="19"/>
        <v>0</v>
      </c>
      <c r="Q26" s="289">
        <f t="shared" si="20"/>
        <v>229236.00000000006</v>
      </c>
      <c r="R26" s="290">
        <f t="shared" si="21"/>
        <v>0</v>
      </c>
      <c r="S26" s="137"/>
      <c r="T26" s="137"/>
      <c r="U26" s="137"/>
      <c r="V26" s="137"/>
      <c r="W26" s="137"/>
      <c r="X26" s="137"/>
      <c r="Y26" s="137"/>
      <c r="Z26" s="465"/>
      <c r="AA26" s="465"/>
      <c r="AB26" s="465"/>
      <c r="AC26" s="465"/>
      <c r="AD26" s="465"/>
      <c r="AE26" s="465"/>
      <c r="AF26" s="465"/>
      <c r="AG26" s="465"/>
      <c r="AH26" s="465"/>
      <c r="AI26" s="465"/>
      <c r="AJ26" s="465"/>
      <c r="AK26" s="465"/>
      <c r="AL26" s="360">
        <v>0</v>
      </c>
      <c r="AM26" s="499"/>
      <c r="AN26" s="290"/>
      <c r="AO26" s="360">
        <v>1</v>
      </c>
      <c r="AP26" s="290"/>
      <c r="AQ26" s="290"/>
      <c r="AR26" s="290"/>
      <c r="AS26" s="290"/>
      <c r="AT26" s="290"/>
      <c r="AU26" s="290"/>
    </row>
    <row r="27" spans="1:47" ht="12.75" customHeight="1" x14ac:dyDescent="0.25">
      <c r="A27" s="311" t="s">
        <v>364</v>
      </c>
      <c r="B27" s="200" t="s">
        <v>365</v>
      </c>
      <c r="C27" s="311">
        <v>1</v>
      </c>
      <c r="D27" s="311" t="s">
        <v>348</v>
      </c>
      <c r="E27" s="34">
        <f>'Materials labor doors and windo'!$D$12</f>
        <v>48700.000000000007</v>
      </c>
      <c r="F27" s="34">
        <f>'Materials labor doors and windo'!$F$12</f>
        <v>25574.000000000004</v>
      </c>
      <c r="G27" s="34">
        <f t="shared" si="11"/>
        <v>74274.000000000015</v>
      </c>
      <c r="H27" s="34">
        <f t="shared" si="12"/>
        <v>74274.000000000015</v>
      </c>
      <c r="I27" s="137"/>
      <c r="J27" s="287">
        <f t="shared" si="13"/>
        <v>0</v>
      </c>
      <c r="K27" s="288">
        <f t="shared" si="14"/>
        <v>0</v>
      </c>
      <c r="L27" s="288">
        <f t="shared" si="15"/>
        <v>0</v>
      </c>
      <c r="M27" s="289">
        <f t="shared" si="16"/>
        <v>1</v>
      </c>
      <c r="N27" s="289">
        <f t="shared" si="17"/>
        <v>0</v>
      </c>
      <c r="O27" s="289">
        <f t="shared" si="18"/>
        <v>0</v>
      </c>
      <c r="P27" s="289">
        <f t="shared" si="19"/>
        <v>0</v>
      </c>
      <c r="Q27" s="289">
        <f t="shared" si="20"/>
        <v>74274.000000000015</v>
      </c>
      <c r="R27" s="290">
        <f t="shared" si="21"/>
        <v>0</v>
      </c>
      <c r="S27" s="137"/>
      <c r="T27" s="137"/>
      <c r="U27" s="137"/>
      <c r="V27" s="137"/>
      <c r="W27" s="137"/>
      <c r="X27" s="137"/>
      <c r="Y27" s="137"/>
      <c r="Z27" s="465"/>
      <c r="AA27" s="465"/>
      <c r="AB27" s="465"/>
      <c r="AC27" s="465"/>
      <c r="AD27" s="465"/>
      <c r="AE27" s="465"/>
      <c r="AF27" s="465"/>
      <c r="AG27" s="465"/>
      <c r="AH27" s="465"/>
      <c r="AI27" s="465"/>
      <c r="AJ27" s="465"/>
      <c r="AK27" s="465"/>
      <c r="AL27" s="360">
        <v>0</v>
      </c>
      <c r="AM27" s="499"/>
      <c r="AN27" s="290"/>
      <c r="AO27" s="360">
        <v>1</v>
      </c>
      <c r="AP27" s="290"/>
      <c r="AQ27" s="290"/>
      <c r="AR27" s="290"/>
      <c r="AS27" s="290"/>
      <c r="AT27" s="290"/>
      <c r="AU27" s="290"/>
    </row>
    <row r="28" spans="1:47" ht="12.75" customHeight="1" x14ac:dyDescent="0.25">
      <c r="A28" s="311" t="s">
        <v>366</v>
      </c>
      <c r="B28" s="200" t="s">
        <v>367</v>
      </c>
      <c r="C28" s="311">
        <v>1</v>
      </c>
      <c r="D28" s="311" t="s">
        <v>348</v>
      </c>
      <c r="E28" s="34">
        <f>'Materials labor doors and windo'!$D$13</f>
        <v>33300</v>
      </c>
      <c r="F28" s="34">
        <f>'Materials labor doors and windo'!$F$13</f>
        <v>17486</v>
      </c>
      <c r="G28" s="34">
        <f t="shared" si="11"/>
        <v>50786</v>
      </c>
      <c r="H28" s="34">
        <f t="shared" si="12"/>
        <v>50786</v>
      </c>
      <c r="I28" s="137"/>
      <c r="J28" s="287">
        <f t="shared" si="13"/>
        <v>0</v>
      </c>
      <c r="K28" s="288">
        <f t="shared" si="14"/>
        <v>0</v>
      </c>
      <c r="L28" s="288">
        <f t="shared" si="15"/>
        <v>0</v>
      </c>
      <c r="M28" s="289">
        <f t="shared" si="16"/>
        <v>1</v>
      </c>
      <c r="N28" s="289">
        <f t="shared" si="17"/>
        <v>0</v>
      </c>
      <c r="O28" s="289">
        <f t="shared" si="18"/>
        <v>0</v>
      </c>
      <c r="P28" s="289">
        <f t="shared" si="19"/>
        <v>0</v>
      </c>
      <c r="Q28" s="289">
        <f t="shared" si="20"/>
        <v>50786</v>
      </c>
      <c r="R28" s="290">
        <f t="shared" si="21"/>
        <v>0</v>
      </c>
      <c r="S28" s="137"/>
      <c r="T28" s="137"/>
      <c r="U28" s="137"/>
      <c r="V28" s="137"/>
      <c r="W28" s="137"/>
      <c r="X28" s="137"/>
      <c r="Y28" s="137"/>
      <c r="AL28" s="360">
        <v>0</v>
      </c>
      <c r="AM28" s="499"/>
      <c r="AN28" s="290"/>
      <c r="AO28" s="360">
        <v>1</v>
      </c>
      <c r="AP28" s="290"/>
      <c r="AQ28" s="290"/>
      <c r="AR28" s="290"/>
      <c r="AS28" s="290"/>
      <c r="AT28" s="290"/>
      <c r="AU28" s="290"/>
    </row>
    <row r="29" spans="1:47" ht="12.75" customHeight="1" x14ac:dyDescent="0.25">
      <c r="A29" s="311" t="s">
        <v>368</v>
      </c>
      <c r="B29" s="200" t="s">
        <v>369</v>
      </c>
      <c r="C29" s="311">
        <v>2</v>
      </c>
      <c r="D29" s="311" t="s">
        <v>348</v>
      </c>
      <c r="E29" s="34">
        <f>'Materials labor doors and windo'!$D$14</f>
        <v>27330.000000000004</v>
      </c>
      <c r="F29" s="34">
        <f>'Materials labor doors and windo'!$F$14</f>
        <v>14348.600000000002</v>
      </c>
      <c r="G29" s="34">
        <f t="shared" si="11"/>
        <v>41678.600000000006</v>
      </c>
      <c r="H29" s="34">
        <f t="shared" si="12"/>
        <v>83357.200000000012</v>
      </c>
      <c r="I29" s="137"/>
      <c r="J29" s="287">
        <f t="shared" si="13"/>
        <v>0</v>
      </c>
      <c r="K29" s="288">
        <f t="shared" si="14"/>
        <v>0</v>
      </c>
      <c r="L29" s="288">
        <f t="shared" si="15"/>
        <v>0</v>
      </c>
      <c r="M29" s="289">
        <f t="shared" si="16"/>
        <v>2</v>
      </c>
      <c r="N29" s="289">
        <f t="shared" si="17"/>
        <v>0</v>
      </c>
      <c r="O29" s="289">
        <f t="shared" si="18"/>
        <v>0</v>
      </c>
      <c r="P29" s="289">
        <f t="shared" si="19"/>
        <v>0</v>
      </c>
      <c r="Q29" s="289">
        <f t="shared" si="20"/>
        <v>83357.200000000012</v>
      </c>
      <c r="R29" s="290">
        <f t="shared" si="21"/>
        <v>0</v>
      </c>
      <c r="S29" s="137"/>
      <c r="T29" s="137"/>
      <c r="U29" s="137"/>
      <c r="V29" s="137"/>
      <c r="W29" s="137"/>
      <c r="X29" s="137"/>
      <c r="Y29" s="137"/>
      <c r="Z29" s="465"/>
      <c r="AA29" s="465"/>
      <c r="AB29" s="465"/>
      <c r="AC29" s="465"/>
      <c r="AD29" s="465"/>
      <c r="AE29" s="465"/>
      <c r="AF29" s="465"/>
      <c r="AG29" s="465"/>
      <c r="AH29" s="465"/>
      <c r="AI29" s="465"/>
      <c r="AJ29" s="465"/>
      <c r="AK29" s="465"/>
      <c r="AL29" s="360">
        <v>0</v>
      </c>
      <c r="AM29" s="499"/>
      <c r="AN29" s="290"/>
      <c r="AO29" s="360">
        <v>1</v>
      </c>
      <c r="AP29" s="290"/>
      <c r="AQ29" s="290"/>
      <c r="AR29" s="290"/>
      <c r="AS29" s="290"/>
      <c r="AT29" s="290"/>
      <c r="AU29" s="290"/>
    </row>
    <row r="30" spans="1:47" ht="12.75" customHeight="1" x14ac:dyDescent="0.25">
      <c r="A30" s="311" t="s">
        <v>370</v>
      </c>
      <c r="B30" s="200" t="s">
        <v>371</v>
      </c>
      <c r="C30" s="311">
        <v>1</v>
      </c>
      <c r="D30" s="311" t="s">
        <v>348</v>
      </c>
      <c r="E30" s="34">
        <f>'Materials labor doors and windo'!$D$15</f>
        <v>51480.000000000007</v>
      </c>
      <c r="F30" s="34">
        <f>'Materials labor doors and windo'!$F$15</f>
        <v>27031.600000000002</v>
      </c>
      <c r="G30" s="34">
        <f t="shared" si="11"/>
        <v>78511.600000000006</v>
      </c>
      <c r="H30" s="34">
        <f t="shared" si="12"/>
        <v>78511.600000000006</v>
      </c>
      <c r="I30" s="137"/>
      <c r="J30" s="287">
        <f t="shared" si="13"/>
        <v>0</v>
      </c>
      <c r="K30" s="288">
        <f t="shared" si="14"/>
        <v>0</v>
      </c>
      <c r="L30" s="288">
        <f t="shared" si="15"/>
        <v>0</v>
      </c>
      <c r="M30" s="289">
        <f t="shared" si="16"/>
        <v>1</v>
      </c>
      <c r="N30" s="289">
        <f t="shared" si="17"/>
        <v>0</v>
      </c>
      <c r="O30" s="289">
        <f t="shared" si="18"/>
        <v>0</v>
      </c>
      <c r="P30" s="289">
        <f t="shared" si="19"/>
        <v>0</v>
      </c>
      <c r="Q30" s="289">
        <f t="shared" si="20"/>
        <v>78511.600000000006</v>
      </c>
      <c r="R30" s="290">
        <f t="shared" si="21"/>
        <v>0</v>
      </c>
      <c r="S30" s="137"/>
      <c r="T30" s="137"/>
      <c r="U30" s="137"/>
      <c r="V30" s="137"/>
      <c r="W30" s="137"/>
      <c r="X30" s="137"/>
      <c r="Y30" s="137"/>
      <c r="Z30" s="465"/>
      <c r="AA30" s="465"/>
      <c r="AB30" s="465"/>
      <c r="AC30" s="465"/>
      <c r="AD30" s="465"/>
      <c r="AE30" s="465"/>
      <c r="AF30" s="465"/>
      <c r="AG30" s="465"/>
      <c r="AH30" s="465"/>
      <c r="AI30" s="465"/>
      <c r="AJ30" s="465"/>
      <c r="AK30" s="465"/>
      <c r="AL30" s="360">
        <v>0</v>
      </c>
      <c r="AM30" s="499"/>
      <c r="AN30" s="290"/>
      <c r="AO30" s="360">
        <v>1</v>
      </c>
      <c r="AP30" s="290"/>
      <c r="AQ30" s="290"/>
      <c r="AR30" s="290"/>
      <c r="AS30" s="290"/>
      <c r="AT30" s="290"/>
      <c r="AU30" s="290"/>
    </row>
    <row r="31" spans="1:47" ht="12.75" customHeight="1" x14ac:dyDescent="0.25">
      <c r="A31" s="311" t="s">
        <v>372</v>
      </c>
      <c r="B31" s="200" t="s">
        <v>373</v>
      </c>
      <c r="C31" s="311">
        <v>1</v>
      </c>
      <c r="D31" s="311" t="s">
        <v>348</v>
      </c>
      <c r="E31" s="34">
        <f>'Materials labor doors and windo'!$D$16</f>
        <v>47820.000000000007</v>
      </c>
      <c r="F31" s="34">
        <f>'Materials labor doors and windo'!$F$16</f>
        <v>25109.400000000005</v>
      </c>
      <c r="G31" s="34">
        <f t="shared" si="11"/>
        <v>72929.400000000009</v>
      </c>
      <c r="H31" s="34">
        <f t="shared" si="12"/>
        <v>72929.400000000009</v>
      </c>
      <c r="I31" s="137"/>
      <c r="J31" s="287">
        <f t="shared" si="13"/>
        <v>0</v>
      </c>
      <c r="K31" s="288">
        <f t="shared" si="14"/>
        <v>0</v>
      </c>
      <c r="L31" s="288">
        <f t="shared" si="15"/>
        <v>0</v>
      </c>
      <c r="M31" s="289">
        <f t="shared" si="16"/>
        <v>1</v>
      </c>
      <c r="N31" s="289">
        <f t="shared" si="17"/>
        <v>0</v>
      </c>
      <c r="O31" s="289">
        <f t="shared" si="18"/>
        <v>0</v>
      </c>
      <c r="P31" s="289">
        <f t="shared" si="19"/>
        <v>0</v>
      </c>
      <c r="Q31" s="289">
        <f t="shared" si="20"/>
        <v>72929.400000000009</v>
      </c>
      <c r="R31" s="290">
        <f t="shared" si="21"/>
        <v>0</v>
      </c>
      <c r="S31" s="137"/>
      <c r="T31" s="137"/>
      <c r="U31" s="137"/>
      <c r="V31" s="137"/>
      <c r="W31" s="137"/>
      <c r="X31" s="137"/>
      <c r="Y31" s="137"/>
      <c r="AL31" s="360">
        <v>0</v>
      </c>
      <c r="AM31" s="499"/>
      <c r="AN31" s="290"/>
      <c r="AO31" s="360">
        <v>1</v>
      </c>
      <c r="AP31" s="290"/>
      <c r="AQ31" s="290"/>
      <c r="AR31" s="290"/>
      <c r="AS31" s="290"/>
      <c r="AT31" s="290"/>
      <c r="AU31" s="290"/>
    </row>
    <row r="32" spans="1:47" ht="12.75" customHeight="1" x14ac:dyDescent="0.25">
      <c r="A32" s="311" t="s">
        <v>374</v>
      </c>
      <c r="B32" s="200" t="s">
        <v>375</v>
      </c>
      <c r="C32" s="311">
        <v>1</v>
      </c>
      <c r="D32" s="311" t="s">
        <v>348</v>
      </c>
      <c r="E32" s="34">
        <f>'Materials labor doors and windo'!$D$17</f>
        <v>45540.000000000007</v>
      </c>
      <c r="F32" s="34">
        <f>'Materials labor doors and windo'!$F$17</f>
        <v>23916.800000000003</v>
      </c>
      <c r="G32" s="34">
        <f t="shared" si="11"/>
        <v>69456.800000000017</v>
      </c>
      <c r="H32" s="34">
        <f t="shared" si="12"/>
        <v>69456.800000000017</v>
      </c>
      <c r="I32" s="137"/>
      <c r="J32" s="287">
        <f t="shared" si="13"/>
        <v>0</v>
      </c>
      <c r="K32" s="288">
        <f t="shared" si="14"/>
        <v>0</v>
      </c>
      <c r="L32" s="288">
        <f t="shared" si="15"/>
        <v>0</v>
      </c>
      <c r="M32" s="289">
        <f t="shared" si="16"/>
        <v>1</v>
      </c>
      <c r="N32" s="289">
        <f t="shared" si="17"/>
        <v>0</v>
      </c>
      <c r="O32" s="289">
        <f t="shared" si="18"/>
        <v>0</v>
      </c>
      <c r="P32" s="289">
        <f t="shared" si="19"/>
        <v>0</v>
      </c>
      <c r="Q32" s="289">
        <f t="shared" si="20"/>
        <v>69456.800000000017</v>
      </c>
      <c r="R32" s="290">
        <f t="shared" si="21"/>
        <v>0</v>
      </c>
      <c r="S32" s="137"/>
      <c r="T32" s="137"/>
      <c r="U32" s="137"/>
      <c r="V32" s="137"/>
      <c r="W32" s="137"/>
      <c r="X32" s="137"/>
      <c r="Y32" s="137"/>
      <c r="Z32" s="465"/>
      <c r="AA32" s="465"/>
      <c r="AB32" s="465"/>
      <c r="AC32" s="465"/>
      <c r="AD32" s="465"/>
      <c r="AE32" s="465"/>
      <c r="AF32" s="465"/>
      <c r="AG32" s="465"/>
      <c r="AH32" s="465"/>
      <c r="AI32" s="465"/>
      <c r="AJ32" s="465"/>
      <c r="AK32" s="465"/>
      <c r="AL32" s="360">
        <v>0</v>
      </c>
      <c r="AM32" s="499"/>
      <c r="AN32" s="290"/>
      <c r="AO32" s="360">
        <v>1</v>
      </c>
      <c r="AP32" s="290"/>
      <c r="AQ32" s="290"/>
      <c r="AR32" s="290"/>
      <c r="AS32" s="290"/>
      <c r="AT32" s="290"/>
      <c r="AU32" s="290"/>
    </row>
    <row r="33" spans="1:47" ht="12.75" customHeight="1" x14ac:dyDescent="0.25">
      <c r="A33" s="311" t="s">
        <v>376</v>
      </c>
      <c r="B33" s="200" t="s">
        <v>377</v>
      </c>
      <c r="C33" s="311">
        <v>1</v>
      </c>
      <c r="D33" s="311" t="s">
        <v>348</v>
      </c>
      <c r="E33" s="34">
        <f>'Materials labor doors and windo'!$D$18</f>
        <v>34160</v>
      </c>
      <c r="F33" s="34">
        <f>'Materials labor doors and windo'!$F$18</f>
        <v>17937.2</v>
      </c>
      <c r="G33" s="34">
        <f t="shared" si="11"/>
        <v>52097.2</v>
      </c>
      <c r="H33" s="34">
        <f t="shared" si="12"/>
        <v>52097.2</v>
      </c>
      <c r="I33" s="137"/>
      <c r="J33" s="287">
        <f t="shared" si="13"/>
        <v>0</v>
      </c>
      <c r="K33" s="288">
        <f t="shared" si="14"/>
        <v>0</v>
      </c>
      <c r="L33" s="288">
        <f t="shared" si="15"/>
        <v>0</v>
      </c>
      <c r="M33" s="289">
        <f t="shared" si="16"/>
        <v>1</v>
      </c>
      <c r="N33" s="289">
        <f t="shared" si="17"/>
        <v>0</v>
      </c>
      <c r="O33" s="289">
        <f t="shared" si="18"/>
        <v>0</v>
      </c>
      <c r="P33" s="289">
        <f t="shared" si="19"/>
        <v>0</v>
      </c>
      <c r="Q33" s="289">
        <f t="shared" si="20"/>
        <v>52097.2</v>
      </c>
      <c r="R33" s="290">
        <f t="shared" si="21"/>
        <v>0</v>
      </c>
      <c r="S33" s="137"/>
      <c r="T33" s="137"/>
      <c r="U33" s="137"/>
      <c r="V33" s="137"/>
      <c r="W33" s="137"/>
      <c r="X33" s="137"/>
      <c r="Y33" s="137"/>
      <c r="Z33" s="465"/>
      <c r="AA33" s="465"/>
      <c r="AB33" s="465"/>
      <c r="AC33" s="465"/>
      <c r="AD33" s="465"/>
      <c r="AE33" s="465"/>
      <c r="AF33" s="465"/>
      <c r="AG33" s="465"/>
      <c r="AH33" s="465"/>
      <c r="AI33" s="465"/>
      <c r="AJ33" s="465"/>
      <c r="AK33" s="465"/>
      <c r="AL33" s="360">
        <v>0</v>
      </c>
      <c r="AM33" s="499"/>
      <c r="AN33" s="290"/>
      <c r="AO33" s="360">
        <v>1</v>
      </c>
      <c r="AP33" s="290"/>
      <c r="AQ33" s="290"/>
      <c r="AR33" s="290"/>
      <c r="AS33" s="290"/>
      <c r="AT33" s="290"/>
      <c r="AU33" s="290"/>
    </row>
    <row r="34" spans="1:47" ht="12.75" customHeight="1" x14ac:dyDescent="0.25">
      <c r="A34" s="367"/>
      <c r="B34" s="532" t="s">
        <v>378</v>
      </c>
      <c r="C34" s="501"/>
      <c r="D34" s="501"/>
      <c r="E34" s="501"/>
      <c r="F34" s="501"/>
      <c r="G34" s="502"/>
      <c r="H34" s="369">
        <f>SUM(H19:H33)</f>
        <v>1271575.4000000001</v>
      </c>
      <c r="I34" s="45"/>
      <c r="J34" s="371">
        <f t="shared" ref="J34:Q34" si="22">SUM(J19:J33)</f>
        <v>0</v>
      </c>
      <c r="K34" s="367">
        <f t="shared" si="22"/>
        <v>10.5</v>
      </c>
      <c r="L34" s="367">
        <f t="shared" si="22"/>
        <v>10.5</v>
      </c>
      <c r="M34" s="372">
        <f t="shared" si="22"/>
        <v>23.5</v>
      </c>
      <c r="N34" s="372">
        <f t="shared" si="22"/>
        <v>0</v>
      </c>
      <c r="O34" s="372">
        <f t="shared" si="22"/>
        <v>241863.6</v>
      </c>
      <c r="P34" s="372">
        <f t="shared" si="22"/>
        <v>241863.6</v>
      </c>
      <c r="Q34" s="372">
        <f t="shared" si="22"/>
        <v>1029711.8</v>
      </c>
      <c r="R34" s="373">
        <f>(SUM(R19:R33)/COUNT(R19:R33))</f>
        <v>0.14285714285714285</v>
      </c>
      <c r="S34" s="45"/>
      <c r="T34" s="45"/>
      <c r="U34" s="45"/>
      <c r="V34" s="45"/>
      <c r="W34" s="45"/>
      <c r="X34" s="45"/>
      <c r="Y34" s="45"/>
      <c r="AL34" s="360"/>
      <c r="AM34" s="499"/>
      <c r="AN34" s="373">
        <f t="shared" ref="AN34:AU34" si="23">(SUM(AN19:AN33)/COUNT(AN19:AN33))</f>
        <v>0</v>
      </c>
      <c r="AO34" s="373">
        <f>(SUM(AO19:AO33)/COUNT(AO19:AO33))</f>
        <v>0.6428571428571429</v>
      </c>
      <c r="AP34" s="373">
        <f t="shared" si="23"/>
        <v>0</v>
      </c>
      <c r="AQ34" s="373">
        <f t="shared" si="23"/>
        <v>0</v>
      </c>
      <c r="AR34" s="373">
        <f t="shared" si="23"/>
        <v>0</v>
      </c>
      <c r="AS34" s="373">
        <f t="shared" si="23"/>
        <v>0</v>
      </c>
      <c r="AT34" s="373">
        <f t="shared" si="23"/>
        <v>0</v>
      </c>
      <c r="AU34" s="373">
        <f t="shared" si="23"/>
        <v>0</v>
      </c>
    </row>
    <row r="35" spans="1:47" ht="12.75" customHeight="1" x14ac:dyDescent="0.25">
      <c r="A35" s="52"/>
      <c r="B35" s="368" t="s">
        <v>379</v>
      </c>
      <c r="C35" s="52"/>
      <c r="D35" s="52"/>
      <c r="E35" s="54"/>
      <c r="F35" s="54"/>
      <c r="G35" s="54"/>
      <c r="H35" s="54"/>
      <c r="I35" s="4"/>
      <c r="J35" s="281"/>
      <c r="K35" s="32"/>
      <c r="L35" s="32"/>
      <c r="M35" s="32"/>
      <c r="N35" s="32"/>
      <c r="O35" s="32"/>
      <c r="P35" s="32"/>
      <c r="Q35" s="32"/>
      <c r="R35" s="282"/>
      <c r="S35" s="4"/>
      <c r="T35" s="4"/>
      <c r="U35" s="4"/>
      <c r="V35" s="4"/>
      <c r="W35" s="4"/>
      <c r="X35" s="4"/>
      <c r="Y35" s="4"/>
      <c r="AL35" s="360"/>
      <c r="AM35" s="499"/>
      <c r="AN35" s="282"/>
      <c r="AO35" s="360"/>
      <c r="AP35" s="282"/>
      <c r="AQ35" s="282"/>
      <c r="AR35" s="282"/>
      <c r="AS35" s="282"/>
      <c r="AT35" s="282"/>
      <c r="AU35" s="282"/>
    </row>
    <row r="36" spans="1:47" ht="12.75" customHeight="1" x14ac:dyDescent="0.25">
      <c r="A36" s="311" t="s">
        <v>380</v>
      </c>
      <c r="B36" s="200" t="s">
        <v>381</v>
      </c>
      <c r="C36" s="311">
        <v>1</v>
      </c>
      <c r="D36" s="311" t="s">
        <v>348</v>
      </c>
      <c r="E36" s="203">
        <f>'Materials labor doors and windo'!$D$21</f>
        <v>24290.000000000004</v>
      </c>
      <c r="F36" s="203">
        <f>'Materials labor doors and windo'!$F$21</f>
        <v>12761.800000000001</v>
      </c>
      <c r="G36" s="203">
        <f t="shared" ref="G36:G43" si="24">SUM(E36,F36)</f>
        <v>37051.800000000003</v>
      </c>
      <c r="H36" s="203">
        <f t="shared" ref="H36:H43" si="25">C36*G36</f>
        <v>37051.800000000003</v>
      </c>
      <c r="I36" s="137"/>
      <c r="J36" s="287">
        <f t="shared" ref="J36:J43" si="26">SUM(T36:AA36)</f>
        <v>0</v>
      </c>
      <c r="K36" s="288">
        <f t="shared" ref="K36:K43" si="27">C36*R36</f>
        <v>0</v>
      </c>
      <c r="L36" s="288">
        <f t="shared" ref="L36:L43" si="28">SUM(J36:K36)</f>
        <v>0</v>
      </c>
      <c r="M36" s="289">
        <f t="shared" ref="M36:M43" si="29">C36-L36</f>
        <v>1</v>
      </c>
      <c r="N36" s="289">
        <f t="shared" ref="N36:N43" si="30">SUM(AC36:AJ36)</f>
        <v>0</v>
      </c>
      <c r="O36" s="289">
        <f t="shared" ref="O36:O43" si="31">R36*H36</f>
        <v>0</v>
      </c>
      <c r="P36" s="289">
        <f t="shared" ref="P36:P43" si="32">SUM(N36:O36)</f>
        <v>0</v>
      </c>
      <c r="Q36" s="289">
        <f t="shared" ref="Q36:Q43" si="33">H36-P36</f>
        <v>37051.800000000003</v>
      </c>
      <c r="R36" s="290">
        <f t="shared" ref="R36:R43" si="34">SUM(AL36)</f>
        <v>0</v>
      </c>
      <c r="S36" s="137"/>
      <c r="T36" s="137"/>
      <c r="U36" s="137"/>
      <c r="V36" s="137"/>
      <c r="W36" s="137"/>
      <c r="X36" s="137"/>
      <c r="Y36" s="137"/>
      <c r="AL36" s="360">
        <v>0</v>
      </c>
      <c r="AM36" s="499"/>
      <c r="AN36" s="290"/>
      <c r="AO36" s="360">
        <v>1</v>
      </c>
      <c r="AP36" s="290"/>
      <c r="AQ36" s="290"/>
      <c r="AR36" s="290"/>
      <c r="AS36" s="290"/>
      <c r="AT36" s="290"/>
      <c r="AU36" s="290"/>
    </row>
    <row r="37" spans="1:47" ht="12.75" customHeight="1" x14ac:dyDescent="0.25">
      <c r="A37" s="311" t="s">
        <v>382</v>
      </c>
      <c r="B37" s="200" t="s">
        <v>383</v>
      </c>
      <c r="C37" s="311">
        <v>1</v>
      </c>
      <c r="D37" s="311" t="s">
        <v>348</v>
      </c>
      <c r="E37" s="203">
        <f>'Materials labor doors and windo'!$D$22</f>
        <v>21260</v>
      </c>
      <c r="F37" s="203">
        <f>'Materials labor doors and windo'!$F$22</f>
        <v>11169.2</v>
      </c>
      <c r="G37" s="203">
        <f t="shared" si="24"/>
        <v>32429.200000000001</v>
      </c>
      <c r="H37" s="203">
        <f t="shared" si="25"/>
        <v>32429.200000000001</v>
      </c>
      <c r="I37" s="137"/>
      <c r="J37" s="287">
        <f t="shared" si="26"/>
        <v>0</v>
      </c>
      <c r="K37" s="288">
        <f t="shared" si="27"/>
        <v>0</v>
      </c>
      <c r="L37" s="288">
        <f t="shared" si="28"/>
        <v>0</v>
      </c>
      <c r="M37" s="289">
        <f t="shared" si="29"/>
        <v>1</v>
      </c>
      <c r="N37" s="289">
        <f t="shared" si="30"/>
        <v>0</v>
      </c>
      <c r="O37" s="289">
        <f t="shared" si="31"/>
        <v>0</v>
      </c>
      <c r="P37" s="289">
        <f t="shared" si="32"/>
        <v>0</v>
      </c>
      <c r="Q37" s="289">
        <f t="shared" si="33"/>
        <v>32429.200000000001</v>
      </c>
      <c r="R37" s="290">
        <f t="shared" si="34"/>
        <v>0</v>
      </c>
      <c r="S37" s="137"/>
      <c r="T37" s="137"/>
      <c r="U37" s="137"/>
      <c r="V37" s="137"/>
      <c r="W37" s="137"/>
      <c r="X37" s="137"/>
      <c r="Y37" s="137"/>
      <c r="AL37" s="360">
        <v>0</v>
      </c>
      <c r="AM37" s="499"/>
      <c r="AN37" s="290"/>
      <c r="AO37" s="360">
        <v>1</v>
      </c>
      <c r="AP37" s="290"/>
      <c r="AQ37" s="290"/>
      <c r="AR37" s="290"/>
      <c r="AS37" s="290"/>
      <c r="AT37" s="290"/>
      <c r="AU37" s="290"/>
    </row>
    <row r="38" spans="1:47" ht="12.75" customHeight="1" x14ac:dyDescent="0.25">
      <c r="A38" s="311" t="s">
        <v>384</v>
      </c>
      <c r="B38" s="200" t="s">
        <v>385</v>
      </c>
      <c r="C38" s="311">
        <v>5</v>
      </c>
      <c r="D38" s="311" t="s">
        <v>348</v>
      </c>
      <c r="E38" s="203">
        <f>'Materials labor doors and windo'!$D$23</f>
        <v>6380.0000000000009</v>
      </c>
      <c r="F38" s="203">
        <f>'Materials labor doors and windo'!$F$23</f>
        <v>3349.6000000000004</v>
      </c>
      <c r="G38" s="203">
        <f t="shared" si="24"/>
        <v>9729.6000000000022</v>
      </c>
      <c r="H38" s="203">
        <f t="shared" si="25"/>
        <v>48648.000000000015</v>
      </c>
      <c r="I38" s="137"/>
      <c r="J38" s="287">
        <f t="shared" si="26"/>
        <v>0</v>
      </c>
      <c r="K38" s="288">
        <f t="shared" si="27"/>
        <v>0</v>
      </c>
      <c r="L38" s="288">
        <f t="shared" si="28"/>
        <v>0</v>
      </c>
      <c r="M38" s="289">
        <f t="shared" si="29"/>
        <v>5</v>
      </c>
      <c r="N38" s="289">
        <f t="shared" si="30"/>
        <v>0</v>
      </c>
      <c r="O38" s="289">
        <f t="shared" si="31"/>
        <v>0</v>
      </c>
      <c r="P38" s="289">
        <f t="shared" si="32"/>
        <v>0</v>
      </c>
      <c r="Q38" s="289">
        <f t="shared" si="33"/>
        <v>48648.000000000015</v>
      </c>
      <c r="R38" s="290">
        <f t="shared" si="34"/>
        <v>0</v>
      </c>
      <c r="S38" s="137"/>
      <c r="T38" s="137"/>
      <c r="U38" s="137"/>
      <c r="V38" s="137"/>
      <c r="W38" s="137"/>
      <c r="X38" s="137"/>
      <c r="Y38" s="137"/>
      <c r="AL38" s="360">
        <v>0</v>
      </c>
      <c r="AM38" s="499"/>
      <c r="AN38" s="290">
        <v>0</v>
      </c>
      <c r="AO38" s="360">
        <v>1</v>
      </c>
      <c r="AP38" s="290">
        <v>0</v>
      </c>
      <c r="AQ38" s="290">
        <v>0</v>
      </c>
      <c r="AR38" s="290">
        <v>0</v>
      </c>
      <c r="AS38" s="290">
        <v>0</v>
      </c>
      <c r="AT38" s="290">
        <v>0</v>
      </c>
      <c r="AU38" s="290">
        <v>0</v>
      </c>
    </row>
    <row r="39" spans="1:47" ht="12.75" customHeight="1" x14ac:dyDescent="0.25">
      <c r="A39" s="311" t="s">
        <v>386</v>
      </c>
      <c r="B39" s="200" t="s">
        <v>387</v>
      </c>
      <c r="C39" s="311">
        <v>2</v>
      </c>
      <c r="D39" s="311" t="s">
        <v>348</v>
      </c>
      <c r="E39" s="203">
        <f>'Materials labor doors and windo'!$D$24</f>
        <v>2750</v>
      </c>
      <c r="F39" s="203">
        <f>'Materials labor doors and windo'!$F$24</f>
        <v>1445</v>
      </c>
      <c r="G39" s="203">
        <f t="shared" si="24"/>
        <v>4195</v>
      </c>
      <c r="H39" s="203">
        <f t="shared" si="25"/>
        <v>8390</v>
      </c>
      <c r="I39" s="137"/>
      <c r="J39" s="287">
        <f t="shared" si="26"/>
        <v>0</v>
      </c>
      <c r="K39" s="288">
        <f t="shared" si="27"/>
        <v>0</v>
      </c>
      <c r="L39" s="288">
        <f t="shared" si="28"/>
        <v>0</v>
      </c>
      <c r="M39" s="289">
        <f t="shared" si="29"/>
        <v>2</v>
      </c>
      <c r="N39" s="289">
        <f t="shared" si="30"/>
        <v>0</v>
      </c>
      <c r="O39" s="289">
        <f t="shared" si="31"/>
        <v>0</v>
      </c>
      <c r="P39" s="289">
        <f t="shared" si="32"/>
        <v>0</v>
      </c>
      <c r="Q39" s="289">
        <f t="shared" si="33"/>
        <v>8390</v>
      </c>
      <c r="R39" s="290">
        <f t="shared" si="34"/>
        <v>0</v>
      </c>
      <c r="S39" s="137"/>
      <c r="T39" s="137"/>
      <c r="U39" s="137"/>
      <c r="V39" s="137"/>
      <c r="W39" s="137"/>
      <c r="X39" s="137"/>
      <c r="Y39" s="137"/>
      <c r="AL39" s="360">
        <v>0</v>
      </c>
      <c r="AM39" s="499"/>
      <c r="AN39" s="290"/>
      <c r="AO39" s="360">
        <v>1</v>
      </c>
      <c r="AP39" s="290"/>
      <c r="AQ39" s="290"/>
      <c r="AR39" s="290"/>
      <c r="AS39" s="290"/>
      <c r="AT39" s="290"/>
      <c r="AU39" s="290"/>
    </row>
    <row r="40" spans="1:47" ht="12.75" customHeight="1" x14ac:dyDescent="0.25">
      <c r="A40" s="311" t="s">
        <v>388</v>
      </c>
      <c r="B40" s="200" t="s">
        <v>389</v>
      </c>
      <c r="C40" s="311">
        <v>1</v>
      </c>
      <c r="D40" s="311" t="s">
        <v>348</v>
      </c>
      <c r="E40" s="203">
        <f>'Materials labor doors and windo'!$D$25</f>
        <v>5720.0000000000009</v>
      </c>
      <c r="F40" s="203">
        <f>'Materials labor doors and windo'!$F$25</f>
        <v>3012.4000000000005</v>
      </c>
      <c r="G40" s="203">
        <f t="shared" si="24"/>
        <v>8732.4000000000015</v>
      </c>
      <c r="H40" s="203">
        <f t="shared" si="25"/>
        <v>8732.4000000000015</v>
      </c>
      <c r="I40" s="137"/>
      <c r="J40" s="287">
        <f t="shared" si="26"/>
        <v>0</v>
      </c>
      <c r="K40" s="288">
        <f t="shared" si="27"/>
        <v>0</v>
      </c>
      <c r="L40" s="288">
        <f t="shared" si="28"/>
        <v>0</v>
      </c>
      <c r="M40" s="289">
        <f t="shared" si="29"/>
        <v>1</v>
      </c>
      <c r="N40" s="289">
        <f t="shared" si="30"/>
        <v>0</v>
      </c>
      <c r="O40" s="289">
        <f t="shared" si="31"/>
        <v>0</v>
      </c>
      <c r="P40" s="289">
        <f t="shared" si="32"/>
        <v>0</v>
      </c>
      <c r="Q40" s="289">
        <f t="shared" si="33"/>
        <v>8732.4000000000015</v>
      </c>
      <c r="R40" s="290">
        <f t="shared" si="34"/>
        <v>0</v>
      </c>
      <c r="S40" s="137"/>
      <c r="T40" s="137"/>
      <c r="U40" s="137"/>
      <c r="V40" s="137"/>
      <c r="W40" s="137"/>
      <c r="X40" s="137"/>
      <c r="Y40" s="137"/>
      <c r="AL40" s="360">
        <v>0</v>
      </c>
      <c r="AM40" s="499"/>
      <c r="AN40" s="290"/>
      <c r="AO40" s="360">
        <v>1</v>
      </c>
      <c r="AP40" s="290"/>
      <c r="AQ40" s="290"/>
      <c r="AR40" s="290"/>
      <c r="AS40" s="290"/>
      <c r="AT40" s="290"/>
      <c r="AU40" s="290"/>
    </row>
    <row r="41" spans="1:47" ht="12.75" customHeight="1" x14ac:dyDescent="0.25">
      <c r="A41" s="311" t="s">
        <v>390</v>
      </c>
      <c r="B41" s="200" t="s">
        <v>391</v>
      </c>
      <c r="C41" s="311">
        <v>1</v>
      </c>
      <c r="D41" s="311" t="s">
        <v>348</v>
      </c>
      <c r="E41" s="203">
        <f>'Materials labor doors and windo'!$D$26</f>
        <v>13750.000000000002</v>
      </c>
      <c r="F41" s="203">
        <f>'Materials labor doors and windo'!$F$26</f>
        <v>7225.0000000000009</v>
      </c>
      <c r="G41" s="203">
        <f t="shared" si="24"/>
        <v>20975.000000000004</v>
      </c>
      <c r="H41" s="203">
        <f t="shared" si="25"/>
        <v>20975.000000000004</v>
      </c>
      <c r="I41" s="137"/>
      <c r="J41" s="287">
        <f t="shared" si="26"/>
        <v>0</v>
      </c>
      <c r="K41" s="288">
        <f t="shared" si="27"/>
        <v>0</v>
      </c>
      <c r="L41" s="288">
        <f t="shared" si="28"/>
        <v>0</v>
      </c>
      <c r="M41" s="289">
        <f t="shared" si="29"/>
        <v>1</v>
      </c>
      <c r="N41" s="289">
        <f t="shared" si="30"/>
        <v>0</v>
      </c>
      <c r="O41" s="289">
        <f t="shared" si="31"/>
        <v>0</v>
      </c>
      <c r="P41" s="289">
        <f t="shared" si="32"/>
        <v>0</v>
      </c>
      <c r="Q41" s="289">
        <f t="shared" si="33"/>
        <v>20975.000000000004</v>
      </c>
      <c r="R41" s="290">
        <f t="shared" si="34"/>
        <v>0</v>
      </c>
      <c r="S41" s="137"/>
      <c r="T41" s="137"/>
      <c r="U41" s="137"/>
      <c r="V41" s="137"/>
      <c r="W41" s="137"/>
      <c r="X41" s="137"/>
      <c r="Y41" s="137"/>
      <c r="AL41" s="360">
        <v>0</v>
      </c>
      <c r="AM41" s="499"/>
      <c r="AN41" s="290"/>
      <c r="AO41" s="360">
        <v>1</v>
      </c>
      <c r="AP41" s="290"/>
      <c r="AQ41" s="290"/>
      <c r="AR41" s="290"/>
      <c r="AS41" s="290"/>
      <c r="AT41" s="290"/>
      <c r="AU41" s="290"/>
    </row>
    <row r="42" spans="1:47" ht="12.75" customHeight="1" x14ac:dyDescent="0.25">
      <c r="A42" s="311" t="s">
        <v>392</v>
      </c>
      <c r="B42" s="200" t="s">
        <v>393</v>
      </c>
      <c r="C42" s="311">
        <v>1</v>
      </c>
      <c r="D42" s="311" t="s">
        <v>348</v>
      </c>
      <c r="E42" s="203">
        <f>'Materials labor doors and windo'!$D$27</f>
        <v>9350</v>
      </c>
      <c r="F42" s="203">
        <f>'Materials labor doors and windo'!$F$27</f>
        <v>4917</v>
      </c>
      <c r="G42" s="203">
        <f t="shared" si="24"/>
        <v>14267</v>
      </c>
      <c r="H42" s="203">
        <f t="shared" si="25"/>
        <v>14267</v>
      </c>
      <c r="I42" s="137"/>
      <c r="J42" s="287">
        <f t="shared" si="26"/>
        <v>0</v>
      </c>
      <c r="K42" s="288">
        <f t="shared" si="27"/>
        <v>0</v>
      </c>
      <c r="L42" s="288">
        <f t="shared" si="28"/>
        <v>0</v>
      </c>
      <c r="M42" s="289">
        <f t="shared" si="29"/>
        <v>1</v>
      </c>
      <c r="N42" s="289">
        <f t="shared" si="30"/>
        <v>0</v>
      </c>
      <c r="O42" s="289">
        <f t="shared" si="31"/>
        <v>0</v>
      </c>
      <c r="P42" s="289">
        <f t="shared" si="32"/>
        <v>0</v>
      </c>
      <c r="Q42" s="289">
        <f t="shared" si="33"/>
        <v>14267</v>
      </c>
      <c r="R42" s="290">
        <f t="shared" si="34"/>
        <v>0</v>
      </c>
      <c r="S42" s="137"/>
      <c r="T42" s="137"/>
      <c r="U42" s="137"/>
      <c r="V42" s="137"/>
      <c r="W42" s="137"/>
      <c r="X42" s="137"/>
      <c r="Y42" s="137"/>
      <c r="AL42" s="360">
        <v>0</v>
      </c>
      <c r="AM42" s="499"/>
      <c r="AN42" s="290"/>
      <c r="AO42" s="360">
        <v>1</v>
      </c>
      <c r="AP42" s="290"/>
      <c r="AQ42" s="290"/>
      <c r="AR42" s="290"/>
      <c r="AS42" s="290"/>
      <c r="AT42" s="290"/>
      <c r="AU42" s="290"/>
    </row>
    <row r="43" spans="1:47" ht="12.75" customHeight="1" x14ac:dyDescent="0.25">
      <c r="A43" s="311" t="s">
        <v>394</v>
      </c>
      <c r="B43" s="200" t="s">
        <v>395</v>
      </c>
      <c r="C43" s="311">
        <v>1</v>
      </c>
      <c r="D43" s="311" t="s">
        <v>348</v>
      </c>
      <c r="E43" s="203">
        <f>'Materials labor doors and windo'!$D$28</f>
        <v>20020</v>
      </c>
      <c r="F43" s="203">
        <f>'Materials labor doors and windo'!$F$28</f>
        <v>10518.4</v>
      </c>
      <c r="G43" s="203">
        <f t="shared" si="24"/>
        <v>30538.400000000001</v>
      </c>
      <c r="H43" s="203">
        <f t="shared" si="25"/>
        <v>30538.400000000001</v>
      </c>
      <c r="I43" s="137"/>
      <c r="J43" s="287">
        <f t="shared" si="26"/>
        <v>0</v>
      </c>
      <c r="K43" s="288">
        <f t="shared" si="27"/>
        <v>0</v>
      </c>
      <c r="L43" s="288">
        <f t="shared" si="28"/>
        <v>0</v>
      </c>
      <c r="M43" s="289">
        <f t="shared" si="29"/>
        <v>1</v>
      </c>
      <c r="N43" s="289">
        <f t="shared" si="30"/>
        <v>0</v>
      </c>
      <c r="O43" s="289">
        <f t="shared" si="31"/>
        <v>0</v>
      </c>
      <c r="P43" s="289">
        <f t="shared" si="32"/>
        <v>0</v>
      </c>
      <c r="Q43" s="289">
        <f t="shared" si="33"/>
        <v>30538.400000000001</v>
      </c>
      <c r="R43" s="290">
        <f t="shared" si="34"/>
        <v>0</v>
      </c>
      <c r="S43" s="137"/>
      <c r="T43" s="137"/>
      <c r="U43" s="137"/>
      <c r="V43" s="137"/>
      <c r="W43" s="137"/>
      <c r="X43" s="137"/>
      <c r="Y43" s="137"/>
      <c r="AL43" s="360">
        <v>0</v>
      </c>
      <c r="AM43" s="499"/>
      <c r="AN43" s="290"/>
      <c r="AO43" s="360">
        <v>1</v>
      </c>
      <c r="AP43" s="290"/>
      <c r="AQ43" s="290"/>
      <c r="AR43" s="290"/>
      <c r="AS43" s="290"/>
      <c r="AT43" s="290"/>
      <c r="AU43" s="290"/>
    </row>
    <row r="44" spans="1:47" ht="12.75" customHeight="1" x14ac:dyDescent="0.25">
      <c r="A44" s="367"/>
      <c r="B44" s="532" t="s">
        <v>396</v>
      </c>
      <c r="C44" s="501"/>
      <c r="D44" s="501"/>
      <c r="E44" s="501"/>
      <c r="F44" s="501"/>
      <c r="G44" s="502"/>
      <c r="H44" s="369">
        <f>SUM(H36:H43)</f>
        <v>201031.80000000002</v>
      </c>
      <c r="I44" s="45"/>
      <c r="J44" s="371">
        <f t="shared" ref="J44:Q44" si="35">SUM(J36:J43)</f>
        <v>0</v>
      </c>
      <c r="K44" s="367">
        <f t="shared" si="35"/>
        <v>0</v>
      </c>
      <c r="L44" s="367">
        <f t="shared" si="35"/>
        <v>0</v>
      </c>
      <c r="M44" s="372">
        <f t="shared" si="35"/>
        <v>13</v>
      </c>
      <c r="N44" s="372">
        <f t="shared" si="35"/>
        <v>0</v>
      </c>
      <c r="O44" s="372">
        <f t="shared" si="35"/>
        <v>0</v>
      </c>
      <c r="P44" s="372">
        <f t="shared" si="35"/>
        <v>0</v>
      </c>
      <c r="Q44" s="372">
        <f t="shared" si="35"/>
        <v>201031.80000000002</v>
      </c>
      <c r="R44" s="373">
        <f>(SUM(R36:R43)/COUNT(R36:R43))</f>
        <v>0</v>
      </c>
      <c r="S44" s="45"/>
      <c r="T44" s="45"/>
      <c r="U44" s="45"/>
      <c r="V44" s="45"/>
      <c r="W44" s="45"/>
      <c r="X44" s="45"/>
      <c r="Y44" s="45"/>
      <c r="AL44" s="360"/>
      <c r="AM44" s="499"/>
      <c r="AN44" s="373">
        <f t="shared" ref="AN44:AU44" si="36">(SUM(AN36:AN43)/COUNT(AN36:AN43))</f>
        <v>0</v>
      </c>
      <c r="AO44" s="373">
        <f t="shared" si="36"/>
        <v>1</v>
      </c>
      <c r="AP44" s="373">
        <f t="shared" si="36"/>
        <v>0</v>
      </c>
      <c r="AQ44" s="373">
        <f t="shared" si="36"/>
        <v>0</v>
      </c>
      <c r="AR44" s="373">
        <f t="shared" si="36"/>
        <v>0</v>
      </c>
      <c r="AS44" s="373">
        <f t="shared" si="36"/>
        <v>0</v>
      </c>
      <c r="AT44" s="373">
        <f t="shared" si="36"/>
        <v>0</v>
      </c>
      <c r="AU44" s="373">
        <f t="shared" si="36"/>
        <v>0</v>
      </c>
    </row>
    <row r="45" spans="1:47" ht="12.75" customHeight="1" x14ac:dyDescent="0.25">
      <c r="A45" s="52"/>
      <c r="B45" s="368" t="s">
        <v>397</v>
      </c>
      <c r="C45" s="52"/>
      <c r="D45" s="52"/>
      <c r="E45" s="54"/>
      <c r="F45" s="54"/>
      <c r="G45" s="54"/>
      <c r="H45" s="54"/>
      <c r="I45" s="4"/>
      <c r="J45" s="281"/>
      <c r="K45" s="32"/>
      <c r="L45" s="32"/>
      <c r="M45" s="32"/>
      <c r="N45" s="32"/>
      <c r="O45" s="32"/>
      <c r="P45" s="32"/>
      <c r="Q45" s="32"/>
      <c r="R45" s="282"/>
      <c r="S45" s="4"/>
      <c r="T45" s="4"/>
      <c r="U45" s="4"/>
      <c r="V45" s="4"/>
      <c r="W45" s="4"/>
      <c r="X45" s="4"/>
      <c r="Y45" s="4"/>
      <c r="AL45" s="360"/>
      <c r="AM45" s="499"/>
      <c r="AN45" s="282"/>
      <c r="AO45" s="282"/>
      <c r="AP45" s="282"/>
      <c r="AQ45" s="282"/>
      <c r="AR45" s="282"/>
      <c r="AS45" s="282"/>
      <c r="AT45" s="282"/>
      <c r="AU45" s="282"/>
    </row>
    <row r="46" spans="1:47" ht="12.75" customHeight="1" x14ac:dyDescent="0.25">
      <c r="A46" s="311" t="s">
        <v>398</v>
      </c>
      <c r="B46" s="200" t="s">
        <v>399</v>
      </c>
      <c r="C46" s="311">
        <v>1</v>
      </c>
      <c r="D46" s="311" t="s">
        <v>348</v>
      </c>
      <c r="E46" s="203">
        <f>'Materials labor doors and windo'!$D$30</f>
        <v>6600.0000000000009</v>
      </c>
      <c r="F46" s="203">
        <f>'Materials labor doors and windo'!$F$30</f>
        <v>3300.0000000000005</v>
      </c>
      <c r="G46" s="203">
        <f t="shared" ref="G46:G54" si="37">SUM(E46,F46)</f>
        <v>9900.0000000000018</v>
      </c>
      <c r="H46" s="203">
        <f t="shared" ref="H46:H54" si="38">G46*C46</f>
        <v>9900.0000000000018</v>
      </c>
      <c r="I46" s="137"/>
      <c r="J46" s="287">
        <f t="shared" ref="J46:J54" si="39">SUM(T46:AA46)</f>
        <v>0</v>
      </c>
      <c r="K46" s="288">
        <f t="shared" ref="K46:K54" si="40">C46*R46</f>
        <v>0</v>
      </c>
      <c r="L46" s="288">
        <f t="shared" ref="L46:L54" si="41">SUM(J46:K46)</f>
        <v>0</v>
      </c>
      <c r="M46" s="289">
        <f t="shared" ref="M46:M54" si="42">C46-L46</f>
        <v>1</v>
      </c>
      <c r="N46" s="289">
        <f t="shared" ref="N46:N54" si="43">SUM(AC46:AJ46)</f>
        <v>0</v>
      </c>
      <c r="O46" s="289">
        <f t="shared" ref="O46:O54" si="44">R46*H46</f>
        <v>0</v>
      </c>
      <c r="P46" s="289">
        <f t="shared" ref="P46:P54" si="45">SUM(N46:O46)</f>
        <v>0</v>
      </c>
      <c r="Q46" s="289">
        <f t="shared" ref="Q46:Q54" si="46">H46-P46</f>
        <v>9900.0000000000018</v>
      </c>
      <c r="R46" s="290">
        <f t="shared" ref="R46:R54" si="47">SUM(AL46)</f>
        <v>0</v>
      </c>
      <c r="S46" s="137"/>
      <c r="T46" s="137"/>
      <c r="U46" s="137"/>
      <c r="V46" s="137"/>
      <c r="W46" s="137"/>
      <c r="X46" s="137"/>
      <c r="Y46" s="137"/>
      <c r="AL46" s="360"/>
      <c r="AM46" s="499"/>
      <c r="AN46" s="290"/>
      <c r="AO46" s="290"/>
      <c r="AP46" s="290"/>
      <c r="AQ46" s="290"/>
      <c r="AR46" s="290"/>
      <c r="AS46" s="290"/>
      <c r="AT46" s="290"/>
      <c r="AU46" s="290"/>
    </row>
    <row r="47" spans="1:47" ht="12.75" customHeight="1" x14ac:dyDescent="0.25">
      <c r="A47" s="311" t="s">
        <v>400</v>
      </c>
      <c r="B47" s="200" t="s">
        <v>401</v>
      </c>
      <c r="C47" s="311">
        <v>1</v>
      </c>
      <c r="D47" s="311" t="s">
        <v>348</v>
      </c>
      <c r="E47" s="203">
        <f>'Materials labor doors and windo'!$D$31</f>
        <v>6600.0000000000009</v>
      </c>
      <c r="F47" s="203">
        <f>'Materials labor doors and windo'!$F$31</f>
        <v>3300.0000000000005</v>
      </c>
      <c r="G47" s="203">
        <f t="shared" si="37"/>
        <v>9900.0000000000018</v>
      </c>
      <c r="H47" s="203">
        <f t="shared" si="38"/>
        <v>9900.0000000000018</v>
      </c>
      <c r="I47" s="137"/>
      <c r="J47" s="287">
        <f t="shared" si="39"/>
        <v>0</v>
      </c>
      <c r="K47" s="288">
        <f t="shared" si="40"/>
        <v>0</v>
      </c>
      <c r="L47" s="288">
        <f t="shared" si="41"/>
        <v>0</v>
      </c>
      <c r="M47" s="289">
        <f t="shared" si="42"/>
        <v>1</v>
      </c>
      <c r="N47" s="289">
        <f t="shared" si="43"/>
        <v>0</v>
      </c>
      <c r="O47" s="289">
        <f t="shared" si="44"/>
        <v>0</v>
      </c>
      <c r="P47" s="289">
        <f t="shared" si="45"/>
        <v>0</v>
      </c>
      <c r="Q47" s="289">
        <f t="shared" si="46"/>
        <v>9900.0000000000018</v>
      </c>
      <c r="R47" s="290">
        <f t="shared" si="47"/>
        <v>0</v>
      </c>
      <c r="S47" s="137"/>
      <c r="T47" s="137"/>
      <c r="U47" s="137"/>
      <c r="V47" s="137"/>
      <c r="W47" s="137"/>
      <c r="X47" s="137"/>
      <c r="Y47" s="137"/>
      <c r="AL47" s="360"/>
      <c r="AM47" s="499"/>
      <c r="AN47" s="290"/>
      <c r="AO47" s="290"/>
      <c r="AP47" s="290"/>
      <c r="AQ47" s="290"/>
      <c r="AR47" s="290"/>
      <c r="AS47" s="290"/>
      <c r="AT47" s="290"/>
      <c r="AU47" s="290"/>
    </row>
    <row r="48" spans="1:47" ht="12.75" customHeight="1" x14ac:dyDescent="0.25">
      <c r="A48" s="311" t="s">
        <v>402</v>
      </c>
      <c r="B48" s="200" t="s">
        <v>403</v>
      </c>
      <c r="C48" s="311">
        <v>1</v>
      </c>
      <c r="D48" s="311" t="s">
        <v>348</v>
      </c>
      <c r="E48" s="203">
        <f>'Materials labor doors and windo'!$D$32</f>
        <v>6600.0000000000009</v>
      </c>
      <c r="F48" s="203">
        <f>'Materials labor doors and windo'!$F$32</f>
        <v>3300.0000000000005</v>
      </c>
      <c r="G48" s="203">
        <f t="shared" si="37"/>
        <v>9900.0000000000018</v>
      </c>
      <c r="H48" s="203">
        <f t="shared" si="38"/>
        <v>9900.0000000000018</v>
      </c>
      <c r="I48" s="137"/>
      <c r="J48" s="287">
        <f t="shared" si="39"/>
        <v>0</v>
      </c>
      <c r="K48" s="288">
        <f t="shared" si="40"/>
        <v>0</v>
      </c>
      <c r="L48" s="288">
        <f t="shared" si="41"/>
        <v>0</v>
      </c>
      <c r="M48" s="289">
        <f t="shared" si="42"/>
        <v>1</v>
      </c>
      <c r="N48" s="289">
        <f t="shared" si="43"/>
        <v>0</v>
      </c>
      <c r="O48" s="289">
        <f t="shared" si="44"/>
        <v>0</v>
      </c>
      <c r="P48" s="289">
        <f t="shared" si="45"/>
        <v>0</v>
      </c>
      <c r="Q48" s="289">
        <f t="shared" si="46"/>
        <v>9900.0000000000018</v>
      </c>
      <c r="R48" s="290">
        <f t="shared" si="47"/>
        <v>0</v>
      </c>
      <c r="S48" s="137"/>
      <c r="T48" s="137"/>
      <c r="U48" s="137"/>
      <c r="V48" s="137"/>
      <c r="W48" s="137"/>
      <c r="X48" s="137"/>
      <c r="Y48" s="137"/>
      <c r="AL48" s="360"/>
      <c r="AM48" s="499"/>
      <c r="AN48" s="290"/>
      <c r="AO48" s="290"/>
      <c r="AP48" s="290"/>
      <c r="AQ48" s="290"/>
      <c r="AR48" s="290"/>
      <c r="AS48" s="290"/>
      <c r="AT48" s="290"/>
      <c r="AU48" s="290"/>
    </row>
    <row r="49" spans="1:47" ht="12.75" customHeight="1" x14ac:dyDescent="0.25">
      <c r="A49" s="311" t="s">
        <v>404</v>
      </c>
      <c r="B49" s="200" t="s">
        <v>405</v>
      </c>
      <c r="C49" s="311">
        <v>1</v>
      </c>
      <c r="D49" s="311" t="s">
        <v>348</v>
      </c>
      <c r="E49" s="203">
        <f>'Materials labor doors and windo'!$D$33</f>
        <v>6600.0000000000009</v>
      </c>
      <c r="F49" s="203">
        <f>'Materials labor doors and windo'!$F$33</f>
        <v>3300.0000000000005</v>
      </c>
      <c r="G49" s="203">
        <f t="shared" si="37"/>
        <v>9900.0000000000018</v>
      </c>
      <c r="H49" s="203">
        <f t="shared" si="38"/>
        <v>9900.0000000000018</v>
      </c>
      <c r="I49" s="137"/>
      <c r="J49" s="287">
        <f t="shared" si="39"/>
        <v>0</v>
      </c>
      <c r="K49" s="288">
        <f t="shared" si="40"/>
        <v>0</v>
      </c>
      <c r="L49" s="288">
        <f t="shared" si="41"/>
        <v>0</v>
      </c>
      <c r="M49" s="289">
        <f t="shared" si="42"/>
        <v>1</v>
      </c>
      <c r="N49" s="289">
        <f t="shared" si="43"/>
        <v>0</v>
      </c>
      <c r="O49" s="289">
        <f t="shared" si="44"/>
        <v>0</v>
      </c>
      <c r="P49" s="289">
        <f t="shared" si="45"/>
        <v>0</v>
      </c>
      <c r="Q49" s="289">
        <f t="shared" si="46"/>
        <v>9900.0000000000018</v>
      </c>
      <c r="R49" s="290">
        <f t="shared" si="47"/>
        <v>0</v>
      </c>
      <c r="S49" s="137"/>
      <c r="T49" s="137"/>
      <c r="U49" s="137"/>
      <c r="V49" s="137"/>
      <c r="W49" s="137"/>
      <c r="X49" s="137"/>
      <c r="Y49" s="137"/>
      <c r="AL49" s="360"/>
      <c r="AM49" s="499"/>
      <c r="AN49" s="290"/>
      <c r="AO49" s="290"/>
      <c r="AP49" s="290"/>
      <c r="AQ49" s="290"/>
      <c r="AR49" s="290"/>
      <c r="AS49" s="290"/>
      <c r="AT49" s="290"/>
      <c r="AU49" s="290"/>
    </row>
    <row r="50" spans="1:47" ht="12.75" customHeight="1" x14ac:dyDescent="0.25">
      <c r="A50" s="311" t="s">
        <v>406</v>
      </c>
      <c r="B50" s="200" t="s">
        <v>407</v>
      </c>
      <c r="C50" s="311">
        <v>1</v>
      </c>
      <c r="D50" s="311" t="s">
        <v>348</v>
      </c>
      <c r="E50" s="203">
        <f>'Materials labor doors and windo'!$D$34</f>
        <v>6600.0000000000009</v>
      </c>
      <c r="F50" s="203">
        <f>'Materials labor doors and windo'!$F$34</f>
        <v>3300.0000000000005</v>
      </c>
      <c r="G50" s="203">
        <f t="shared" si="37"/>
        <v>9900.0000000000018</v>
      </c>
      <c r="H50" s="203">
        <f t="shared" si="38"/>
        <v>9900.0000000000018</v>
      </c>
      <c r="I50" s="137"/>
      <c r="J50" s="287">
        <f t="shared" si="39"/>
        <v>0</v>
      </c>
      <c r="K50" s="288">
        <f t="shared" si="40"/>
        <v>0</v>
      </c>
      <c r="L50" s="288">
        <f t="shared" si="41"/>
        <v>0</v>
      </c>
      <c r="M50" s="289">
        <f t="shared" si="42"/>
        <v>1</v>
      </c>
      <c r="N50" s="289">
        <f t="shared" si="43"/>
        <v>0</v>
      </c>
      <c r="O50" s="289">
        <f t="shared" si="44"/>
        <v>0</v>
      </c>
      <c r="P50" s="289">
        <f t="shared" si="45"/>
        <v>0</v>
      </c>
      <c r="Q50" s="289">
        <f t="shared" si="46"/>
        <v>9900.0000000000018</v>
      </c>
      <c r="R50" s="290">
        <f t="shared" si="47"/>
        <v>0</v>
      </c>
      <c r="S50" s="137"/>
      <c r="T50" s="137"/>
      <c r="U50" s="137"/>
      <c r="V50" s="137"/>
      <c r="W50" s="137"/>
      <c r="X50" s="137"/>
      <c r="Y50" s="137"/>
      <c r="AL50" s="360"/>
      <c r="AM50" s="499"/>
      <c r="AN50" s="290"/>
      <c r="AO50" s="290"/>
      <c r="AP50" s="290"/>
      <c r="AQ50" s="290"/>
      <c r="AR50" s="290"/>
      <c r="AS50" s="290"/>
      <c r="AT50" s="290"/>
      <c r="AU50" s="290"/>
    </row>
    <row r="51" spans="1:47" ht="12.75" customHeight="1" x14ac:dyDescent="0.25">
      <c r="A51" s="32" t="s">
        <v>408</v>
      </c>
      <c r="B51" s="374" t="s">
        <v>409</v>
      </c>
      <c r="C51" s="32">
        <v>1</v>
      </c>
      <c r="D51" s="32" t="s">
        <v>348</v>
      </c>
      <c r="E51" s="203">
        <f>'Materials labor doors and windo'!$D$35</f>
        <v>6600.0000000000009</v>
      </c>
      <c r="F51" s="203">
        <f>'Materials labor doors and windo'!$F$35</f>
        <v>3300.0000000000005</v>
      </c>
      <c r="G51" s="203">
        <f t="shared" si="37"/>
        <v>9900.0000000000018</v>
      </c>
      <c r="H51" s="203">
        <f t="shared" si="38"/>
        <v>9900.0000000000018</v>
      </c>
      <c r="I51" s="4"/>
      <c r="J51" s="287">
        <f t="shared" si="39"/>
        <v>0</v>
      </c>
      <c r="K51" s="288">
        <f t="shared" si="40"/>
        <v>0</v>
      </c>
      <c r="L51" s="288">
        <f t="shared" si="41"/>
        <v>0</v>
      </c>
      <c r="M51" s="289">
        <f t="shared" si="42"/>
        <v>1</v>
      </c>
      <c r="N51" s="289">
        <f t="shared" si="43"/>
        <v>0</v>
      </c>
      <c r="O51" s="289">
        <f t="shared" si="44"/>
        <v>0</v>
      </c>
      <c r="P51" s="289">
        <f t="shared" si="45"/>
        <v>0</v>
      </c>
      <c r="Q51" s="289">
        <f t="shared" si="46"/>
        <v>9900.0000000000018</v>
      </c>
      <c r="R51" s="290">
        <f t="shared" si="47"/>
        <v>0</v>
      </c>
      <c r="S51" s="4"/>
      <c r="T51" s="4"/>
      <c r="U51" s="4"/>
      <c r="V51" s="4"/>
      <c r="W51" s="4"/>
      <c r="X51" s="4"/>
      <c r="Y51" s="4"/>
      <c r="AL51" s="360"/>
      <c r="AM51" s="499"/>
      <c r="AN51" s="290"/>
      <c r="AO51" s="290"/>
      <c r="AP51" s="290"/>
      <c r="AQ51" s="290"/>
      <c r="AR51" s="290"/>
      <c r="AS51" s="290"/>
      <c r="AT51" s="290"/>
      <c r="AU51" s="290"/>
    </row>
    <row r="52" spans="1:47" ht="12.75" customHeight="1" x14ac:dyDescent="0.25">
      <c r="A52" s="32" t="s">
        <v>410</v>
      </c>
      <c r="B52" s="374" t="s">
        <v>411</v>
      </c>
      <c r="C52" s="32">
        <v>1</v>
      </c>
      <c r="D52" s="32" t="s">
        <v>348</v>
      </c>
      <c r="E52" s="203">
        <f>'Materials labor doors and windo'!$D$36</f>
        <v>6600.0000000000009</v>
      </c>
      <c r="F52" s="203">
        <f>'Materials labor doors and windo'!$F$36</f>
        <v>3300.0000000000005</v>
      </c>
      <c r="G52" s="203">
        <f t="shared" si="37"/>
        <v>9900.0000000000018</v>
      </c>
      <c r="H52" s="203">
        <f t="shared" si="38"/>
        <v>9900.0000000000018</v>
      </c>
      <c r="I52" s="4"/>
      <c r="J52" s="287">
        <f t="shared" si="39"/>
        <v>0</v>
      </c>
      <c r="K52" s="288">
        <f t="shared" si="40"/>
        <v>0</v>
      </c>
      <c r="L52" s="288">
        <f t="shared" si="41"/>
        <v>0</v>
      </c>
      <c r="M52" s="289">
        <f t="shared" si="42"/>
        <v>1</v>
      </c>
      <c r="N52" s="289">
        <f t="shared" si="43"/>
        <v>0</v>
      </c>
      <c r="O52" s="289">
        <f t="shared" si="44"/>
        <v>0</v>
      </c>
      <c r="P52" s="289">
        <f t="shared" si="45"/>
        <v>0</v>
      </c>
      <c r="Q52" s="289">
        <f t="shared" si="46"/>
        <v>9900.0000000000018</v>
      </c>
      <c r="R52" s="290">
        <f t="shared" si="47"/>
        <v>0</v>
      </c>
      <c r="S52" s="4"/>
      <c r="T52" s="4"/>
      <c r="U52" s="4"/>
      <c r="V52" s="4"/>
      <c r="W52" s="4"/>
      <c r="X52" s="4"/>
      <c r="Y52" s="4"/>
      <c r="AL52" s="360"/>
      <c r="AM52" s="499"/>
      <c r="AN52" s="290"/>
      <c r="AO52" s="290"/>
      <c r="AP52" s="290"/>
      <c r="AQ52" s="290"/>
      <c r="AR52" s="290"/>
      <c r="AS52" s="290"/>
      <c r="AT52" s="290"/>
      <c r="AU52" s="290"/>
    </row>
    <row r="53" spans="1:47" ht="12.75" customHeight="1" x14ac:dyDescent="0.25">
      <c r="A53" s="32" t="s">
        <v>412</v>
      </c>
      <c r="B53" s="374" t="s">
        <v>413</v>
      </c>
      <c r="C53" s="32">
        <v>1</v>
      </c>
      <c r="D53" s="32" t="s">
        <v>348</v>
      </c>
      <c r="E53" s="203">
        <f>'Materials labor doors and windo'!$D$37</f>
        <v>6600.0000000000009</v>
      </c>
      <c r="F53" s="203">
        <f>'Materials labor doors and windo'!$F$37</f>
        <v>3300.0000000000005</v>
      </c>
      <c r="G53" s="203">
        <f t="shared" si="37"/>
        <v>9900.0000000000018</v>
      </c>
      <c r="H53" s="203">
        <f t="shared" si="38"/>
        <v>9900.0000000000018</v>
      </c>
      <c r="I53" s="4"/>
      <c r="J53" s="287">
        <f t="shared" si="39"/>
        <v>0</v>
      </c>
      <c r="K53" s="288">
        <f t="shared" si="40"/>
        <v>0</v>
      </c>
      <c r="L53" s="288">
        <f t="shared" si="41"/>
        <v>0</v>
      </c>
      <c r="M53" s="289">
        <f t="shared" si="42"/>
        <v>1</v>
      </c>
      <c r="N53" s="289">
        <f t="shared" si="43"/>
        <v>0</v>
      </c>
      <c r="O53" s="289">
        <f t="shared" si="44"/>
        <v>0</v>
      </c>
      <c r="P53" s="289">
        <f t="shared" si="45"/>
        <v>0</v>
      </c>
      <c r="Q53" s="289">
        <f t="shared" si="46"/>
        <v>9900.0000000000018</v>
      </c>
      <c r="R53" s="290">
        <f t="shared" si="47"/>
        <v>0</v>
      </c>
      <c r="S53" s="4"/>
      <c r="T53" s="4"/>
      <c r="U53" s="4"/>
      <c r="V53" s="4"/>
      <c r="W53" s="4"/>
      <c r="X53" s="4"/>
      <c r="Y53" s="4"/>
      <c r="AL53" s="360"/>
      <c r="AM53" s="499"/>
      <c r="AN53" s="290"/>
      <c r="AO53" s="290"/>
      <c r="AP53" s="290"/>
      <c r="AQ53" s="290"/>
      <c r="AR53" s="290"/>
      <c r="AS53" s="290"/>
      <c r="AT53" s="290"/>
      <c r="AU53" s="290"/>
    </row>
    <row r="54" spans="1:47" ht="12.75" customHeight="1" x14ac:dyDescent="0.25">
      <c r="A54" s="32" t="s">
        <v>414</v>
      </c>
      <c r="B54" s="374" t="s">
        <v>415</v>
      </c>
      <c r="C54" s="32">
        <v>1</v>
      </c>
      <c r="D54" s="32" t="s">
        <v>348</v>
      </c>
      <c r="E54" s="203">
        <f>'Materials labor doors and windo'!$D$38</f>
        <v>6600.0000000000009</v>
      </c>
      <c r="F54" s="203">
        <f>'Materials labor doors and windo'!$F$38</f>
        <v>3300.0000000000005</v>
      </c>
      <c r="G54" s="203">
        <f t="shared" si="37"/>
        <v>9900.0000000000018</v>
      </c>
      <c r="H54" s="203">
        <f t="shared" si="38"/>
        <v>9900.0000000000018</v>
      </c>
      <c r="I54" s="4"/>
      <c r="J54" s="287">
        <f t="shared" si="39"/>
        <v>0</v>
      </c>
      <c r="K54" s="288">
        <f t="shared" si="40"/>
        <v>0</v>
      </c>
      <c r="L54" s="288">
        <f t="shared" si="41"/>
        <v>0</v>
      </c>
      <c r="M54" s="289">
        <f t="shared" si="42"/>
        <v>1</v>
      </c>
      <c r="N54" s="289">
        <f t="shared" si="43"/>
        <v>0</v>
      </c>
      <c r="O54" s="289">
        <f t="shared" si="44"/>
        <v>0</v>
      </c>
      <c r="P54" s="289">
        <f t="shared" si="45"/>
        <v>0</v>
      </c>
      <c r="Q54" s="289">
        <f t="shared" si="46"/>
        <v>9900.0000000000018</v>
      </c>
      <c r="R54" s="290">
        <f t="shared" si="47"/>
        <v>0</v>
      </c>
      <c r="S54" s="4"/>
      <c r="T54" s="4"/>
      <c r="U54" s="4"/>
      <c r="V54" s="4"/>
      <c r="W54" s="4"/>
      <c r="X54" s="4"/>
      <c r="Y54" s="4"/>
      <c r="AL54" s="360"/>
      <c r="AM54" s="499"/>
      <c r="AN54" s="290"/>
      <c r="AO54" s="290"/>
      <c r="AP54" s="290"/>
      <c r="AQ54" s="290"/>
      <c r="AR54" s="290"/>
      <c r="AS54" s="290"/>
      <c r="AT54" s="290"/>
      <c r="AU54" s="290"/>
    </row>
    <row r="55" spans="1:47" ht="12.75" customHeight="1" x14ac:dyDescent="0.25">
      <c r="A55" s="52"/>
      <c r="B55" s="532" t="s">
        <v>416</v>
      </c>
      <c r="C55" s="501"/>
      <c r="D55" s="501"/>
      <c r="E55" s="501"/>
      <c r="F55" s="501"/>
      <c r="G55" s="502"/>
      <c r="H55" s="369">
        <f>SUM(H46:H54)</f>
        <v>89100.000000000015</v>
      </c>
      <c r="I55" s="4"/>
      <c r="J55" s="371">
        <f t="shared" ref="J55:Q55" si="48">SUM(J46:J54)</f>
        <v>0</v>
      </c>
      <c r="K55" s="367">
        <f t="shared" si="48"/>
        <v>0</v>
      </c>
      <c r="L55" s="367">
        <f t="shared" si="48"/>
        <v>0</v>
      </c>
      <c r="M55" s="372">
        <f t="shared" si="48"/>
        <v>9</v>
      </c>
      <c r="N55" s="372">
        <f t="shared" si="48"/>
        <v>0</v>
      </c>
      <c r="O55" s="372">
        <f t="shared" si="48"/>
        <v>0</v>
      </c>
      <c r="P55" s="372">
        <f t="shared" si="48"/>
        <v>0</v>
      </c>
      <c r="Q55" s="372">
        <f t="shared" si="48"/>
        <v>89100.000000000015</v>
      </c>
      <c r="R55" s="373">
        <f>(SUM(R46:R54)/COUNT(R46:R54))</f>
        <v>0</v>
      </c>
      <c r="S55" s="4"/>
      <c r="T55" s="4"/>
      <c r="U55" s="4"/>
      <c r="V55" s="4"/>
      <c r="W55" s="4"/>
      <c r="X55" s="4"/>
      <c r="Y55" s="4"/>
      <c r="AL55" s="360"/>
      <c r="AM55" s="499"/>
      <c r="AN55" s="373"/>
      <c r="AO55" s="373"/>
      <c r="AP55" s="373"/>
      <c r="AQ55" s="373"/>
      <c r="AR55" s="373"/>
      <c r="AS55" s="373"/>
      <c r="AT55" s="373"/>
      <c r="AU55" s="373"/>
    </row>
    <row r="56" spans="1:47" ht="12.75" customHeight="1" x14ac:dyDescent="0.25">
      <c r="A56" s="375"/>
      <c r="B56" s="533" t="s">
        <v>417</v>
      </c>
      <c r="C56" s="501"/>
      <c r="D56" s="501"/>
      <c r="E56" s="501"/>
      <c r="F56" s="501"/>
      <c r="G56" s="502"/>
      <c r="H56" s="376">
        <f>SUM(H34,H44,H55)</f>
        <v>1561707.2000000002</v>
      </c>
      <c r="I56" s="377"/>
      <c r="J56" s="297">
        <f t="shared" ref="J56:Q56" si="49">SUM(J55,J44,J34)</f>
        <v>0</v>
      </c>
      <c r="K56" s="298">
        <f t="shared" si="49"/>
        <v>10.5</v>
      </c>
      <c r="L56" s="298">
        <f t="shared" si="49"/>
        <v>10.5</v>
      </c>
      <c r="M56" s="299">
        <f t="shared" si="49"/>
        <v>45.5</v>
      </c>
      <c r="N56" s="299">
        <f t="shared" si="49"/>
        <v>0</v>
      </c>
      <c r="O56" s="299">
        <f t="shared" si="49"/>
        <v>241863.6</v>
      </c>
      <c r="P56" s="299">
        <f t="shared" si="49"/>
        <v>241863.6</v>
      </c>
      <c r="Q56" s="299">
        <f t="shared" si="49"/>
        <v>1319843.6000000001</v>
      </c>
      <c r="R56" s="300">
        <f>SUM(R55,R44,R34)/3</f>
        <v>4.7619047619047616E-2</v>
      </c>
      <c r="S56" s="378"/>
      <c r="T56" s="379"/>
      <c r="U56" s="379"/>
      <c r="V56" s="379"/>
      <c r="W56" s="379"/>
      <c r="X56" s="379"/>
      <c r="Y56" s="379"/>
      <c r="AL56" s="360"/>
      <c r="AM56" s="499"/>
      <c r="AN56" s="300">
        <f t="shared" ref="AN56:AU56" si="50">SUM(AN55,AN44,AN34)/3</f>
        <v>0</v>
      </c>
      <c r="AO56" s="300">
        <f t="shared" si="50"/>
        <v>0.54761904761904756</v>
      </c>
      <c r="AP56" s="300">
        <f t="shared" si="50"/>
        <v>0</v>
      </c>
      <c r="AQ56" s="300">
        <f t="shared" si="50"/>
        <v>0</v>
      </c>
      <c r="AR56" s="300">
        <f t="shared" si="50"/>
        <v>0</v>
      </c>
      <c r="AS56" s="300">
        <f t="shared" si="50"/>
        <v>0</v>
      </c>
      <c r="AT56" s="300">
        <f t="shared" si="50"/>
        <v>0</v>
      </c>
      <c r="AU56" s="300">
        <f t="shared" si="50"/>
        <v>0</v>
      </c>
    </row>
    <row r="57" spans="1:47" ht="12.75" customHeight="1" x14ac:dyDescent="0.25">
      <c r="A57" s="380" t="s">
        <v>31</v>
      </c>
      <c r="B57" s="381" t="s">
        <v>418</v>
      </c>
      <c r="C57" s="382"/>
      <c r="D57" s="382"/>
      <c r="E57" s="383"/>
      <c r="F57" s="383"/>
      <c r="G57" s="383"/>
      <c r="H57" s="383"/>
      <c r="I57" s="19"/>
      <c r="J57" s="384"/>
      <c r="K57" s="385"/>
      <c r="L57" s="385"/>
      <c r="M57" s="385"/>
      <c r="N57" s="385"/>
      <c r="O57" s="385"/>
      <c r="P57" s="385"/>
      <c r="Q57" s="385"/>
      <c r="R57" s="386"/>
      <c r="S57" s="19"/>
      <c r="T57" s="19"/>
      <c r="U57" s="19"/>
      <c r="V57" s="19"/>
      <c r="W57" s="19"/>
      <c r="X57" s="19"/>
      <c r="Y57" s="19"/>
      <c r="Z57" s="387"/>
      <c r="AA57" s="387"/>
      <c r="AB57" s="387"/>
      <c r="AC57" s="387"/>
      <c r="AD57" s="387"/>
      <c r="AE57" s="387"/>
      <c r="AF57" s="387"/>
      <c r="AG57" s="387"/>
      <c r="AH57" s="387"/>
      <c r="AI57" s="387"/>
      <c r="AJ57" s="387"/>
      <c r="AK57" s="387"/>
      <c r="AL57" s="388"/>
      <c r="AM57" s="499"/>
      <c r="AN57" s="386"/>
      <c r="AO57" s="386"/>
      <c r="AP57" s="386"/>
      <c r="AQ57" s="386"/>
      <c r="AR57" s="386"/>
      <c r="AS57" s="386"/>
      <c r="AT57" s="386"/>
      <c r="AU57" s="386"/>
    </row>
    <row r="58" spans="1:47" ht="12.75" customHeight="1" x14ac:dyDescent="0.25">
      <c r="A58" s="32" t="s">
        <v>419</v>
      </c>
      <c r="B58" s="374" t="s">
        <v>420</v>
      </c>
      <c r="C58" s="32">
        <v>4</v>
      </c>
      <c r="D58" s="32" t="s">
        <v>348</v>
      </c>
      <c r="E58" s="34" t="s">
        <v>421</v>
      </c>
      <c r="F58" s="34">
        <v>1500</v>
      </c>
      <c r="G58" s="203">
        <f t="shared" ref="G58:G65" si="51">SUM(E58,F58)</f>
        <v>1500</v>
      </c>
      <c r="H58" s="203">
        <f t="shared" ref="H58:H65" si="52">G58*C58</f>
        <v>6000</v>
      </c>
      <c r="I58" s="4"/>
      <c r="J58" s="287">
        <f t="shared" ref="J58:J65" si="53">SUM(T58:AA58)</f>
        <v>0</v>
      </c>
      <c r="K58" s="288">
        <f t="shared" ref="K58:K65" si="54">C58*R58</f>
        <v>0</v>
      </c>
      <c r="L58" s="288">
        <f t="shared" ref="L58:L65" si="55">SUM(J58:K58)</f>
        <v>0</v>
      </c>
      <c r="M58" s="289">
        <f t="shared" ref="M58:M65" si="56">C58-L58</f>
        <v>4</v>
      </c>
      <c r="N58" s="289">
        <f t="shared" ref="N58:N65" si="57">SUM(AC58:AJ58)</f>
        <v>0</v>
      </c>
      <c r="O58" s="289">
        <f t="shared" ref="O58:O65" si="58">R58*H58</f>
        <v>0</v>
      </c>
      <c r="P58" s="289">
        <f t="shared" ref="P58:P65" si="59">SUM(N58:O58)</f>
        <v>0</v>
      </c>
      <c r="Q58" s="289">
        <f t="shared" ref="Q58:Q65" si="60">H58-P58</f>
        <v>6000</v>
      </c>
      <c r="R58" s="290">
        <f t="shared" ref="R58:R65" si="61">SUM(AL58)</f>
        <v>0</v>
      </c>
      <c r="S58" s="4"/>
      <c r="T58" s="4"/>
      <c r="U58" s="4"/>
      <c r="V58" s="4"/>
      <c r="W58" s="4"/>
      <c r="X58" s="4"/>
      <c r="Y58" s="4"/>
      <c r="AL58" s="360"/>
      <c r="AM58" s="499"/>
      <c r="AN58" s="290"/>
      <c r="AO58" s="290"/>
      <c r="AP58" s="290"/>
      <c r="AQ58" s="290"/>
      <c r="AR58" s="290"/>
      <c r="AS58" s="290"/>
      <c r="AT58" s="290"/>
      <c r="AU58" s="290"/>
    </row>
    <row r="59" spans="1:47" ht="12.75" customHeight="1" x14ac:dyDescent="0.25">
      <c r="A59" s="32" t="s">
        <v>422</v>
      </c>
      <c r="B59" s="374" t="s">
        <v>423</v>
      </c>
      <c r="C59" s="32">
        <v>6</v>
      </c>
      <c r="D59" s="32" t="s">
        <v>348</v>
      </c>
      <c r="E59" s="34" t="s">
        <v>421</v>
      </c>
      <c r="F59" s="34">
        <v>3000</v>
      </c>
      <c r="G59" s="203">
        <f t="shared" si="51"/>
        <v>3000</v>
      </c>
      <c r="H59" s="203">
        <f t="shared" si="52"/>
        <v>18000</v>
      </c>
      <c r="I59" s="4"/>
      <c r="J59" s="287">
        <f t="shared" si="53"/>
        <v>0</v>
      </c>
      <c r="K59" s="288">
        <f t="shared" si="54"/>
        <v>0</v>
      </c>
      <c r="L59" s="288">
        <f t="shared" si="55"/>
        <v>0</v>
      </c>
      <c r="M59" s="289">
        <f t="shared" si="56"/>
        <v>6</v>
      </c>
      <c r="N59" s="289">
        <f t="shared" si="57"/>
        <v>0</v>
      </c>
      <c r="O59" s="289">
        <f t="shared" si="58"/>
        <v>0</v>
      </c>
      <c r="P59" s="289">
        <f t="shared" si="59"/>
        <v>0</v>
      </c>
      <c r="Q59" s="289">
        <f t="shared" si="60"/>
        <v>18000</v>
      </c>
      <c r="R59" s="290">
        <f t="shared" si="61"/>
        <v>0</v>
      </c>
      <c r="S59" s="4"/>
      <c r="T59" s="4"/>
      <c r="U59" s="4"/>
      <c r="V59" s="4"/>
      <c r="W59" s="4"/>
      <c r="X59" s="4"/>
      <c r="Y59" s="4"/>
      <c r="AL59" s="360"/>
      <c r="AM59" s="499"/>
      <c r="AN59" s="290"/>
      <c r="AO59" s="290"/>
      <c r="AP59" s="290"/>
      <c r="AQ59" s="290"/>
      <c r="AR59" s="290"/>
      <c r="AS59" s="290"/>
      <c r="AT59" s="290"/>
      <c r="AU59" s="290"/>
    </row>
    <row r="60" spans="1:47" ht="12.75" customHeight="1" x14ac:dyDescent="0.25">
      <c r="A60" s="32" t="s">
        <v>424</v>
      </c>
      <c r="B60" s="374" t="s">
        <v>425</v>
      </c>
      <c r="C60" s="32">
        <v>2</v>
      </c>
      <c r="D60" s="32" t="s">
        <v>348</v>
      </c>
      <c r="E60" s="34" t="s">
        <v>421</v>
      </c>
      <c r="F60" s="34">
        <v>4000</v>
      </c>
      <c r="G60" s="203">
        <f t="shared" si="51"/>
        <v>4000</v>
      </c>
      <c r="H60" s="203">
        <f t="shared" si="52"/>
        <v>8000</v>
      </c>
      <c r="I60" s="4"/>
      <c r="J60" s="287">
        <f t="shared" si="53"/>
        <v>0</v>
      </c>
      <c r="K60" s="288">
        <f t="shared" si="54"/>
        <v>0</v>
      </c>
      <c r="L60" s="288">
        <f t="shared" si="55"/>
        <v>0</v>
      </c>
      <c r="M60" s="289">
        <f t="shared" si="56"/>
        <v>2</v>
      </c>
      <c r="N60" s="289">
        <f t="shared" si="57"/>
        <v>0</v>
      </c>
      <c r="O60" s="289">
        <f t="shared" si="58"/>
        <v>0</v>
      </c>
      <c r="P60" s="289">
        <f t="shared" si="59"/>
        <v>0</v>
      </c>
      <c r="Q60" s="289">
        <f t="shared" si="60"/>
        <v>8000</v>
      </c>
      <c r="R60" s="290">
        <f t="shared" si="61"/>
        <v>0</v>
      </c>
      <c r="S60" s="4"/>
      <c r="T60" s="4"/>
      <c r="U60" s="4"/>
      <c r="V60" s="4"/>
      <c r="W60" s="4"/>
      <c r="X60" s="4"/>
      <c r="Y60" s="4"/>
      <c r="AL60" s="360"/>
      <c r="AM60" s="499"/>
      <c r="AN60" s="290">
        <v>0</v>
      </c>
      <c r="AO60" s="290">
        <v>0</v>
      </c>
      <c r="AP60" s="290">
        <v>0</v>
      </c>
      <c r="AQ60" s="290">
        <v>0</v>
      </c>
      <c r="AR60" s="290">
        <v>0</v>
      </c>
      <c r="AS60" s="290">
        <v>0</v>
      </c>
      <c r="AT60" s="290">
        <v>0</v>
      </c>
      <c r="AU60" s="290">
        <v>0</v>
      </c>
    </row>
    <row r="61" spans="1:47" ht="12.75" customHeight="1" x14ac:dyDescent="0.25">
      <c r="A61" s="32" t="s">
        <v>426</v>
      </c>
      <c r="B61" s="374" t="s">
        <v>427</v>
      </c>
      <c r="C61" s="32">
        <v>2</v>
      </c>
      <c r="D61" s="32" t="s">
        <v>348</v>
      </c>
      <c r="E61" s="34" t="s">
        <v>421</v>
      </c>
      <c r="F61" s="34">
        <v>2000</v>
      </c>
      <c r="G61" s="203">
        <f t="shared" si="51"/>
        <v>2000</v>
      </c>
      <c r="H61" s="203">
        <f t="shared" si="52"/>
        <v>4000</v>
      </c>
      <c r="I61" s="4"/>
      <c r="J61" s="287">
        <f t="shared" si="53"/>
        <v>0</v>
      </c>
      <c r="K61" s="288">
        <f t="shared" si="54"/>
        <v>0</v>
      </c>
      <c r="L61" s="288">
        <f t="shared" si="55"/>
        <v>0</v>
      </c>
      <c r="M61" s="289">
        <f t="shared" si="56"/>
        <v>2</v>
      </c>
      <c r="N61" s="289">
        <f t="shared" si="57"/>
        <v>0</v>
      </c>
      <c r="O61" s="289">
        <f t="shared" si="58"/>
        <v>0</v>
      </c>
      <c r="P61" s="289">
        <f t="shared" si="59"/>
        <v>0</v>
      </c>
      <c r="Q61" s="289">
        <f t="shared" si="60"/>
        <v>4000</v>
      </c>
      <c r="R61" s="290">
        <f t="shared" si="61"/>
        <v>0</v>
      </c>
      <c r="S61" s="4"/>
      <c r="T61" s="4"/>
      <c r="U61" s="4"/>
      <c r="V61" s="4"/>
      <c r="W61" s="4"/>
      <c r="X61" s="4"/>
      <c r="Y61" s="4"/>
      <c r="AL61" s="360"/>
      <c r="AM61" s="499"/>
      <c r="AN61" s="290"/>
      <c r="AO61" s="290"/>
      <c r="AP61" s="290"/>
      <c r="AQ61" s="290"/>
      <c r="AR61" s="290"/>
      <c r="AS61" s="290"/>
      <c r="AT61" s="290"/>
      <c r="AU61" s="290"/>
    </row>
    <row r="62" spans="1:47" ht="12.75" customHeight="1" x14ac:dyDescent="0.25">
      <c r="A62" s="32" t="s">
        <v>23</v>
      </c>
      <c r="B62" s="374" t="s">
        <v>428</v>
      </c>
      <c r="C62" s="32">
        <v>4</v>
      </c>
      <c r="D62" s="32" t="s">
        <v>348</v>
      </c>
      <c r="E62" s="34" t="s">
        <v>421</v>
      </c>
      <c r="F62" s="34">
        <v>500</v>
      </c>
      <c r="G62" s="203">
        <f t="shared" si="51"/>
        <v>500</v>
      </c>
      <c r="H62" s="203">
        <f t="shared" si="52"/>
        <v>2000</v>
      </c>
      <c r="I62" s="4"/>
      <c r="J62" s="287">
        <f t="shared" si="53"/>
        <v>0</v>
      </c>
      <c r="K62" s="288">
        <f t="shared" si="54"/>
        <v>0</v>
      </c>
      <c r="L62" s="288">
        <f t="shared" si="55"/>
        <v>0</v>
      </c>
      <c r="M62" s="289">
        <f t="shared" si="56"/>
        <v>4</v>
      </c>
      <c r="N62" s="289">
        <f t="shared" si="57"/>
        <v>0</v>
      </c>
      <c r="O62" s="289">
        <f t="shared" si="58"/>
        <v>0</v>
      </c>
      <c r="P62" s="289">
        <f t="shared" si="59"/>
        <v>0</v>
      </c>
      <c r="Q62" s="289">
        <f t="shared" si="60"/>
        <v>2000</v>
      </c>
      <c r="R62" s="290">
        <f t="shared" si="61"/>
        <v>0</v>
      </c>
      <c r="S62" s="4"/>
      <c r="T62" s="4"/>
      <c r="U62" s="4"/>
      <c r="V62" s="4"/>
      <c r="W62" s="4"/>
      <c r="X62" s="4"/>
      <c r="Y62" s="4"/>
      <c r="AL62" s="360"/>
      <c r="AM62" s="499"/>
      <c r="AN62" s="290"/>
      <c r="AO62" s="290"/>
      <c r="AP62" s="290"/>
      <c r="AQ62" s="290"/>
      <c r="AR62" s="290"/>
      <c r="AS62" s="290"/>
      <c r="AT62" s="290"/>
      <c r="AU62" s="290"/>
    </row>
    <row r="63" spans="1:47" ht="12.75" customHeight="1" x14ac:dyDescent="0.25">
      <c r="A63" s="32" t="s">
        <v>429</v>
      </c>
      <c r="B63" s="374" t="s">
        <v>430</v>
      </c>
      <c r="C63" s="32">
        <v>5</v>
      </c>
      <c r="D63" s="32" t="s">
        <v>348</v>
      </c>
      <c r="E63" s="34" t="s">
        <v>421</v>
      </c>
      <c r="F63" s="34">
        <v>500</v>
      </c>
      <c r="G63" s="203">
        <f t="shared" si="51"/>
        <v>500</v>
      </c>
      <c r="H63" s="203">
        <f t="shared" si="52"/>
        <v>2500</v>
      </c>
      <c r="I63" s="4"/>
      <c r="J63" s="287">
        <f t="shared" si="53"/>
        <v>0</v>
      </c>
      <c r="K63" s="288">
        <f t="shared" si="54"/>
        <v>0</v>
      </c>
      <c r="L63" s="288">
        <f t="shared" si="55"/>
        <v>0</v>
      </c>
      <c r="M63" s="289">
        <f t="shared" si="56"/>
        <v>5</v>
      </c>
      <c r="N63" s="289">
        <f t="shared" si="57"/>
        <v>0</v>
      </c>
      <c r="O63" s="289">
        <f t="shared" si="58"/>
        <v>0</v>
      </c>
      <c r="P63" s="289">
        <f t="shared" si="59"/>
        <v>0</v>
      </c>
      <c r="Q63" s="289">
        <f t="shared" si="60"/>
        <v>2500</v>
      </c>
      <c r="R63" s="290">
        <f t="shared" si="61"/>
        <v>0</v>
      </c>
      <c r="S63" s="4"/>
      <c r="T63" s="4"/>
      <c r="U63" s="4"/>
      <c r="V63" s="4"/>
      <c r="W63" s="4"/>
      <c r="X63" s="4"/>
      <c r="Y63" s="4"/>
      <c r="AL63" s="360"/>
      <c r="AM63" s="499"/>
      <c r="AN63" s="290"/>
      <c r="AO63" s="290"/>
      <c r="AP63" s="290"/>
      <c r="AQ63" s="290"/>
      <c r="AR63" s="290"/>
      <c r="AS63" s="290"/>
      <c r="AT63" s="290"/>
      <c r="AU63" s="290"/>
    </row>
    <row r="64" spans="1:47" ht="12.75" customHeight="1" x14ac:dyDescent="0.25">
      <c r="A64" s="32" t="s">
        <v>431</v>
      </c>
      <c r="B64" s="374" t="s">
        <v>432</v>
      </c>
      <c r="C64" s="32">
        <v>2</v>
      </c>
      <c r="D64" s="32" t="s">
        <v>348</v>
      </c>
      <c r="E64" s="34" t="s">
        <v>421</v>
      </c>
      <c r="F64" s="34">
        <v>500</v>
      </c>
      <c r="G64" s="203">
        <f t="shared" si="51"/>
        <v>500</v>
      </c>
      <c r="H64" s="203">
        <f t="shared" si="52"/>
        <v>1000</v>
      </c>
      <c r="I64" s="4"/>
      <c r="J64" s="287">
        <f t="shared" si="53"/>
        <v>0</v>
      </c>
      <c r="K64" s="288">
        <f t="shared" si="54"/>
        <v>0</v>
      </c>
      <c r="L64" s="288">
        <f t="shared" si="55"/>
        <v>0</v>
      </c>
      <c r="M64" s="289">
        <f t="shared" si="56"/>
        <v>2</v>
      </c>
      <c r="N64" s="289">
        <f t="shared" si="57"/>
        <v>0</v>
      </c>
      <c r="O64" s="289">
        <f t="shared" si="58"/>
        <v>0</v>
      </c>
      <c r="P64" s="289">
        <f t="shared" si="59"/>
        <v>0</v>
      </c>
      <c r="Q64" s="289">
        <f t="shared" si="60"/>
        <v>1000</v>
      </c>
      <c r="R64" s="290">
        <f t="shared" si="61"/>
        <v>0</v>
      </c>
      <c r="S64" s="4"/>
      <c r="T64" s="4"/>
      <c r="U64" s="4"/>
      <c r="V64" s="4"/>
      <c r="W64" s="4"/>
      <c r="X64" s="4"/>
      <c r="Y64" s="4"/>
      <c r="AL64" s="360"/>
      <c r="AM64" s="499"/>
      <c r="AN64" s="290"/>
      <c r="AO64" s="290"/>
      <c r="AP64" s="290"/>
      <c r="AQ64" s="290"/>
      <c r="AR64" s="290"/>
      <c r="AS64" s="290"/>
      <c r="AT64" s="290"/>
      <c r="AU64" s="290"/>
    </row>
    <row r="65" spans="1:47" ht="12.75" customHeight="1" x14ac:dyDescent="0.25">
      <c r="A65" s="32" t="s">
        <v>433</v>
      </c>
      <c r="B65" s="374" t="s">
        <v>434</v>
      </c>
      <c r="C65" s="32">
        <v>10</v>
      </c>
      <c r="D65" s="32" t="s">
        <v>348</v>
      </c>
      <c r="E65" s="34" t="s">
        <v>421</v>
      </c>
      <c r="F65" s="34">
        <v>1500</v>
      </c>
      <c r="G65" s="203">
        <f t="shared" si="51"/>
        <v>1500</v>
      </c>
      <c r="H65" s="203">
        <f t="shared" si="52"/>
        <v>15000</v>
      </c>
      <c r="I65" s="4"/>
      <c r="J65" s="287">
        <f t="shared" si="53"/>
        <v>0</v>
      </c>
      <c r="K65" s="288">
        <f t="shared" si="54"/>
        <v>0</v>
      </c>
      <c r="L65" s="288">
        <f t="shared" si="55"/>
        <v>0</v>
      </c>
      <c r="M65" s="289">
        <f t="shared" si="56"/>
        <v>10</v>
      </c>
      <c r="N65" s="289">
        <f t="shared" si="57"/>
        <v>0</v>
      </c>
      <c r="O65" s="289">
        <f t="shared" si="58"/>
        <v>0</v>
      </c>
      <c r="P65" s="289">
        <f t="shared" si="59"/>
        <v>0</v>
      </c>
      <c r="Q65" s="289">
        <f t="shared" si="60"/>
        <v>15000</v>
      </c>
      <c r="R65" s="290">
        <f t="shared" si="61"/>
        <v>0</v>
      </c>
      <c r="S65" s="4"/>
      <c r="T65" s="4"/>
      <c r="U65" s="4"/>
      <c r="V65" s="4"/>
      <c r="W65" s="4"/>
      <c r="X65" s="4"/>
      <c r="Y65" s="4"/>
      <c r="AL65" s="360"/>
      <c r="AM65" s="499"/>
      <c r="AN65" s="290"/>
      <c r="AO65" s="290"/>
      <c r="AP65" s="290"/>
      <c r="AQ65" s="290"/>
      <c r="AR65" s="290"/>
      <c r="AS65" s="290"/>
      <c r="AT65" s="290"/>
      <c r="AU65" s="290"/>
    </row>
    <row r="66" spans="1:47" ht="12.75" customHeight="1" x14ac:dyDescent="0.25">
      <c r="A66" s="389"/>
      <c r="B66" s="531" t="s">
        <v>435</v>
      </c>
      <c r="C66" s="508"/>
      <c r="D66" s="508"/>
      <c r="E66" s="508"/>
      <c r="F66" s="508"/>
      <c r="G66" s="491"/>
      <c r="H66" s="390">
        <f>SUM(H58:H65)</f>
        <v>56500</v>
      </c>
      <c r="I66" s="4"/>
      <c r="J66" s="391">
        <f t="shared" ref="J66:Q66" si="62">SUM(J58:J65)</f>
        <v>0</v>
      </c>
      <c r="K66" s="392">
        <f t="shared" si="62"/>
        <v>0</v>
      </c>
      <c r="L66" s="392">
        <f t="shared" si="62"/>
        <v>0</v>
      </c>
      <c r="M66" s="393">
        <f t="shared" si="62"/>
        <v>35</v>
      </c>
      <c r="N66" s="393">
        <f t="shared" si="62"/>
        <v>0</v>
      </c>
      <c r="O66" s="393">
        <f t="shared" si="62"/>
        <v>0</v>
      </c>
      <c r="P66" s="393">
        <f t="shared" si="62"/>
        <v>0</v>
      </c>
      <c r="Q66" s="393">
        <f t="shared" si="62"/>
        <v>56500</v>
      </c>
      <c r="R66" s="394">
        <f>SUM(R58:R65)/COUNT(R58:R65)</f>
        <v>0</v>
      </c>
      <c r="S66" s="4"/>
      <c r="T66" s="4"/>
      <c r="U66" s="4"/>
      <c r="V66" s="4"/>
      <c r="W66" s="4"/>
      <c r="X66" s="4"/>
      <c r="Y66" s="4"/>
      <c r="AL66" s="360"/>
      <c r="AM66" s="499"/>
      <c r="AN66" s="394">
        <f t="shared" ref="AN66:AU66" si="63">SUM(AN58:AN65)/COUNT(AN58:AN65)</f>
        <v>0</v>
      </c>
      <c r="AO66" s="394">
        <f t="shared" si="63"/>
        <v>0</v>
      </c>
      <c r="AP66" s="394">
        <f t="shared" si="63"/>
        <v>0</v>
      </c>
      <c r="AQ66" s="394">
        <f t="shared" si="63"/>
        <v>0</v>
      </c>
      <c r="AR66" s="394">
        <f t="shared" si="63"/>
        <v>0</v>
      </c>
      <c r="AS66" s="394">
        <f t="shared" si="63"/>
        <v>0</v>
      </c>
      <c r="AT66" s="394">
        <f t="shared" si="63"/>
        <v>0</v>
      </c>
      <c r="AU66" s="394">
        <f t="shared" si="63"/>
        <v>0</v>
      </c>
    </row>
    <row r="67" spans="1:47" ht="12.75" customHeight="1" x14ac:dyDescent="0.25">
      <c r="A67" s="1"/>
      <c r="B67" s="115"/>
      <c r="C67" s="1"/>
      <c r="D67" s="1"/>
      <c r="E67" s="2"/>
      <c r="F67" s="2"/>
      <c r="G67" s="2"/>
      <c r="H67" s="2"/>
      <c r="I67" s="115"/>
      <c r="J67" s="9"/>
      <c r="K67" s="9"/>
      <c r="L67" s="9"/>
      <c r="M67" s="9"/>
      <c r="N67" s="9"/>
      <c r="O67" s="9"/>
      <c r="P67" s="9"/>
      <c r="Q67" s="9"/>
      <c r="R67" s="9"/>
      <c r="S67" s="4"/>
      <c r="T67" s="4"/>
      <c r="U67" s="4"/>
      <c r="V67" s="4"/>
      <c r="W67" s="4"/>
      <c r="X67" s="4"/>
      <c r="Y67" s="4"/>
      <c r="AL67" s="360"/>
      <c r="AM67" s="499"/>
    </row>
    <row r="68" spans="1:47" ht="12.75" customHeight="1" x14ac:dyDescent="0.25">
      <c r="A68" s="1"/>
      <c r="B68" s="115"/>
      <c r="C68" s="1"/>
      <c r="D68" s="1"/>
      <c r="E68" s="2"/>
      <c r="F68" s="2"/>
      <c r="G68" s="2"/>
      <c r="H68" s="2"/>
      <c r="I68" s="115"/>
      <c r="J68" s="9"/>
      <c r="K68" s="9"/>
      <c r="L68" s="9"/>
      <c r="M68" s="9"/>
      <c r="N68" s="9"/>
      <c r="O68" s="9"/>
      <c r="P68" s="9"/>
      <c r="Q68" s="9"/>
      <c r="R68" s="9"/>
      <c r="S68" s="4"/>
      <c r="T68" s="4"/>
      <c r="U68" s="4"/>
      <c r="V68" s="4"/>
      <c r="W68" s="4"/>
      <c r="X68" s="4"/>
      <c r="Y68" s="4"/>
      <c r="AL68" s="360"/>
      <c r="AM68" s="499"/>
    </row>
    <row r="69" spans="1:47" ht="12.75" customHeight="1" x14ac:dyDescent="0.25">
      <c r="A69" s="1"/>
      <c r="B69" s="115"/>
      <c r="C69" s="1"/>
      <c r="D69" s="1"/>
      <c r="E69" s="2"/>
      <c r="F69" s="2"/>
      <c r="G69" s="2"/>
      <c r="H69" s="2"/>
      <c r="I69" s="115"/>
      <c r="J69" s="9"/>
      <c r="K69" s="9"/>
      <c r="L69" s="9"/>
      <c r="M69" s="9"/>
      <c r="N69" s="9"/>
      <c r="O69" s="9"/>
      <c r="P69" s="9"/>
      <c r="Q69" s="9"/>
      <c r="R69" s="9"/>
      <c r="S69" s="4"/>
      <c r="T69" s="4"/>
      <c r="U69" s="4"/>
      <c r="V69" s="4"/>
      <c r="W69" s="4"/>
      <c r="X69" s="4"/>
      <c r="Y69" s="4"/>
      <c r="AL69" s="360"/>
      <c r="AM69" s="499"/>
    </row>
    <row r="70" spans="1:47" ht="12.75" customHeight="1" x14ac:dyDescent="0.25">
      <c r="A70" s="1"/>
      <c r="B70" s="115"/>
      <c r="C70" s="1"/>
      <c r="D70" s="1"/>
      <c r="E70" s="2"/>
      <c r="F70" s="2"/>
      <c r="G70" s="2"/>
      <c r="H70" s="2"/>
      <c r="I70" s="115"/>
      <c r="J70" s="9"/>
      <c r="K70" s="9"/>
      <c r="L70" s="9"/>
      <c r="M70" s="9"/>
      <c r="N70" s="9"/>
      <c r="O70" s="9"/>
      <c r="P70" s="9"/>
      <c r="Q70" s="9"/>
      <c r="R70" s="9"/>
      <c r="S70" s="4"/>
      <c r="T70" s="4"/>
      <c r="U70" s="4"/>
      <c r="V70" s="4"/>
      <c r="W70" s="4"/>
      <c r="X70" s="4"/>
      <c r="Y70" s="4"/>
      <c r="AL70" s="360"/>
      <c r="AM70" s="499"/>
    </row>
    <row r="71" spans="1:47" ht="12.75" customHeight="1" x14ac:dyDescent="0.25">
      <c r="A71" s="1"/>
      <c r="B71" s="115"/>
      <c r="C71" s="1"/>
      <c r="D71" s="1"/>
      <c r="E71" s="2"/>
      <c r="F71" s="2"/>
      <c r="G71" s="2"/>
      <c r="H71" s="2"/>
      <c r="I71" s="115"/>
      <c r="J71" s="9"/>
      <c r="K71" s="9"/>
      <c r="L71" s="9"/>
      <c r="M71" s="9"/>
      <c r="N71" s="9"/>
      <c r="O71" s="9"/>
      <c r="P71" s="9"/>
      <c r="Q71" s="9"/>
      <c r="R71" s="9"/>
      <c r="S71" s="4"/>
      <c r="T71" s="4"/>
      <c r="U71" s="4"/>
      <c r="V71" s="4"/>
      <c r="W71" s="4"/>
      <c r="X71" s="4"/>
      <c r="Y71" s="4"/>
      <c r="AL71" s="360"/>
      <c r="AM71" s="499"/>
    </row>
    <row r="72" spans="1:47" ht="12.75" customHeight="1" x14ac:dyDescent="0.25">
      <c r="A72" s="1"/>
      <c r="B72" s="115"/>
      <c r="C72" s="1"/>
      <c r="D72" s="1"/>
      <c r="E72" s="2"/>
      <c r="F72" s="2"/>
      <c r="G72" s="2"/>
      <c r="H72" s="2"/>
      <c r="I72" s="115"/>
      <c r="J72" s="9"/>
      <c r="K72" s="9"/>
      <c r="L72" s="9"/>
      <c r="M72" s="9"/>
      <c r="N72" s="9"/>
      <c r="O72" s="9"/>
      <c r="P72" s="9"/>
      <c r="Q72" s="9"/>
      <c r="R72" s="9"/>
      <c r="S72" s="4"/>
      <c r="T72" s="4"/>
      <c r="U72" s="4"/>
      <c r="V72" s="4"/>
      <c r="W72" s="4"/>
      <c r="X72" s="4"/>
      <c r="Y72" s="4"/>
      <c r="AL72" s="360"/>
      <c r="AM72" s="499"/>
    </row>
    <row r="73" spans="1:47" ht="12.75" customHeight="1" x14ac:dyDescent="0.25">
      <c r="A73" s="1"/>
      <c r="B73" s="115"/>
      <c r="C73" s="1"/>
      <c r="D73" s="1"/>
      <c r="E73" s="2"/>
      <c r="F73" s="2"/>
      <c r="G73" s="2"/>
      <c r="H73" s="2"/>
      <c r="I73" s="115"/>
      <c r="J73" s="9"/>
      <c r="K73" s="9"/>
      <c r="L73" s="9"/>
      <c r="M73" s="9"/>
      <c r="N73" s="9"/>
      <c r="O73" s="9"/>
      <c r="P73" s="9"/>
      <c r="Q73" s="9"/>
      <c r="R73" s="9"/>
      <c r="S73" s="4"/>
      <c r="T73" s="4"/>
      <c r="U73" s="4"/>
      <c r="V73" s="4"/>
      <c r="W73" s="4"/>
      <c r="X73" s="4"/>
      <c r="Y73" s="4"/>
      <c r="AL73" s="360"/>
      <c r="AM73" s="499"/>
    </row>
    <row r="74" spans="1:47" ht="12.75" customHeight="1" x14ac:dyDescent="0.25">
      <c r="A74" s="1"/>
      <c r="B74" s="115"/>
      <c r="C74" s="1"/>
      <c r="D74" s="1"/>
      <c r="E74" s="2"/>
      <c r="F74" s="2"/>
      <c r="G74" s="2"/>
      <c r="H74" s="2"/>
      <c r="I74" s="115"/>
      <c r="J74" s="9"/>
      <c r="K74" s="9"/>
      <c r="L74" s="9"/>
      <c r="M74" s="9"/>
      <c r="N74" s="9"/>
      <c r="O74" s="9"/>
      <c r="P74" s="9"/>
      <c r="Q74" s="9"/>
      <c r="R74" s="9"/>
      <c r="S74" s="4"/>
      <c r="T74" s="4"/>
      <c r="U74" s="4"/>
      <c r="V74" s="4"/>
      <c r="W74" s="4"/>
      <c r="X74" s="4"/>
      <c r="Y74" s="4"/>
      <c r="AL74" s="360"/>
      <c r="AM74" s="499"/>
    </row>
    <row r="75" spans="1:47" ht="12.75" customHeight="1" x14ac:dyDescent="0.25">
      <c r="A75" s="9"/>
      <c r="B75" s="4"/>
      <c r="C75" s="9"/>
      <c r="D75" s="9"/>
      <c r="E75" s="120"/>
      <c r="F75" s="120"/>
      <c r="G75" s="120"/>
      <c r="H75" s="120"/>
      <c r="I75" s="4"/>
      <c r="J75" s="9"/>
      <c r="K75" s="9"/>
      <c r="L75" s="9"/>
      <c r="M75" s="9"/>
      <c r="N75" s="9"/>
      <c r="O75" s="9"/>
      <c r="P75" s="9"/>
      <c r="Q75" s="9"/>
      <c r="R75" s="9"/>
      <c r="S75" s="4"/>
      <c r="T75" s="4"/>
      <c r="U75" s="4"/>
      <c r="V75" s="4"/>
      <c r="W75" s="4"/>
      <c r="X75" s="4"/>
      <c r="Y75" s="4"/>
      <c r="AL75" s="360"/>
      <c r="AM75" s="499"/>
    </row>
    <row r="76" spans="1:47" ht="12.75" customHeight="1" x14ac:dyDescent="0.25">
      <c r="A76" s="9"/>
      <c r="B76" s="4"/>
      <c r="C76" s="9"/>
      <c r="D76" s="9"/>
      <c r="E76" s="120"/>
      <c r="F76" s="120"/>
      <c r="G76" s="120"/>
      <c r="H76" s="120"/>
      <c r="I76" s="4"/>
      <c r="J76" s="9"/>
      <c r="K76" s="9"/>
      <c r="L76" s="9"/>
      <c r="M76" s="9"/>
      <c r="N76" s="9"/>
      <c r="O76" s="9"/>
      <c r="P76" s="9"/>
      <c r="Q76" s="9"/>
      <c r="R76" s="9"/>
      <c r="S76" s="4"/>
      <c r="T76" s="4"/>
      <c r="U76" s="4"/>
      <c r="V76" s="4"/>
      <c r="W76" s="4"/>
      <c r="X76" s="4"/>
      <c r="Y76" s="4"/>
      <c r="AL76" s="360"/>
      <c r="AM76" s="499"/>
    </row>
    <row r="77" spans="1:47" ht="12.75" customHeight="1" x14ac:dyDescent="0.25">
      <c r="A77" s="9"/>
      <c r="B77" s="4"/>
      <c r="C77" s="9"/>
      <c r="D77" s="9"/>
      <c r="E77" s="120"/>
      <c r="F77" s="120"/>
      <c r="G77" s="120"/>
      <c r="H77" s="120"/>
      <c r="I77" s="4"/>
      <c r="J77" s="9"/>
      <c r="K77" s="9"/>
      <c r="L77" s="9"/>
      <c r="M77" s="9"/>
      <c r="N77" s="9"/>
      <c r="O77" s="9"/>
      <c r="P77" s="9"/>
      <c r="Q77" s="9"/>
      <c r="R77" s="9"/>
      <c r="S77" s="4"/>
      <c r="T77" s="4"/>
      <c r="U77" s="4"/>
      <c r="V77" s="4"/>
      <c r="W77" s="4"/>
      <c r="X77" s="4"/>
      <c r="Y77" s="4"/>
      <c r="AL77" s="360"/>
      <c r="AM77" s="499"/>
    </row>
    <row r="78" spans="1:47" ht="12.75" customHeight="1" x14ac:dyDescent="0.25">
      <c r="A78" s="9"/>
      <c r="B78" s="4"/>
      <c r="C78" s="9"/>
      <c r="D78" s="9"/>
      <c r="E78" s="120"/>
      <c r="F78" s="120"/>
      <c r="G78" s="120"/>
      <c r="H78" s="120"/>
      <c r="I78" s="4"/>
      <c r="J78" s="9"/>
      <c r="K78" s="9"/>
      <c r="L78" s="9"/>
      <c r="M78" s="9"/>
      <c r="N78" s="9"/>
      <c r="O78" s="9"/>
      <c r="P78" s="9"/>
      <c r="Q78" s="9"/>
      <c r="R78" s="9"/>
      <c r="S78" s="4"/>
      <c r="T78" s="4"/>
      <c r="U78" s="4"/>
      <c r="V78" s="4"/>
      <c r="W78" s="4"/>
      <c r="X78" s="4"/>
      <c r="Y78" s="4"/>
      <c r="AL78" s="360"/>
      <c r="AM78" s="499"/>
    </row>
    <row r="79" spans="1:47" ht="12.75" customHeight="1" x14ac:dyDescent="0.25">
      <c r="A79" s="9"/>
      <c r="B79" s="4"/>
      <c r="C79" s="9"/>
      <c r="D79" s="9"/>
      <c r="E79" s="120"/>
      <c r="F79" s="120"/>
      <c r="G79" s="120"/>
      <c r="H79" s="120"/>
      <c r="I79" s="4"/>
      <c r="J79" s="9"/>
      <c r="K79" s="9"/>
      <c r="L79" s="9"/>
      <c r="M79" s="9"/>
      <c r="N79" s="9"/>
      <c r="O79" s="9"/>
      <c r="P79" s="9"/>
      <c r="Q79" s="9"/>
      <c r="R79" s="9"/>
      <c r="S79" s="4"/>
      <c r="T79" s="4"/>
      <c r="U79" s="4"/>
      <c r="V79" s="4"/>
      <c r="W79" s="4"/>
      <c r="X79" s="4"/>
      <c r="Y79" s="4"/>
      <c r="AL79" s="360"/>
      <c r="AM79" s="499"/>
    </row>
    <row r="80" spans="1:47" ht="12.75" customHeight="1" x14ac:dyDescent="0.25">
      <c r="A80" s="9"/>
      <c r="B80" s="4"/>
      <c r="C80" s="9"/>
      <c r="D80" s="9"/>
      <c r="E80" s="120"/>
      <c r="F80" s="120"/>
      <c r="G80" s="120"/>
      <c r="H80" s="120"/>
      <c r="I80" s="4"/>
      <c r="J80" s="9"/>
      <c r="K80" s="9"/>
      <c r="L80" s="9"/>
      <c r="M80" s="9"/>
      <c r="N80" s="9"/>
      <c r="O80" s="9"/>
      <c r="P80" s="9"/>
      <c r="Q80" s="9"/>
      <c r="R80" s="9"/>
      <c r="S80" s="4"/>
      <c r="T80" s="4"/>
      <c r="U80" s="4"/>
      <c r="V80" s="4"/>
      <c r="W80" s="4"/>
      <c r="X80" s="4"/>
      <c r="Y80" s="4"/>
      <c r="AL80" s="360"/>
      <c r="AM80" s="499"/>
    </row>
    <row r="81" spans="1:39" ht="12.75" customHeight="1" x14ac:dyDescent="0.25">
      <c r="A81" s="9"/>
      <c r="B81" s="4"/>
      <c r="C81" s="9"/>
      <c r="D81" s="9"/>
      <c r="E81" s="120"/>
      <c r="F81" s="120"/>
      <c r="G81" s="120"/>
      <c r="H81" s="120"/>
      <c r="I81" s="4"/>
      <c r="J81" s="9"/>
      <c r="K81" s="9"/>
      <c r="L81" s="9"/>
      <c r="M81" s="9"/>
      <c r="N81" s="9"/>
      <c r="O81" s="9"/>
      <c r="P81" s="9"/>
      <c r="Q81" s="9"/>
      <c r="R81" s="9"/>
      <c r="S81" s="4"/>
      <c r="T81" s="4"/>
      <c r="U81" s="4"/>
      <c r="V81" s="4"/>
      <c r="W81" s="4"/>
      <c r="X81" s="4"/>
      <c r="Y81" s="4"/>
      <c r="AL81" s="360"/>
      <c r="AM81" s="499"/>
    </row>
    <row r="82" spans="1:39" ht="12.75" customHeight="1" x14ac:dyDescent="0.25">
      <c r="A82" s="9"/>
      <c r="B82" s="4"/>
      <c r="C82" s="9"/>
      <c r="D82" s="9"/>
      <c r="E82" s="120"/>
      <c r="F82" s="120"/>
      <c r="G82" s="120"/>
      <c r="H82" s="120"/>
      <c r="I82" s="4"/>
      <c r="J82" s="9"/>
      <c r="K82" s="9"/>
      <c r="L82" s="9"/>
      <c r="M82" s="9"/>
      <c r="N82" s="9"/>
      <c r="O82" s="9"/>
      <c r="P82" s="9"/>
      <c r="Q82" s="9"/>
      <c r="R82" s="9"/>
      <c r="S82" s="4"/>
      <c r="T82" s="4"/>
      <c r="U82" s="4"/>
      <c r="V82" s="4"/>
      <c r="W82" s="4"/>
      <c r="X82" s="4"/>
      <c r="Y82" s="4"/>
      <c r="AL82" s="360"/>
      <c r="AM82" s="499"/>
    </row>
    <row r="83" spans="1:39" ht="12.75" customHeight="1" x14ac:dyDescent="0.25">
      <c r="A83" s="9"/>
      <c r="B83" s="4"/>
      <c r="C83" s="9"/>
      <c r="D83" s="9"/>
      <c r="E83" s="120"/>
      <c r="F83" s="120"/>
      <c r="G83" s="120"/>
      <c r="H83" s="120"/>
      <c r="I83" s="4"/>
      <c r="J83" s="9"/>
      <c r="K83" s="9"/>
      <c r="L83" s="9"/>
      <c r="M83" s="9"/>
      <c r="N83" s="9"/>
      <c r="O83" s="9"/>
      <c r="P83" s="9"/>
      <c r="Q83" s="9"/>
      <c r="R83" s="9"/>
      <c r="S83" s="4"/>
      <c r="T83" s="4"/>
      <c r="U83" s="4"/>
      <c r="V83" s="4"/>
      <c r="W83" s="4"/>
      <c r="X83" s="4"/>
      <c r="Y83" s="4"/>
      <c r="AL83" s="360"/>
      <c r="AM83" s="499"/>
    </row>
    <row r="84" spans="1:39" ht="12.75" customHeight="1" x14ac:dyDescent="0.25">
      <c r="A84" s="9"/>
      <c r="B84" s="4"/>
      <c r="C84" s="9"/>
      <c r="D84" s="9"/>
      <c r="E84" s="120"/>
      <c r="F84" s="120"/>
      <c r="G84" s="120"/>
      <c r="H84" s="120"/>
      <c r="I84" s="4"/>
      <c r="J84" s="9"/>
      <c r="K84" s="9"/>
      <c r="L84" s="9"/>
      <c r="M84" s="9"/>
      <c r="N84" s="9"/>
      <c r="O84" s="9"/>
      <c r="P84" s="9"/>
      <c r="Q84" s="9"/>
      <c r="R84" s="9"/>
      <c r="S84" s="4"/>
      <c r="T84" s="4"/>
      <c r="U84" s="4"/>
      <c r="V84" s="4"/>
      <c r="W84" s="4"/>
      <c r="X84" s="4"/>
      <c r="Y84" s="4"/>
      <c r="AL84" s="360"/>
      <c r="AM84" s="499"/>
    </row>
    <row r="85" spans="1:39" ht="12.75" customHeight="1" x14ac:dyDescent="0.25">
      <c r="A85" s="9"/>
      <c r="B85" s="4"/>
      <c r="C85" s="9"/>
      <c r="D85" s="9"/>
      <c r="E85" s="120"/>
      <c r="F85" s="120"/>
      <c r="G85" s="120"/>
      <c r="H85" s="120"/>
      <c r="I85" s="4"/>
      <c r="J85" s="9"/>
      <c r="K85" s="9"/>
      <c r="L85" s="9"/>
      <c r="M85" s="9"/>
      <c r="N85" s="9"/>
      <c r="O85" s="9"/>
      <c r="P85" s="9"/>
      <c r="Q85" s="9"/>
      <c r="R85" s="9"/>
      <c r="S85" s="4"/>
      <c r="T85" s="4"/>
      <c r="U85" s="4"/>
      <c r="V85" s="4"/>
      <c r="W85" s="4"/>
      <c r="X85" s="4"/>
      <c r="Y85" s="4"/>
      <c r="AL85" s="360"/>
      <c r="AM85" s="499"/>
    </row>
    <row r="86" spans="1:39" ht="12.75" customHeight="1" x14ac:dyDescent="0.25">
      <c r="A86" s="9"/>
      <c r="B86" s="4"/>
      <c r="C86" s="9"/>
      <c r="D86" s="9"/>
      <c r="E86" s="120"/>
      <c r="F86" s="120"/>
      <c r="G86" s="120"/>
      <c r="H86" s="120"/>
      <c r="I86" s="4"/>
      <c r="J86" s="9"/>
      <c r="K86" s="9"/>
      <c r="L86" s="9"/>
      <c r="M86" s="9"/>
      <c r="N86" s="9"/>
      <c r="O86" s="9"/>
      <c r="P86" s="9"/>
      <c r="Q86" s="9"/>
      <c r="R86" s="9"/>
      <c r="S86" s="4"/>
      <c r="T86" s="4"/>
      <c r="U86" s="4"/>
      <c r="V86" s="4"/>
      <c r="W86" s="4"/>
      <c r="X86" s="4"/>
      <c r="Y86" s="4"/>
      <c r="AL86" s="360"/>
      <c r="AM86" s="499"/>
    </row>
    <row r="87" spans="1:39" ht="12.75" customHeight="1" x14ac:dyDescent="0.25">
      <c r="A87" s="9"/>
      <c r="B87" s="4"/>
      <c r="C87" s="9"/>
      <c r="D87" s="9"/>
      <c r="E87" s="120"/>
      <c r="F87" s="120"/>
      <c r="G87" s="120"/>
      <c r="H87" s="120"/>
      <c r="I87" s="4"/>
      <c r="J87" s="9"/>
      <c r="K87" s="9"/>
      <c r="L87" s="9"/>
      <c r="M87" s="9"/>
      <c r="N87" s="9"/>
      <c r="O87" s="9"/>
      <c r="P87" s="9"/>
      <c r="Q87" s="9"/>
      <c r="R87" s="9"/>
      <c r="S87" s="4"/>
      <c r="T87" s="4"/>
      <c r="U87" s="4"/>
      <c r="V87" s="4"/>
      <c r="W87" s="4"/>
      <c r="X87" s="4"/>
      <c r="Y87" s="4"/>
      <c r="AL87" s="360"/>
      <c r="AM87" s="499"/>
    </row>
    <row r="88" spans="1:39" ht="12.75" customHeight="1" x14ac:dyDescent="0.25">
      <c r="A88" s="9"/>
      <c r="B88" s="4"/>
      <c r="C88" s="9"/>
      <c r="D88" s="9"/>
      <c r="E88" s="120"/>
      <c r="F88" s="120"/>
      <c r="G88" s="120"/>
      <c r="H88" s="120"/>
      <c r="I88" s="4"/>
      <c r="J88" s="9"/>
      <c r="K88" s="9"/>
      <c r="L88" s="9"/>
      <c r="M88" s="9"/>
      <c r="N88" s="9"/>
      <c r="O88" s="9"/>
      <c r="P88" s="9"/>
      <c r="Q88" s="9"/>
      <c r="R88" s="9"/>
      <c r="S88" s="4"/>
      <c r="T88" s="4"/>
      <c r="U88" s="4"/>
      <c r="V88" s="4"/>
      <c r="W88" s="4"/>
      <c r="X88" s="4"/>
      <c r="Y88" s="4"/>
      <c r="AL88" s="360"/>
      <c r="AM88" s="499"/>
    </row>
    <row r="89" spans="1:39" ht="12.75" customHeight="1" x14ac:dyDescent="0.25">
      <c r="A89" s="9"/>
      <c r="B89" s="4"/>
      <c r="C89" s="9"/>
      <c r="D89" s="9"/>
      <c r="E89" s="120"/>
      <c r="F89" s="120"/>
      <c r="G89" s="120"/>
      <c r="H89" s="120"/>
      <c r="I89" s="4"/>
      <c r="J89" s="9"/>
      <c r="K89" s="9"/>
      <c r="L89" s="9"/>
      <c r="M89" s="9"/>
      <c r="N89" s="9"/>
      <c r="O89" s="9"/>
      <c r="P89" s="9"/>
      <c r="Q89" s="9"/>
      <c r="R89" s="9"/>
      <c r="S89" s="4"/>
      <c r="T89" s="4"/>
      <c r="U89" s="4"/>
      <c r="V89" s="4"/>
      <c r="W89" s="4"/>
      <c r="X89" s="4"/>
      <c r="Y89" s="4"/>
      <c r="AL89" s="360"/>
      <c r="AM89" s="499"/>
    </row>
    <row r="90" spans="1:39" ht="12.75" customHeight="1" x14ac:dyDescent="0.25">
      <c r="A90" s="9"/>
      <c r="B90" s="4"/>
      <c r="C90" s="9"/>
      <c r="D90" s="9"/>
      <c r="E90" s="120"/>
      <c r="F90" s="120"/>
      <c r="G90" s="120"/>
      <c r="H90" s="120"/>
      <c r="I90" s="4"/>
      <c r="J90" s="9"/>
      <c r="K90" s="9"/>
      <c r="L90" s="9"/>
      <c r="M90" s="9"/>
      <c r="N90" s="9"/>
      <c r="O90" s="9"/>
      <c r="P90" s="9"/>
      <c r="Q90" s="9"/>
      <c r="R90" s="9"/>
      <c r="S90" s="4"/>
      <c r="T90" s="4"/>
      <c r="U90" s="4"/>
      <c r="V90" s="4"/>
      <c r="W90" s="4"/>
      <c r="X90" s="4"/>
      <c r="Y90" s="4"/>
      <c r="AL90" s="360"/>
      <c r="AM90" s="499"/>
    </row>
    <row r="91" spans="1:39" ht="12.75" customHeight="1" x14ac:dyDescent="0.25">
      <c r="A91" s="9"/>
      <c r="B91" s="4"/>
      <c r="C91" s="9"/>
      <c r="D91" s="9"/>
      <c r="E91" s="120"/>
      <c r="F91" s="120"/>
      <c r="G91" s="120"/>
      <c r="H91" s="120"/>
      <c r="I91" s="4"/>
      <c r="J91" s="9"/>
      <c r="K91" s="9"/>
      <c r="L91" s="9"/>
      <c r="M91" s="9"/>
      <c r="N91" s="9"/>
      <c r="O91" s="9"/>
      <c r="P91" s="9"/>
      <c r="Q91" s="9"/>
      <c r="R91" s="9"/>
      <c r="S91" s="4"/>
      <c r="T91" s="4"/>
      <c r="U91" s="4"/>
      <c r="V91" s="4"/>
      <c r="W91" s="4"/>
      <c r="X91" s="4"/>
      <c r="Y91" s="4"/>
      <c r="AL91" s="360"/>
      <c r="AM91" s="499"/>
    </row>
    <row r="92" spans="1:39" ht="12.75" customHeight="1" x14ac:dyDescent="0.25">
      <c r="A92" s="9"/>
      <c r="B92" s="4"/>
      <c r="C92" s="9"/>
      <c r="D92" s="9"/>
      <c r="E92" s="120"/>
      <c r="F92" s="120"/>
      <c r="G92" s="120"/>
      <c r="H92" s="120"/>
      <c r="I92" s="4"/>
      <c r="J92" s="9"/>
      <c r="K92" s="9"/>
      <c r="L92" s="9"/>
      <c r="M92" s="9"/>
      <c r="N92" s="9"/>
      <c r="O92" s="9"/>
      <c r="P92" s="9"/>
      <c r="Q92" s="9"/>
      <c r="R92" s="9"/>
      <c r="S92" s="4"/>
      <c r="T92" s="4"/>
      <c r="U92" s="4"/>
      <c r="V92" s="4"/>
      <c r="W92" s="4"/>
      <c r="X92" s="4"/>
      <c r="Y92" s="4"/>
      <c r="AL92" s="360"/>
      <c r="AM92" s="499"/>
    </row>
    <row r="93" spans="1:39" ht="12.75" customHeight="1" x14ac:dyDescent="0.25">
      <c r="A93" s="9"/>
      <c r="B93" s="4"/>
      <c r="C93" s="9"/>
      <c r="D93" s="9"/>
      <c r="E93" s="120"/>
      <c r="F93" s="120"/>
      <c r="G93" s="120"/>
      <c r="H93" s="120"/>
      <c r="I93" s="4"/>
      <c r="J93" s="9"/>
      <c r="K93" s="9"/>
      <c r="L93" s="9"/>
      <c r="M93" s="9"/>
      <c r="N93" s="9"/>
      <c r="O93" s="9"/>
      <c r="P93" s="9"/>
      <c r="Q93" s="9"/>
      <c r="R93" s="9"/>
      <c r="S93" s="4"/>
      <c r="T93" s="4"/>
      <c r="U93" s="4"/>
      <c r="V93" s="4"/>
      <c r="W93" s="4"/>
      <c r="X93" s="4"/>
      <c r="Y93" s="4"/>
      <c r="AL93" s="360"/>
      <c r="AM93" s="499"/>
    </row>
    <row r="94" spans="1:39" ht="12.75" customHeight="1" x14ac:dyDescent="0.25">
      <c r="A94" s="9"/>
      <c r="B94" s="4"/>
      <c r="C94" s="9"/>
      <c r="D94" s="9"/>
      <c r="E94" s="120"/>
      <c r="F94" s="120"/>
      <c r="G94" s="120"/>
      <c r="H94" s="120"/>
      <c r="I94" s="4"/>
      <c r="J94" s="9"/>
      <c r="K94" s="9"/>
      <c r="L94" s="9"/>
      <c r="M94" s="9"/>
      <c r="N94" s="9"/>
      <c r="O94" s="9"/>
      <c r="P94" s="9"/>
      <c r="Q94" s="9"/>
      <c r="R94" s="9"/>
      <c r="S94" s="4"/>
      <c r="T94" s="4"/>
      <c r="U94" s="4"/>
      <c r="V94" s="4"/>
      <c r="W94" s="4"/>
      <c r="X94" s="4"/>
      <c r="Y94" s="4"/>
      <c r="AL94" s="360"/>
      <c r="AM94" s="499"/>
    </row>
    <row r="95" spans="1:39" ht="12.75" customHeight="1" x14ac:dyDescent="0.25">
      <c r="A95" s="9"/>
      <c r="B95" s="4"/>
      <c r="C95" s="9"/>
      <c r="D95" s="9"/>
      <c r="E95" s="120"/>
      <c r="F95" s="120"/>
      <c r="G95" s="120"/>
      <c r="H95" s="120"/>
      <c r="I95" s="4"/>
      <c r="J95" s="9"/>
      <c r="K95" s="9"/>
      <c r="L95" s="9"/>
      <c r="M95" s="9"/>
      <c r="N95" s="9"/>
      <c r="O95" s="9"/>
      <c r="P95" s="9"/>
      <c r="Q95" s="9"/>
      <c r="R95" s="9"/>
      <c r="S95" s="4"/>
      <c r="T95" s="4"/>
      <c r="U95" s="4"/>
      <c r="V95" s="4"/>
      <c r="W95" s="4"/>
      <c r="X95" s="4"/>
      <c r="Y95" s="4"/>
      <c r="AL95" s="360"/>
      <c r="AM95" s="499"/>
    </row>
    <row r="96" spans="1:39" ht="12.75" customHeight="1" x14ac:dyDescent="0.25">
      <c r="A96" s="9"/>
      <c r="B96" s="4"/>
      <c r="C96" s="9"/>
      <c r="D96" s="9"/>
      <c r="E96" s="120"/>
      <c r="F96" s="120"/>
      <c r="G96" s="120"/>
      <c r="H96" s="120"/>
      <c r="I96" s="4"/>
      <c r="J96" s="9"/>
      <c r="K96" s="9"/>
      <c r="L96" s="9"/>
      <c r="M96" s="9"/>
      <c r="N96" s="9"/>
      <c r="O96" s="9"/>
      <c r="P96" s="9"/>
      <c r="Q96" s="9"/>
      <c r="R96" s="9"/>
      <c r="S96" s="4"/>
      <c r="T96" s="4"/>
      <c r="U96" s="4"/>
      <c r="V96" s="4"/>
      <c r="W96" s="4"/>
      <c r="X96" s="4"/>
      <c r="Y96" s="4"/>
      <c r="AL96" s="360"/>
      <c r="AM96" s="499"/>
    </row>
    <row r="97" spans="1:39" ht="12.75" customHeight="1" x14ac:dyDescent="0.25">
      <c r="A97" s="9"/>
      <c r="B97" s="4"/>
      <c r="C97" s="9"/>
      <c r="D97" s="9"/>
      <c r="E97" s="120"/>
      <c r="F97" s="120"/>
      <c r="G97" s="120"/>
      <c r="H97" s="120"/>
      <c r="I97" s="4"/>
      <c r="J97" s="9"/>
      <c r="K97" s="9"/>
      <c r="L97" s="9"/>
      <c r="M97" s="9"/>
      <c r="N97" s="9"/>
      <c r="O97" s="9"/>
      <c r="P97" s="9"/>
      <c r="Q97" s="9"/>
      <c r="R97" s="9"/>
      <c r="S97" s="4"/>
      <c r="T97" s="4"/>
      <c r="U97" s="4"/>
      <c r="V97" s="4"/>
      <c r="W97" s="4"/>
      <c r="X97" s="4"/>
      <c r="Y97" s="4"/>
      <c r="AL97" s="360"/>
      <c r="AM97" s="499"/>
    </row>
    <row r="98" spans="1:39" ht="12.75" customHeight="1" x14ac:dyDescent="0.25">
      <c r="A98" s="9"/>
      <c r="B98" s="4"/>
      <c r="C98" s="9"/>
      <c r="D98" s="9"/>
      <c r="E98" s="120"/>
      <c r="F98" s="120"/>
      <c r="G98" s="120"/>
      <c r="H98" s="120"/>
      <c r="I98" s="4"/>
      <c r="J98" s="9"/>
      <c r="K98" s="9"/>
      <c r="L98" s="9"/>
      <c r="M98" s="9"/>
      <c r="N98" s="9"/>
      <c r="O98" s="9"/>
      <c r="P98" s="9"/>
      <c r="Q98" s="9"/>
      <c r="R98" s="9"/>
      <c r="S98" s="4"/>
      <c r="T98" s="4"/>
      <c r="U98" s="4"/>
      <c r="V98" s="4"/>
      <c r="W98" s="4"/>
      <c r="X98" s="4"/>
      <c r="Y98" s="4"/>
      <c r="AL98" s="360"/>
      <c r="AM98" s="499"/>
    </row>
    <row r="99" spans="1:39" ht="12.75" customHeight="1" x14ac:dyDescent="0.25">
      <c r="A99" s="9"/>
      <c r="B99" s="4"/>
      <c r="C99" s="9"/>
      <c r="D99" s="9"/>
      <c r="E99" s="120"/>
      <c r="F99" s="120"/>
      <c r="G99" s="120"/>
      <c r="H99" s="120"/>
      <c r="I99" s="4"/>
      <c r="J99" s="9"/>
      <c r="K99" s="9"/>
      <c r="L99" s="9"/>
      <c r="M99" s="9"/>
      <c r="N99" s="9"/>
      <c r="O99" s="9"/>
      <c r="P99" s="9"/>
      <c r="Q99" s="9"/>
      <c r="R99" s="9"/>
      <c r="S99" s="4"/>
      <c r="T99" s="4"/>
      <c r="U99" s="4"/>
      <c r="V99" s="4"/>
      <c r="W99" s="4"/>
      <c r="X99" s="4"/>
      <c r="Y99" s="4"/>
      <c r="AL99" s="360"/>
      <c r="AM99" s="499"/>
    </row>
    <row r="100" spans="1:39" ht="12.75" customHeight="1" x14ac:dyDescent="0.25">
      <c r="A100" s="9"/>
      <c r="B100" s="4"/>
      <c r="C100" s="9"/>
      <c r="D100" s="9"/>
      <c r="E100" s="120"/>
      <c r="F100" s="120"/>
      <c r="G100" s="120"/>
      <c r="H100" s="120"/>
      <c r="I100" s="4"/>
      <c r="J100" s="9"/>
      <c r="K100" s="9"/>
      <c r="L100" s="9"/>
      <c r="M100" s="9"/>
      <c r="N100" s="9"/>
      <c r="O100" s="9"/>
      <c r="P100" s="9"/>
      <c r="Q100" s="9"/>
      <c r="R100" s="9"/>
      <c r="S100" s="4"/>
      <c r="T100" s="4"/>
      <c r="U100" s="4"/>
      <c r="V100" s="4"/>
      <c r="W100" s="4"/>
      <c r="X100" s="4"/>
      <c r="Y100" s="4"/>
      <c r="AL100" s="360"/>
      <c r="AM100" s="499"/>
    </row>
    <row r="101" spans="1:39" ht="12.75" customHeight="1" x14ac:dyDescent="0.25">
      <c r="A101" s="9"/>
      <c r="B101" s="4"/>
      <c r="C101" s="9"/>
      <c r="D101" s="9"/>
      <c r="E101" s="120"/>
      <c r="F101" s="120"/>
      <c r="G101" s="120"/>
      <c r="H101" s="120"/>
      <c r="I101" s="4"/>
      <c r="J101" s="9"/>
      <c r="K101" s="9"/>
      <c r="L101" s="9"/>
      <c r="M101" s="9"/>
      <c r="N101" s="9"/>
      <c r="O101" s="9"/>
      <c r="P101" s="9"/>
      <c r="Q101" s="9"/>
      <c r="R101" s="9"/>
      <c r="S101" s="4"/>
      <c r="T101" s="4"/>
      <c r="U101" s="4"/>
      <c r="V101" s="4"/>
      <c r="W101" s="4"/>
      <c r="X101" s="4"/>
      <c r="Y101" s="4"/>
      <c r="AL101" s="360"/>
      <c r="AM101" s="499"/>
    </row>
    <row r="102" spans="1:39" ht="12.75" customHeight="1" x14ac:dyDescent="0.25">
      <c r="A102" s="9"/>
      <c r="B102" s="4"/>
      <c r="C102" s="9"/>
      <c r="D102" s="9"/>
      <c r="E102" s="120"/>
      <c r="F102" s="120"/>
      <c r="G102" s="120"/>
      <c r="H102" s="120"/>
      <c r="I102" s="4"/>
      <c r="J102" s="9"/>
      <c r="K102" s="9"/>
      <c r="L102" s="9"/>
      <c r="M102" s="9"/>
      <c r="N102" s="9"/>
      <c r="O102" s="9"/>
      <c r="P102" s="9"/>
      <c r="Q102" s="9"/>
      <c r="R102" s="9"/>
      <c r="S102" s="4"/>
      <c r="T102" s="4"/>
      <c r="U102" s="4"/>
      <c r="V102" s="4"/>
      <c r="W102" s="4"/>
      <c r="X102" s="4"/>
      <c r="Y102" s="4"/>
      <c r="AL102" s="360"/>
      <c r="AM102" s="499"/>
    </row>
    <row r="103" spans="1:39" ht="12.75" customHeight="1" x14ac:dyDescent="0.25">
      <c r="A103" s="9"/>
      <c r="B103" s="4"/>
      <c r="C103" s="9"/>
      <c r="D103" s="9"/>
      <c r="E103" s="120"/>
      <c r="F103" s="120"/>
      <c r="G103" s="120"/>
      <c r="H103" s="120"/>
      <c r="I103" s="4"/>
      <c r="J103" s="9"/>
      <c r="K103" s="9"/>
      <c r="L103" s="9"/>
      <c r="M103" s="9"/>
      <c r="N103" s="9"/>
      <c r="O103" s="9"/>
      <c r="P103" s="9"/>
      <c r="Q103" s="9"/>
      <c r="R103" s="9"/>
      <c r="S103" s="4"/>
      <c r="T103" s="4"/>
      <c r="U103" s="4"/>
      <c r="V103" s="4"/>
      <c r="W103" s="4"/>
      <c r="X103" s="4"/>
      <c r="Y103" s="4"/>
      <c r="AL103" s="360"/>
      <c r="AM103" s="499"/>
    </row>
    <row r="104" spans="1:39" ht="12.75" customHeight="1" x14ac:dyDescent="0.25">
      <c r="A104" s="9"/>
      <c r="B104" s="4"/>
      <c r="C104" s="9"/>
      <c r="D104" s="9"/>
      <c r="E104" s="120"/>
      <c r="F104" s="120"/>
      <c r="G104" s="120"/>
      <c r="H104" s="120"/>
      <c r="I104" s="4"/>
      <c r="J104" s="9"/>
      <c r="K104" s="9"/>
      <c r="L104" s="9"/>
      <c r="M104" s="9"/>
      <c r="N104" s="9"/>
      <c r="O104" s="9"/>
      <c r="P104" s="9"/>
      <c r="Q104" s="9"/>
      <c r="R104" s="9"/>
      <c r="S104" s="4"/>
      <c r="T104" s="4"/>
      <c r="U104" s="4"/>
      <c r="V104" s="4"/>
      <c r="W104" s="4"/>
      <c r="X104" s="4"/>
      <c r="Y104" s="4"/>
      <c r="AL104" s="360"/>
      <c r="AM104" s="499"/>
    </row>
    <row r="105" spans="1:39" ht="12.75" customHeight="1" x14ac:dyDescent="0.25">
      <c r="A105" s="9"/>
      <c r="B105" s="4"/>
      <c r="C105" s="9"/>
      <c r="D105" s="9"/>
      <c r="E105" s="120"/>
      <c r="F105" s="120"/>
      <c r="G105" s="120"/>
      <c r="H105" s="120"/>
      <c r="I105" s="4"/>
      <c r="J105" s="9"/>
      <c r="K105" s="9"/>
      <c r="L105" s="9"/>
      <c r="M105" s="9"/>
      <c r="N105" s="9"/>
      <c r="O105" s="9"/>
      <c r="P105" s="9"/>
      <c r="Q105" s="9"/>
      <c r="R105" s="9"/>
      <c r="S105" s="4"/>
      <c r="T105" s="4"/>
      <c r="U105" s="4"/>
      <c r="V105" s="4"/>
      <c r="W105" s="4"/>
      <c r="X105" s="4"/>
      <c r="Y105" s="4"/>
      <c r="AL105" s="360"/>
      <c r="AM105" s="499"/>
    </row>
    <row r="106" spans="1:39" ht="12.75" customHeight="1" x14ac:dyDescent="0.25">
      <c r="A106" s="9"/>
      <c r="B106" s="4"/>
      <c r="C106" s="9"/>
      <c r="D106" s="9"/>
      <c r="E106" s="120"/>
      <c r="F106" s="120"/>
      <c r="G106" s="120"/>
      <c r="H106" s="120"/>
      <c r="I106" s="4"/>
      <c r="J106" s="9"/>
      <c r="K106" s="9"/>
      <c r="L106" s="9"/>
      <c r="M106" s="9"/>
      <c r="N106" s="9"/>
      <c r="O106" s="9"/>
      <c r="P106" s="9"/>
      <c r="Q106" s="9"/>
      <c r="R106" s="9"/>
      <c r="S106" s="4"/>
      <c r="T106" s="4"/>
      <c r="U106" s="4"/>
      <c r="V106" s="4"/>
      <c r="W106" s="4"/>
      <c r="X106" s="4"/>
      <c r="Y106" s="4"/>
      <c r="AL106" s="360"/>
      <c r="AM106" s="499"/>
    </row>
    <row r="107" spans="1:39" ht="12.75" customHeight="1" x14ac:dyDescent="0.25">
      <c r="A107" s="9"/>
      <c r="B107" s="4"/>
      <c r="C107" s="9"/>
      <c r="D107" s="9"/>
      <c r="E107" s="120"/>
      <c r="F107" s="120"/>
      <c r="G107" s="120"/>
      <c r="H107" s="120"/>
      <c r="I107" s="4"/>
      <c r="J107" s="9"/>
      <c r="K107" s="9"/>
      <c r="L107" s="9"/>
      <c r="M107" s="9"/>
      <c r="N107" s="9"/>
      <c r="O107" s="9"/>
      <c r="P107" s="9"/>
      <c r="Q107" s="9"/>
      <c r="R107" s="9"/>
      <c r="S107" s="4"/>
      <c r="T107" s="4"/>
      <c r="U107" s="4"/>
      <c r="V107" s="4"/>
      <c r="W107" s="4"/>
      <c r="X107" s="4"/>
      <c r="Y107" s="4"/>
      <c r="AL107" s="360"/>
      <c r="AM107" s="499"/>
    </row>
    <row r="108" spans="1:39" ht="12.75" customHeight="1" x14ac:dyDescent="0.25">
      <c r="A108" s="9"/>
      <c r="B108" s="4"/>
      <c r="C108" s="9"/>
      <c r="D108" s="9"/>
      <c r="E108" s="120"/>
      <c r="F108" s="120"/>
      <c r="G108" s="120"/>
      <c r="H108" s="120"/>
      <c r="I108" s="4"/>
      <c r="J108" s="9"/>
      <c r="K108" s="9"/>
      <c r="L108" s="9"/>
      <c r="M108" s="9"/>
      <c r="N108" s="9"/>
      <c r="O108" s="9"/>
      <c r="P108" s="9"/>
      <c r="Q108" s="9"/>
      <c r="R108" s="9"/>
      <c r="S108" s="4"/>
      <c r="T108" s="4"/>
      <c r="U108" s="4"/>
      <c r="V108" s="4"/>
      <c r="W108" s="4"/>
      <c r="X108" s="4"/>
      <c r="Y108" s="4"/>
      <c r="AL108" s="360"/>
      <c r="AM108" s="499"/>
    </row>
    <row r="109" spans="1:39" ht="12.75" customHeight="1" x14ac:dyDescent="0.25">
      <c r="A109" s="9"/>
      <c r="B109" s="4"/>
      <c r="C109" s="9"/>
      <c r="D109" s="9"/>
      <c r="E109" s="120"/>
      <c r="F109" s="120"/>
      <c r="G109" s="120"/>
      <c r="H109" s="120"/>
      <c r="I109" s="4"/>
      <c r="J109" s="9"/>
      <c r="K109" s="9"/>
      <c r="L109" s="9"/>
      <c r="M109" s="9"/>
      <c r="N109" s="9"/>
      <c r="O109" s="9"/>
      <c r="P109" s="9"/>
      <c r="Q109" s="9"/>
      <c r="R109" s="9"/>
      <c r="S109" s="4"/>
      <c r="T109" s="4"/>
      <c r="U109" s="4"/>
      <c r="V109" s="4"/>
      <c r="W109" s="4"/>
      <c r="X109" s="4"/>
      <c r="Y109" s="4"/>
      <c r="AL109" s="360"/>
      <c r="AM109" s="499"/>
    </row>
    <row r="110" spans="1:39" ht="12.75" customHeight="1" x14ac:dyDescent="0.25">
      <c r="A110" s="9"/>
      <c r="B110" s="4"/>
      <c r="C110" s="9"/>
      <c r="D110" s="9"/>
      <c r="E110" s="120"/>
      <c r="F110" s="120"/>
      <c r="G110" s="120"/>
      <c r="H110" s="120"/>
      <c r="I110" s="4"/>
      <c r="J110" s="9"/>
      <c r="K110" s="9"/>
      <c r="L110" s="9"/>
      <c r="M110" s="9"/>
      <c r="N110" s="9"/>
      <c r="O110" s="9"/>
      <c r="P110" s="9"/>
      <c r="Q110" s="9"/>
      <c r="R110" s="9"/>
      <c r="S110" s="4"/>
      <c r="T110" s="4"/>
      <c r="U110" s="4"/>
      <c r="V110" s="4"/>
      <c r="W110" s="4"/>
      <c r="X110" s="4"/>
      <c r="Y110" s="4"/>
      <c r="AL110" s="360"/>
      <c r="AM110" s="499"/>
    </row>
    <row r="111" spans="1:39" ht="12.75" customHeight="1" x14ac:dyDescent="0.25">
      <c r="A111" s="9"/>
      <c r="B111" s="4"/>
      <c r="C111" s="9"/>
      <c r="D111" s="9"/>
      <c r="E111" s="120"/>
      <c r="F111" s="120"/>
      <c r="G111" s="120"/>
      <c r="H111" s="120"/>
      <c r="I111" s="4"/>
      <c r="J111" s="9"/>
      <c r="K111" s="9"/>
      <c r="L111" s="9"/>
      <c r="M111" s="9"/>
      <c r="N111" s="9"/>
      <c r="O111" s="9"/>
      <c r="P111" s="9"/>
      <c r="Q111" s="9"/>
      <c r="R111" s="9"/>
      <c r="S111" s="4"/>
      <c r="T111" s="4"/>
      <c r="U111" s="4"/>
      <c r="V111" s="4"/>
      <c r="W111" s="4"/>
      <c r="X111" s="4"/>
      <c r="Y111" s="4"/>
      <c r="AL111" s="360"/>
      <c r="AM111" s="499"/>
    </row>
    <row r="112" spans="1:39" ht="12.75" customHeight="1" x14ac:dyDescent="0.25">
      <c r="A112" s="9"/>
      <c r="B112" s="4"/>
      <c r="C112" s="9"/>
      <c r="D112" s="9"/>
      <c r="E112" s="120"/>
      <c r="F112" s="120"/>
      <c r="G112" s="120"/>
      <c r="H112" s="120"/>
      <c r="I112" s="4"/>
      <c r="J112" s="9"/>
      <c r="K112" s="9"/>
      <c r="L112" s="9"/>
      <c r="M112" s="9"/>
      <c r="N112" s="9"/>
      <c r="O112" s="9"/>
      <c r="P112" s="9"/>
      <c r="Q112" s="9"/>
      <c r="R112" s="9"/>
      <c r="S112" s="4"/>
      <c r="T112" s="4"/>
      <c r="U112" s="4"/>
      <c r="V112" s="4"/>
      <c r="W112" s="4"/>
      <c r="X112" s="4"/>
      <c r="Y112" s="4"/>
      <c r="AL112" s="360"/>
      <c r="AM112" s="499"/>
    </row>
    <row r="113" spans="1:39" ht="12.75" customHeight="1" x14ac:dyDescent="0.25">
      <c r="A113" s="9"/>
      <c r="B113" s="4"/>
      <c r="C113" s="9"/>
      <c r="D113" s="9"/>
      <c r="E113" s="120"/>
      <c r="F113" s="120"/>
      <c r="G113" s="120"/>
      <c r="H113" s="120"/>
      <c r="I113" s="4"/>
      <c r="J113" s="9"/>
      <c r="K113" s="9"/>
      <c r="L113" s="9"/>
      <c r="M113" s="9"/>
      <c r="N113" s="9"/>
      <c r="O113" s="9"/>
      <c r="P113" s="9"/>
      <c r="Q113" s="9"/>
      <c r="R113" s="9"/>
      <c r="S113" s="4"/>
      <c r="T113" s="4"/>
      <c r="U113" s="4"/>
      <c r="V113" s="4"/>
      <c r="W113" s="4"/>
      <c r="X113" s="4"/>
      <c r="Y113" s="4"/>
      <c r="AL113" s="360"/>
      <c r="AM113" s="499"/>
    </row>
    <row r="114" spans="1:39" ht="12.75" customHeight="1" x14ac:dyDescent="0.25">
      <c r="A114" s="9"/>
      <c r="B114" s="4"/>
      <c r="C114" s="9"/>
      <c r="D114" s="9"/>
      <c r="E114" s="120"/>
      <c r="F114" s="120"/>
      <c r="G114" s="120"/>
      <c r="H114" s="120"/>
      <c r="I114" s="4"/>
      <c r="J114" s="9"/>
      <c r="K114" s="9"/>
      <c r="L114" s="9"/>
      <c r="M114" s="9"/>
      <c r="N114" s="9"/>
      <c r="O114" s="9"/>
      <c r="P114" s="9"/>
      <c r="Q114" s="9"/>
      <c r="R114" s="9"/>
      <c r="S114" s="4"/>
      <c r="T114" s="4"/>
      <c r="U114" s="4"/>
      <c r="V114" s="4"/>
      <c r="W114" s="4"/>
      <c r="X114" s="4"/>
      <c r="Y114" s="4"/>
      <c r="AL114" s="360"/>
      <c r="AM114" s="499"/>
    </row>
    <row r="115" spans="1:39" ht="12.75" customHeight="1" x14ac:dyDescent="0.25">
      <c r="A115" s="9"/>
      <c r="B115" s="4"/>
      <c r="C115" s="9"/>
      <c r="D115" s="9"/>
      <c r="E115" s="120"/>
      <c r="F115" s="120"/>
      <c r="G115" s="120"/>
      <c r="H115" s="120"/>
      <c r="I115" s="4"/>
      <c r="J115" s="9"/>
      <c r="K115" s="9"/>
      <c r="L115" s="9"/>
      <c r="M115" s="9"/>
      <c r="N115" s="9"/>
      <c r="O115" s="9"/>
      <c r="P115" s="9"/>
      <c r="Q115" s="9"/>
      <c r="R115" s="9"/>
      <c r="S115" s="4"/>
      <c r="T115" s="4"/>
      <c r="U115" s="4"/>
      <c r="V115" s="4"/>
      <c r="W115" s="4"/>
      <c r="X115" s="4"/>
      <c r="Y115" s="4"/>
      <c r="AL115" s="360"/>
      <c r="AM115" s="499"/>
    </row>
    <row r="116" spans="1:39" ht="12.75" customHeight="1" x14ac:dyDescent="0.25">
      <c r="A116" s="9"/>
      <c r="B116" s="4"/>
      <c r="C116" s="9"/>
      <c r="D116" s="9"/>
      <c r="E116" s="120"/>
      <c r="F116" s="120"/>
      <c r="G116" s="120"/>
      <c r="H116" s="120"/>
      <c r="I116" s="4"/>
      <c r="J116" s="9"/>
      <c r="K116" s="9"/>
      <c r="L116" s="9"/>
      <c r="M116" s="9"/>
      <c r="N116" s="9"/>
      <c r="O116" s="9"/>
      <c r="P116" s="9"/>
      <c r="Q116" s="9"/>
      <c r="R116" s="9"/>
      <c r="S116" s="4"/>
      <c r="T116" s="4"/>
      <c r="U116" s="4"/>
      <c r="V116" s="4"/>
      <c r="W116" s="4"/>
      <c r="X116" s="4"/>
      <c r="Y116" s="4"/>
      <c r="AL116" s="360"/>
      <c r="AM116" s="499"/>
    </row>
    <row r="117" spans="1:39" ht="12.75" customHeight="1" x14ac:dyDescent="0.25">
      <c r="A117" s="9"/>
      <c r="B117" s="4"/>
      <c r="C117" s="9"/>
      <c r="D117" s="9"/>
      <c r="E117" s="120"/>
      <c r="F117" s="120"/>
      <c r="G117" s="120"/>
      <c r="H117" s="120"/>
      <c r="I117" s="4"/>
      <c r="J117" s="9"/>
      <c r="K117" s="9"/>
      <c r="L117" s="9"/>
      <c r="M117" s="9"/>
      <c r="N117" s="9"/>
      <c r="O117" s="9"/>
      <c r="P117" s="9"/>
      <c r="Q117" s="9"/>
      <c r="R117" s="9"/>
      <c r="S117" s="4"/>
      <c r="T117" s="4"/>
      <c r="U117" s="4"/>
      <c r="V117" s="4"/>
      <c r="W117" s="4"/>
      <c r="X117" s="4"/>
      <c r="Y117" s="4"/>
      <c r="AL117" s="360"/>
      <c r="AM117" s="499"/>
    </row>
    <row r="118" spans="1:39" ht="12.75" customHeight="1" x14ac:dyDescent="0.25">
      <c r="A118" s="9"/>
      <c r="B118" s="4"/>
      <c r="C118" s="9"/>
      <c r="D118" s="9"/>
      <c r="E118" s="120"/>
      <c r="F118" s="120"/>
      <c r="G118" s="120"/>
      <c r="H118" s="120"/>
      <c r="I118" s="4"/>
      <c r="J118" s="9"/>
      <c r="K118" s="9"/>
      <c r="L118" s="9"/>
      <c r="M118" s="9"/>
      <c r="N118" s="9"/>
      <c r="O118" s="9"/>
      <c r="P118" s="9"/>
      <c r="Q118" s="9"/>
      <c r="R118" s="9"/>
      <c r="S118" s="4"/>
      <c r="T118" s="4"/>
      <c r="U118" s="4"/>
      <c r="V118" s="4"/>
      <c r="W118" s="4"/>
      <c r="X118" s="4"/>
      <c r="Y118" s="4"/>
      <c r="AL118" s="360"/>
      <c r="AM118" s="499"/>
    </row>
    <row r="119" spans="1:39" ht="12.75" customHeight="1" x14ac:dyDescent="0.25">
      <c r="A119" s="9"/>
      <c r="B119" s="4"/>
      <c r="C119" s="9"/>
      <c r="D119" s="9"/>
      <c r="E119" s="120"/>
      <c r="F119" s="120"/>
      <c r="G119" s="120"/>
      <c r="H119" s="120"/>
      <c r="I119" s="4"/>
      <c r="J119" s="9"/>
      <c r="K119" s="9"/>
      <c r="L119" s="9"/>
      <c r="M119" s="9"/>
      <c r="N119" s="9"/>
      <c r="O119" s="9"/>
      <c r="P119" s="9"/>
      <c r="Q119" s="9"/>
      <c r="R119" s="9"/>
      <c r="S119" s="4"/>
      <c r="T119" s="4"/>
      <c r="U119" s="4"/>
      <c r="V119" s="4"/>
      <c r="W119" s="4"/>
      <c r="X119" s="4"/>
      <c r="Y119" s="4"/>
      <c r="AL119" s="360"/>
      <c r="AM119" s="499"/>
    </row>
    <row r="120" spans="1:39" ht="12.75" customHeight="1" x14ac:dyDescent="0.25">
      <c r="A120" s="9"/>
      <c r="B120" s="4"/>
      <c r="C120" s="9"/>
      <c r="D120" s="9"/>
      <c r="E120" s="120"/>
      <c r="F120" s="120"/>
      <c r="G120" s="120"/>
      <c r="H120" s="120"/>
      <c r="I120" s="4"/>
      <c r="J120" s="9"/>
      <c r="K120" s="9"/>
      <c r="L120" s="9"/>
      <c r="M120" s="9"/>
      <c r="N120" s="9"/>
      <c r="O120" s="9"/>
      <c r="P120" s="9"/>
      <c r="Q120" s="9"/>
      <c r="R120" s="9"/>
      <c r="S120" s="4"/>
      <c r="T120" s="4"/>
      <c r="U120" s="4"/>
      <c r="V120" s="4"/>
      <c r="W120" s="4"/>
      <c r="X120" s="4"/>
      <c r="Y120" s="4"/>
      <c r="AL120" s="360"/>
      <c r="AM120" s="499"/>
    </row>
    <row r="121" spans="1:39" ht="12.75" customHeight="1" x14ac:dyDescent="0.25">
      <c r="A121" s="9"/>
      <c r="B121" s="4"/>
      <c r="C121" s="9"/>
      <c r="D121" s="9"/>
      <c r="E121" s="120"/>
      <c r="F121" s="120"/>
      <c r="G121" s="120"/>
      <c r="H121" s="120"/>
      <c r="I121" s="4"/>
      <c r="J121" s="9"/>
      <c r="K121" s="9"/>
      <c r="L121" s="9"/>
      <c r="M121" s="9"/>
      <c r="N121" s="9"/>
      <c r="O121" s="9"/>
      <c r="P121" s="9"/>
      <c r="Q121" s="9"/>
      <c r="R121" s="9"/>
      <c r="S121" s="4"/>
      <c r="T121" s="4"/>
      <c r="U121" s="4"/>
      <c r="V121" s="4"/>
      <c r="W121" s="4"/>
      <c r="X121" s="4"/>
      <c r="Y121" s="4"/>
      <c r="AL121" s="360"/>
      <c r="AM121" s="499"/>
    </row>
    <row r="122" spans="1:39" ht="12.75" customHeight="1" x14ac:dyDescent="0.25">
      <c r="A122" s="9"/>
      <c r="B122" s="4"/>
      <c r="C122" s="9"/>
      <c r="D122" s="9"/>
      <c r="E122" s="120"/>
      <c r="F122" s="120"/>
      <c r="G122" s="120"/>
      <c r="H122" s="120"/>
      <c r="I122" s="4"/>
      <c r="J122" s="9"/>
      <c r="K122" s="9"/>
      <c r="L122" s="9"/>
      <c r="M122" s="9"/>
      <c r="N122" s="9"/>
      <c r="O122" s="9"/>
      <c r="P122" s="9"/>
      <c r="Q122" s="9"/>
      <c r="R122" s="9"/>
      <c r="S122" s="4"/>
      <c r="T122" s="4"/>
      <c r="U122" s="4"/>
      <c r="V122" s="4"/>
      <c r="W122" s="4"/>
      <c r="X122" s="4"/>
      <c r="Y122" s="4"/>
      <c r="AL122" s="360"/>
      <c r="AM122" s="499"/>
    </row>
    <row r="123" spans="1:39" ht="12.75" customHeight="1" x14ac:dyDescent="0.25">
      <c r="A123" s="9"/>
      <c r="B123" s="4"/>
      <c r="C123" s="9"/>
      <c r="D123" s="9"/>
      <c r="E123" s="120"/>
      <c r="F123" s="120"/>
      <c r="G123" s="120"/>
      <c r="H123" s="120"/>
      <c r="I123" s="4"/>
      <c r="J123" s="9"/>
      <c r="K123" s="9"/>
      <c r="L123" s="9"/>
      <c r="M123" s="9"/>
      <c r="N123" s="9"/>
      <c r="O123" s="9"/>
      <c r="P123" s="9"/>
      <c r="Q123" s="9"/>
      <c r="R123" s="9"/>
      <c r="S123" s="4"/>
      <c r="T123" s="4"/>
      <c r="U123" s="4"/>
      <c r="V123" s="4"/>
      <c r="W123" s="4"/>
      <c r="X123" s="4"/>
      <c r="Y123" s="4"/>
      <c r="AL123" s="360"/>
      <c r="AM123" s="499"/>
    </row>
    <row r="124" spans="1:39" ht="12.75" customHeight="1" x14ac:dyDescent="0.25">
      <c r="A124" s="9"/>
      <c r="B124" s="4"/>
      <c r="C124" s="9"/>
      <c r="D124" s="9"/>
      <c r="E124" s="120"/>
      <c r="F124" s="120"/>
      <c r="G124" s="120"/>
      <c r="H124" s="120"/>
      <c r="I124" s="4"/>
      <c r="J124" s="9"/>
      <c r="K124" s="9"/>
      <c r="L124" s="9"/>
      <c r="M124" s="9"/>
      <c r="N124" s="9"/>
      <c r="O124" s="9"/>
      <c r="P124" s="9"/>
      <c r="Q124" s="9"/>
      <c r="R124" s="9"/>
      <c r="S124" s="4"/>
      <c r="T124" s="4"/>
      <c r="U124" s="4"/>
      <c r="V124" s="4"/>
      <c r="W124" s="4"/>
      <c r="X124" s="4"/>
      <c r="Y124" s="4"/>
      <c r="AL124" s="360"/>
      <c r="AM124" s="499"/>
    </row>
    <row r="125" spans="1:39" ht="12.75" customHeight="1" x14ac:dyDescent="0.25">
      <c r="A125" s="9"/>
      <c r="B125" s="4"/>
      <c r="C125" s="9"/>
      <c r="D125" s="9"/>
      <c r="E125" s="120"/>
      <c r="F125" s="120"/>
      <c r="G125" s="120"/>
      <c r="H125" s="120"/>
      <c r="I125" s="4"/>
      <c r="J125" s="9"/>
      <c r="K125" s="9"/>
      <c r="L125" s="9"/>
      <c r="M125" s="9"/>
      <c r="N125" s="9"/>
      <c r="O125" s="9"/>
      <c r="P125" s="9"/>
      <c r="Q125" s="9"/>
      <c r="R125" s="9"/>
      <c r="S125" s="4"/>
      <c r="T125" s="4"/>
      <c r="U125" s="4"/>
      <c r="V125" s="4"/>
      <c r="W125" s="4"/>
      <c r="X125" s="4"/>
      <c r="Y125" s="4"/>
      <c r="AL125" s="360"/>
      <c r="AM125" s="499"/>
    </row>
    <row r="126" spans="1:39" ht="12.75" customHeight="1" x14ac:dyDescent="0.25">
      <c r="A126" s="9"/>
      <c r="B126" s="4"/>
      <c r="C126" s="9"/>
      <c r="D126" s="9"/>
      <c r="E126" s="120"/>
      <c r="F126" s="120"/>
      <c r="G126" s="120"/>
      <c r="H126" s="120"/>
      <c r="I126" s="4"/>
      <c r="J126" s="9"/>
      <c r="K126" s="9"/>
      <c r="L126" s="9"/>
      <c r="M126" s="9"/>
      <c r="N126" s="9"/>
      <c r="O126" s="9"/>
      <c r="P126" s="9"/>
      <c r="Q126" s="9"/>
      <c r="R126" s="9"/>
      <c r="S126" s="4"/>
      <c r="T126" s="4"/>
      <c r="U126" s="4"/>
      <c r="V126" s="4"/>
      <c r="W126" s="4"/>
      <c r="X126" s="4"/>
      <c r="Y126" s="4"/>
      <c r="AL126" s="360"/>
      <c r="AM126" s="499"/>
    </row>
    <row r="127" spans="1:39" ht="12.75" customHeight="1" x14ac:dyDescent="0.25">
      <c r="A127" s="9"/>
      <c r="B127" s="4"/>
      <c r="C127" s="9"/>
      <c r="D127" s="9"/>
      <c r="E127" s="120"/>
      <c r="F127" s="120"/>
      <c r="G127" s="120"/>
      <c r="H127" s="120"/>
      <c r="I127" s="4"/>
      <c r="J127" s="9"/>
      <c r="K127" s="9"/>
      <c r="L127" s="9"/>
      <c r="M127" s="9"/>
      <c r="N127" s="9"/>
      <c r="O127" s="9"/>
      <c r="P127" s="9"/>
      <c r="Q127" s="9"/>
      <c r="R127" s="9"/>
      <c r="S127" s="4"/>
      <c r="T127" s="4"/>
      <c r="U127" s="4"/>
      <c r="V127" s="4"/>
      <c r="W127" s="4"/>
      <c r="X127" s="4"/>
      <c r="Y127" s="4"/>
      <c r="AL127" s="360"/>
      <c r="AM127" s="499"/>
    </row>
    <row r="128" spans="1:39" ht="12.75" customHeight="1" x14ac:dyDescent="0.25">
      <c r="A128" s="9"/>
      <c r="B128" s="4"/>
      <c r="C128" s="9"/>
      <c r="D128" s="9"/>
      <c r="E128" s="120"/>
      <c r="F128" s="120"/>
      <c r="G128" s="120"/>
      <c r="H128" s="120"/>
      <c r="I128" s="4"/>
      <c r="J128" s="9"/>
      <c r="K128" s="9"/>
      <c r="L128" s="9"/>
      <c r="M128" s="9"/>
      <c r="N128" s="9"/>
      <c r="O128" s="9"/>
      <c r="P128" s="9"/>
      <c r="Q128" s="9"/>
      <c r="R128" s="9"/>
      <c r="S128" s="4"/>
      <c r="T128" s="4"/>
      <c r="U128" s="4"/>
      <c r="V128" s="4"/>
      <c r="W128" s="4"/>
      <c r="X128" s="4"/>
      <c r="Y128" s="4"/>
      <c r="AL128" s="360"/>
      <c r="AM128" s="499"/>
    </row>
    <row r="129" spans="1:39" ht="12.75" customHeight="1" x14ac:dyDescent="0.25">
      <c r="A129" s="9"/>
      <c r="B129" s="4"/>
      <c r="C129" s="9"/>
      <c r="D129" s="9"/>
      <c r="E129" s="120"/>
      <c r="F129" s="120"/>
      <c r="G129" s="120"/>
      <c r="H129" s="120"/>
      <c r="I129" s="4"/>
      <c r="J129" s="9"/>
      <c r="K129" s="9"/>
      <c r="L129" s="9"/>
      <c r="M129" s="9"/>
      <c r="N129" s="9"/>
      <c r="O129" s="9"/>
      <c r="P129" s="9"/>
      <c r="Q129" s="9"/>
      <c r="R129" s="9"/>
      <c r="S129" s="4"/>
      <c r="T129" s="4"/>
      <c r="U129" s="4"/>
      <c r="V129" s="4"/>
      <c r="W129" s="4"/>
      <c r="X129" s="4"/>
      <c r="Y129" s="4"/>
      <c r="AL129" s="360"/>
      <c r="AM129" s="499"/>
    </row>
    <row r="130" spans="1:39" ht="12.75" customHeight="1" x14ac:dyDescent="0.25">
      <c r="A130" s="9"/>
      <c r="B130" s="4"/>
      <c r="C130" s="9"/>
      <c r="D130" s="9"/>
      <c r="E130" s="120"/>
      <c r="F130" s="120"/>
      <c r="G130" s="120"/>
      <c r="H130" s="120"/>
      <c r="I130" s="4"/>
      <c r="J130" s="9"/>
      <c r="K130" s="9"/>
      <c r="L130" s="9"/>
      <c r="M130" s="9"/>
      <c r="N130" s="9"/>
      <c r="O130" s="9"/>
      <c r="P130" s="9"/>
      <c r="Q130" s="9"/>
      <c r="R130" s="9"/>
      <c r="S130" s="4"/>
      <c r="T130" s="4"/>
      <c r="U130" s="4"/>
      <c r="V130" s="4"/>
      <c r="W130" s="4"/>
      <c r="X130" s="4"/>
      <c r="Y130" s="4"/>
      <c r="AL130" s="360"/>
      <c r="AM130" s="499"/>
    </row>
    <row r="131" spans="1:39" ht="12.75" customHeight="1" x14ac:dyDescent="0.25">
      <c r="A131" s="9"/>
      <c r="B131" s="4"/>
      <c r="C131" s="9"/>
      <c r="D131" s="9"/>
      <c r="E131" s="120"/>
      <c r="F131" s="120"/>
      <c r="G131" s="120"/>
      <c r="H131" s="120"/>
      <c r="I131" s="4"/>
      <c r="J131" s="9"/>
      <c r="K131" s="9"/>
      <c r="L131" s="9"/>
      <c r="M131" s="9"/>
      <c r="N131" s="9"/>
      <c r="O131" s="9"/>
      <c r="P131" s="9"/>
      <c r="Q131" s="9"/>
      <c r="R131" s="9"/>
      <c r="S131" s="4"/>
      <c r="T131" s="4"/>
      <c r="U131" s="4"/>
      <c r="V131" s="4"/>
      <c r="W131" s="4"/>
      <c r="X131" s="4"/>
      <c r="Y131" s="4"/>
      <c r="AL131" s="360"/>
      <c r="AM131" s="499"/>
    </row>
    <row r="132" spans="1:39" ht="12.75" customHeight="1" x14ac:dyDescent="0.25">
      <c r="A132" s="9"/>
      <c r="B132" s="4"/>
      <c r="C132" s="9"/>
      <c r="D132" s="9"/>
      <c r="E132" s="120"/>
      <c r="F132" s="120"/>
      <c r="G132" s="120"/>
      <c r="H132" s="120"/>
      <c r="I132" s="4"/>
      <c r="J132" s="9"/>
      <c r="K132" s="9"/>
      <c r="L132" s="9"/>
      <c r="M132" s="9"/>
      <c r="N132" s="9"/>
      <c r="O132" s="9"/>
      <c r="P132" s="9"/>
      <c r="Q132" s="9"/>
      <c r="R132" s="9"/>
      <c r="S132" s="4"/>
      <c r="T132" s="4"/>
      <c r="U132" s="4"/>
      <c r="V132" s="4"/>
      <c r="W132" s="4"/>
      <c r="X132" s="4"/>
      <c r="Y132" s="4"/>
      <c r="AL132" s="360"/>
      <c r="AM132" s="499"/>
    </row>
    <row r="133" spans="1:39" ht="12.75" customHeight="1" x14ac:dyDescent="0.25">
      <c r="A133" s="9"/>
      <c r="B133" s="4"/>
      <c r="C133" s="9"/>
      <c r="D133" s="9"/>
      <c r="E133" s="120"/>
      <c r="F133" s="120"/>
      <c r="G133" s="120"/>
      <c r="H133" s="120"/>
      <c r="I133" s="4"/>
      <c r="J133" s="9"/>
      <c r="K133" s="9"/>
      <c r="L133" s="9"/>
      <c r="M133" s="9"/>
      <c r="N133" s="9"/>
      <c r="O133" s="9"/>
      <c r="P133" s="9"/>
      <c r="Q133" s="9"/>
      <c r="R133" s="9"/>
      <c r="S133" s="4"/>
      <c r="T133" s="4"/>
      <c r="U133" s="4"/>
      <c r="V133" s="4"/>
      <c r="W133" s="4"/>
      <c r="X133" s="4"/>
      <c r="Y133" s="4"/>
      <c r="AL133" s="360"/>
      <c r="AM133" s="499"/>
    </row>
    <row r="134" spans="1:39" ht="12.75" customHeight="1" x14ac:dyDescent="0.25">
      <c r="A134" s="9"/>
      <c r="B134" s="4"/>
      <c r="C134" s="9"/>
      <c r="D134" s="9"/>
      <c r="E134" s="120"/>
      <c r="F134" s="120"/>
      <c r="G134" s="120"/>
      <c r="H134" s="120"/>
      <c r="I134" s="4"/>
      <c r="J134" s="9"/>
      <c r="K134" s="9"/>
      <c r="L134" s="9"/>
      <c r="M134" s="9"/>
      <c r="N134" s="9"/>
      <c r="O134" s="9"/>
      <c r="P134" s="9"/>
      <c r="Q134" s="9"/>
      <c r="R134" s="9"/>
      <c r="S134" s="4"/>
      <c r="T134" s="4"/>
      <c r="U134" s="4"/>
      <c r="V134" s="4"/>
      <c r="W134" s="4"/>
      <c r="X134" s="4"/>
      <c r="Y134" s="4"/>
      <c r="AL134" s="360"/>
      <c r="AM134" s="499"/>
    </row>
    <row r="135" spans="1:39" ht="12.75" customHeight="1" x14ac:dyDescent="0.25">
      <c r="A135" s="9"/>
      <c r="B135" s="4"/>
      <c r="C135" s="9"/>
      <c r="D135" s="9"/>
      <c r="E135" s="120"/>
      <c r="F135" s="120"/>
      <c r="G135" s="120"/>
      <c r="H135" s="120"/>
      <c r="I135" s="4"/>
      <c r="J135" s="9"/>
      <c r="K135" s="9"/>
      <c r="L135" s="9"/>
      <c r="M135" s="9"/>
      <c r="N135" s="9"/>
      <c r="O135" s="9"/>
      <c r="P135" s="9"/>
      <c r="Q135" s="9"/>
      <c r="R135" s="9"/>
      <c r="S135" s="4"/>
      <c r="T135" s="4"/>
      <c r="U135" s="4"/>
      <c r="V135" s="4"/>
      <c r="W135" s="4"/>
      <c r="X135" s="4"/>
      <c r="Y135" s="4"/>
      <c r="AL135" s="360"/>
      <c r="AM135" s="499"/>
    </row>
    <row r="136" spans="1:39" ht="12.75" customHeight="1" x14ac:dyDescent="0.25">
      <c r="A136" s="9"/>
      <c r="B136" s="4"/>
      <c r="C136" s="9"/>
      <c r="D136" s="9"/>
      <c r="E136" s="120"/>
      <c r="F136" s="120"/>
      <c r="G136" s="120"/>
      <c r="H136" s="120"/>
      <c r="I136" s="4"/>
      <c r="J136" s="9"/>
      <c r="K136" s="9"/>
      <c r="L136" s="9"/>
      <c r="M136" s="9"/>
      <c r="N136" s="9"/>
      <c r="O136" s="9"/>
      <c r="P136" s="9"/>
      <c r="Q136" s="9"/>
      <c r="R136" s="9"/>
      <c r="S136" s="4"/>
      <c r="T136" s="4"/>
      <c r="U136" s="4"/>
      <c r="V136" s="4"/>
      <c r="W136" s="4"/>
      <c r="X136" s="4"/>
      <c r="Y136" s="4"/>
      <c r="AL136" s="360"/>
      <c r="AM136" s="499"/>
    </row>
    <row r="137" spans="1:39" ht="12.75" customHeight="1" x14ac:dyDescent="0.25">
      <c r="A137" s="9"/>
      <c r="B137" s="4"/>
      <c r="C137" s="9"/>
      <c r="D137" s="9"/>
      <c r="E137" s="120"/>
      <c r="F137" s="120"/>
      <c r="G137" s="120"/>
      <c r="H137" s="120"/>
      <c r="I137" s="4"/>
      <c r="J137" s="9"/>
      <c r="K137" s="9"/>
      <c r="L137" s="9"/>
      <c r="M137" s="9"/>
      <c r="N137" s="9"/>
      <c r="O137" s="9"/>
      <c r="P137" s="9"/>
      <c r="Q137" s="9"/>
      <c r="R137" s="9"/>
      <c r="S137" s="4"/>
      <c r="T137" s="4"/>
      <c r="U137" s="4"/>
      <c r="V137" s="4"/>
      <c r="W137" s="4"/>
      <c r="X137" s="4"/>
      <c r="Y137" s="4"/>
      <c r="AL137" s="360"/>
      <c r="AM137" s="499"/>
    </row>
    <row r="138" spans="1:39" ht="12.75" customHeight="1" x14ac:dyDescent="0.25">
      <c r="A138" s="9"/>
      <c r="B138" s="4"/>
      <c r="C138" s="9"/>
      <c r="D138" s="9"/>
      <c r="E138" s="120"/>
      <c r="F138" s="120"/>
      <c r="G138" s="120"/>
      <c r="H138" s="120"/>
      <c r="I138" s="4"/>
      <c r="J138" s="9"/>
      <c r="K138" s="9"/>
      <c r="L138" s="9"/>
      <c r="M138" s="9"/>
      <c r="N138" s="9"/>
      <c r="O138" s="9"/>
      <c r="P138" s="9"/>
      <c r="Q138" s="9"/>
      <c r="R138" s="9"/>
      <c r="S138" s="4"/>
      <c r="T138" s="4"/>
      <c r="U138" s="4"/>
      <c r="V138" s="4"/>
      <c r="W138" s="4"/>
      <c r="X138" s="4"/>
      <c r="Y138" s="4"/>
      <c r="AL138" s="360"/>
      <c r="AM138" s="499"/>
    </row>
    <row r="139" spans="1:39" ht="12.75" customHeight="1" x14ac:dyDescent="0.25">
      <c r="A139" s="9"/>
      <c r="B139" s="4"/>
      <c r="C139" s="9"/>
      <c r="D139" s="9"/>
      <c r="E139" s="120"/>
      <c r="F139" s="120"/>
      <c r="G139" s="120"/>
      <c r="H139" s="120"/>
      <c r="I139" s="4"/>
      <c r="J139" s="9"/>
      <c r="K139" s="9"/>
      <c r="L139" s="9"/>
      <c r="M139" s="9"/>
      <c r="N139" s="9"/>
      <c r="O139" s="9"/>
      <c r="P139" s="9"/>
      <c r="Q139" s="9"/>
      <c r="R139" s="9"/>
      <c r="S139" s="4"/>
      <c r="T139" s="4"/>
      <c r="U139" s="4"/>
      <c r="V139" s="4"/>
      <c r="W139" s="4"/>
      <c r="X139" s="4"/>
      <c r="Y139" s="4"/>
      <c r="AL139" s="360"/>
      <c r="AM139" s="499"/>
    </row>
    <row r="140" spans="1:39" ht="12.75" customHeight="1" x14ac:dyDescent="0.25">
      <c r="A140" s="9"/>
      <c r="B140" s="4"/>
      <c r="C140" s="9"/>
      <c r="D140" s="9"/>
      <c r="E140" s="120"/>
      <c r="F140" s="120"/>
      <c r="G140" s="120"/>
      <c r="H140" s="120"/>
      <c r="I140" s="4"/>
      <c r="J140" s="9"/>
      <c r="K140" s="9"/>
      <c r="L140" s="9"/>
      <c r="M140" s="9"/>
      <c r="N140" s="9"/>
      <c r="O140" s="9"/>
      <c r="P140" s="9"/>
      <c r="Q140" s="9"/>
      <c r="R140" s="9"/>
      <c r="S140" s="4"/>
      <c r="T140" s="4"/>
      <c r="U140" s="4"/>
      <c r="V140" s="4"/>
      <c r="W140" s="4"/>
      <c r="X140" s="4"/>
      <c r="Y140" s="4"/>
      <c r="AL140" s="360"/>
      <c r="AM140" s="499"/>
    </row>
    <row r="141" spans="1:39" ht="12.75" customHeight="1" x14ac:dyDescent="0.25">
      <c r="A141" s="9"/>
      <c r="B141" s="4"/>
      <c r="C141" s="9"/>
      <c r="D141" s="9"/>
      <c r="E141" s="120"/>
      <c r="F141" s="120"/>
      <c r="G141" s="120"/>
      <c r="H141" s="120"/>
      <c r="I141" s="4"/>
      <c r="J141" s="9"/>
      <c r="K141" s="9"/>
      <c r="L141" s="9"/>
      <c r="M141" s="9"/>
      <c r="N141" s="9"/>
      <c r="O141" s="9"/>
      <c r="P141" s="9"/>
      <c r="Q141" s="9"/>
      <c r="R141" s="9"/>
      <c r="S141" s="4"/>
      <c r="T141" s="4"/>
      <c r="U141" s="4"/>
      <c r="V141" s="4"/>
      <c r="W141" s="4"/>
      <c r="X141" s="4"/>
      <c r="Y141" s="4"/>
      <c r="AL141" s="360"/>
      <c r="AM141" s="499"/>
    </row>
    <row r="142" spans="1:39" ht="12.75" customHeight="1" x14ac:dyDescent="0.25">
      <c r="A142" s="9"/>
      <c r="B142" s="4"/>
      <c r="C142" s="9"/>
      <c r="D142" s="9"/>
      <c r="E142" s="120"/>
      <c r="F142" s="120"/>
      <c r="G142" s="120"/>
      <c r="H142" s="120"/>
      <c r="I142" s="4"/>
      <c r="J142" s="9"/>
      <c r="K142" s="9"/>
      <c r="L142" s="9"/>
      <c r="M142" s="9"/>
      <c r="N142" s="9"/>
      <c r="O142" s="9"/>
      <c r="P142" s="9"/>
      <c r="Q142" s="9"/>
      <c r="R142" s="9"/>
      <c r="S142" s="4"/>
      <c r="T142" s="4"/>
      <c r="U142" s="4"/>
      <c r="V142" s="4"/>
      <c r="W142" s="4"/>
      <c r="X142" s="4"/>
      <c r="Y142" s="4"/>
      <c r="AL142" s="360"/>
      <c r="AM142" s="499"/>
    </row>
    <row r="143" spans="1:39" ht="12.75" customHeight="1" x14ac:dyDescent="0.25">
      <c r="A143" s="9"/>
      <c r="B143" s="4"/>
      <c r="C143" s="9"/>
      <c r="D143" s="9"/>
      <c r="E143" s="120"/>
      <c r="F143" s="120"/>
      <c r="G143" s="120"/>
      <c r="H143" s="120"/>
      <c r="I143" s="4"/>
      <c r="J143" s="9"/>
      <c r="K143" s="9"/>
      <c r="L143" s="9"/>
      <c r="M143" s="9"/>
      <c r="N143" s="9"/>
      <c r="O143" s="9"/>
      <c r="P143" s="9"/>
      <c r="Q143" s="9"/>
      <c r="R143" s="9"/>
      <c r="S143" s="4"/>
      <c r="T143" s="4"/>
      <c r="U143" s="4"/>
      <c r="V143" s="4"/>
      <c r="W143" s="4"/>
      <c r="X143" s="4"/>
      <c r="Y143" s="4"/>
      <c r="AL143" s="360"/>
      <c r="AM143" s="499"/>
    </row>
    <row r="144" spans="1:39" ht="12.75" customHeight="1" x14ac:dyDescent="0.25">
      <c r="A144" s="9"/>
      <c r="B144" s="4"/>
      <c r="C144" s="9"/>
      <c r="D144" s="9"/>
      <c r="E144" s="120"/>
      <c r="F144" s="120"/>
      <c r="G144" s="120"/>
      <c r="H144" s="120"/>
      <c r="I144" s="4"/>
      <c r="J144" s="9"/>
      <c r="K144" s="9"/>
      <c r="L144" s="9"/>
      <c r="M144" s="9"/>
      <c r="N144" s="9"/>
      <c r="O144" s="9"/>
      <c r="P144" s="9"/>
      <c r="Q144" s="9"/>
      <c r="R144" s="9"/>
      <c r="S144" s="4"/>
      <c r="T144" s="4"/>
      <c r="U144" s="4"/>
      <c r="V144" s="4"/>
      <c r="W144" s="4"/>
      <c r="X144" s="4"/>
      <c r="Y144" s="4"/>
      <c r="AL144" s="360"/>
      <c r="AM144" s="499"/>
    </row>
    <row r="145" spans="1:39" ht="12.75" customHeight="1" x14ac:dyDescent="0.25">
      <c r="A145" s="9"/>
      <c r="B145" s="4"/>
      <c r="C145" s="9"/>
      <c r="D145" s="9"/>
      <c r="E145" s="120"/>
      <c r="F145" s="120"/>
      <c r="G145" s="120"/>
      <c r="H145" s="120"/>
      <c r="I145" s="4"/>
      <c r="J145" s="9"/>
      <c r="K145" s="9"/>
      <c r="L145" s="9"/>
      <c r="M145" s="9"/>
      <c r="N145" s="9"/>
      <c r="O145" s="9"/>
      <c r="P145" s="9"/>
      <c r="Q145" s="9"/>
      <c r="R145" s="9"/>
      <c r="S145" s="4"/>
      <c r="T145" s="4"/>
      <c r="U145" s="4"/>
      <c r="V145" s="4"/>
      <c r="W145" s="4"/>
      <c r="X145" s="4"/>
      <c r="Y145" s="4"/>
      <c r="AL145" s="360"/>
      <c r="AM145" s="499"/>
    </row>
    <row r="146" spans="1:39" ht="12.75" customHeight="1" x14ac:dyDescent="0.25">
      <c r="A146" s="9"/>
      <c r="B146" s="4"/>
      <c r="C146" s="9"/>
      <c r="D146" s="9"/>
      <c r="E146" s="120"/>
      <c r="F146" s="120"/>
      <c r="G146" s="120"/>
      <c r="H146" s="120"/>
      <c r="I146" s="4"/>
      <c r="J146" s="9"/>
      <c r="K146" s="9"/>
      <c r="L146" s="9"/>
      <c r="M146" s="9"/>
      <c r="N146" s="9"/>
      <c r="O146" s="9"/>
      <c r="P146" s="9"/>
      <c r="Q146" s="9"/>
      <c r="R146" s="9"/>
      <c r="S146" s="4"/>
      <c r="T146" s="4"/>
      <c r="U146" s="4"/>
      <c r="V146" s="4"/>
      <c r="W146" s="4"/>
      <c r="X146" s="4"/>
      <c r="Y146" s="4"/>
      <c r="AL146" s="360"/>
      <c r="AM146" s="499"/>
    </row>
    <row r="147" spans="1:39" ht="12.75" customHeight="1" x14ac:dyDescent="0.25">
      <c r="A147" s="9"/>
      <c r="B147" s="4"/>
      <c r="C147" s="9"/>
      <c r="D147" s="9"/>
      <c r="E147" s="120"/>
      <c r="F147" s="120"/>
      <c r="G147" s="120"/>
      <c r="H147" s="120"/>
      <c r="I147" s="4"/>
      <c r="J147" s="9"/>
      <c r="K147" s="9"/>
      <c r="L147" s="9"/>
      <c r="M147" s="9"/>
      <c r="N147" s="9"/>
      <c r="O147" s="9"/>
      <c r="P147" s="9"/>
      <c r="Q147" s="9"/>
      <c r="R147" s="9"/>
      <c r="S147" s="4"/>
      <c r="T147" s="4"/>
      <c r="U147" s="4"/>
      <c r="V147" s="4"/>
      <c r="W147" s="4"/>
      <c r="X147" s="4"/>
      <c r="Y147" s="4"/>
      <c r="AL147" s="360"/>
      <c r="AM147" s="499"/>
    </row>
    <row r="148" spans="1:39" ht="12.75" customHeight="1" x14ac:dyDescent="0.25">
      <c r="A148" s="9"/>
      <c r="B148" s="4"/>
      <c r="C148" s="9"/>
      <c r="D148" s="9"/>
      <c r="E148" s="120"/>
      <c r="F148" s="120"/>
      <c r="G148" s="120"/>
      <c r="H148" s="120"/>
      <c r="I148" s="4"/>
      <c r="J148" s="9"/>
      <c r="K148" s="9"/>
      <c r="L148" s="9"/>
      <c r="M148" s="9"/>
      <c r="N148" s="9"/>
      <c r="O148" s="9"/>
      <c r="P148" s="9"/>
      <c r="Q148" s="9"/>
      <c r="R148" s="9"/>
      <c r="S148" s="4"/>
      <c r="T148" s="4"/>
      <c r="U148" s="4"/>
      <c r="V148" s="4"/>
      <c r="W148" s="4"/>
      <c r="X148" s="4"/>
      <c r="Y148" s="4"/>
      <c r="AL148" s="360"/>
      <c r="AM148" s="499"/>
    </row>
    <row r="149" spans="1:39" ht="12.75" customHeight="1" x14ac:dyDescent="0.25">
      <c r="A149" s="9"/>
      <c r="B149" s="4"/>
      <c r="C149" s="9"/>
      <c r="D149" s="9"/>
      <c r="E149" s="120"/>
      <c r="F149" s="120"/>
      <c r="G149" s="120"/>
      <c r="H149" s="120"/>
      <c r="I149" s="4"/>
      <c r="J149" s="9"/>
      <c r="K149" s="9"/>
      <c r="L149" s="9"/>
      <c r="M149" s="9"/>
      <c r="N149" s="9"/>
      <c r="O149" s="9"/>
      <c r="P149" s="9"/>
      <c r="Q149" s="9"/>
      <c r="R149" s="9"/>
      <c r="S149" s="4"/>
      <c r="T149" s="4"/>
      <c r="U149" s="4"/>
      <c r="V149" s="4"/>
      <c r="W149" s="4"/>
      <c r="X149" s="4"/>
      <c r="Y149" s="4"/>
      <c r="AL149" s="360"/>
      <c r="AM149" s="499"/>
    </row>
    <row r="150" spans="1:39" ht="12.75" customHeight="1" x14ac:dyDescent="0.25">
      <c r="A150" s="9"/>
      <c r="B150" s="4"/>
      <c r="C150" s="9"/>
      <c r="D150" s="9"/>
      <c r="E150" s="120"/>
      <c r="F150" s="120"/>
      <c r="G150" s="120"/>
      <c r="H150" s="120"/>
      <c r="I150" s="4"/>
      <c r="J150" s="9"/>
      <c r="K150" s="9"/>
      <c r="L150" s="9"/>
      <c r="M150" s="9"/>
      <c r="N150" s="9"/>
      <c r="O150" s="9"/>
      <c r="P150" s="9"/>
      <c r="Q150" s="9"/>
      <c r="R150" s="9"/>
      <c r="S150" s="4"/>
      <c r="T150" s="4"/>
      <c r="U150" s="4"/>
      <c r="V150" s="4"/>
      <c r="W150" s="4"/>
      <c r="X150" s="4"/>
      <c r="Y150" s="4"/>
      <c r="AL150" s="360"/>
      <c r="AM150" s="499"/>
    </row>
    <row r="151" spans="1:39" ht="12.75" customHeight="1" x14ac:dyDescent="0.25">
      <c r="A151" s="9"/>
      <c r="B151" s="4"/>
      <c r="C151" s="9"/>
      <c r="D151" s="9"/>
      <c r="E151" s="120"/>
      <c r="F151" s="120"/>
      <c r="G151" s="120"/>
      <c r="H151" s="120"/>
      <c r="I151" s="4"/>
      <c r="J151" s="9"/>
      <c r="K151" s="9"/>
      <c r="L151" s="9"/>
      <c r="M151" s="9"/>
      <c r="N151" s="9"/>
      <c r="O151" s="9"/>
      <c r="P151" s="9"/>
      <c r="Q151" s="9"/>
      <c r="R151" s="9"/>
      <c r="S151" s="4"/>
      <c r="T151" s="4"/>
      <c r="U151" s="4"/>
      <c r="V151" s="4"/>
      <c r="W151" s="4"/>
      <c r="X151" s="4"/>
      <c r="Y151" s="4"/>
      <c r="AL151" s="360"/>
      <c r="AM151" s="499"/>
    </row>
    <row r="152" spans="1:39" ht="12.75" customHeight="1" x14ac:dyDescent="0.25">
      <c r="A152" s="9"/>
      <c r="B152" s="4"/>
      <c r="C152" s="9"/>
      <c r="D152" s="9"/>
      <c r="E152" s="120"/>
      <c r="F152" s="120"/>
      <c r="G152" s="120"/>
      <c r="H152" s="120"/>
      <c r="I152" s="4"/>
      <c r="J152" s="9"/>
      <c r="K152" s="9"/>
      <c r="L152" s="9"/>
      <c r="M152" s="9"/>
      <c r="N152" s="9"/>
      <c r="O152" s="9"/>
      <c r="P152" s="9"/>
      <c r="Q152" s="9"/>
      <c r="R152" s="9"/>
      <c r="S152" s="4"/>
      <c r="T152" s="4"/>
      <c r="U152" s="4"/>
      <c r="V152" s="4"/>
      <c r="W152" s="4"/>
      <c r="X152" s="4"/>
      <c r="Y152" s="4"/>
      <c r="AL152" s="360"/>
      <c r="AM152" s="499"/>
    </row>
    <row r="153" spans="1:39" ht="12.75" customHeight="1" x14ac:dyDescent="0.25">
      <c r="A153" s="9"/>
      <c r="B153" s="4"/>
      <c r="C153" s="9"/>
      <c r="D153" s="9"/>
      <c r="E153" s="120"/>
      <c r="F153" s="120"/>
      <c r="G153" s="120"/>
      <c r="H153" s="120"/>
      <c r="I153" s="4"/>
      <c r="J153" s="9"/>
      <c r="K153" s="9"/>
      <c r="L153" s="9"/>
      <c r="M153" s="9"/>
      <c r="N153" s="9"/>
      <c r="O153" s="9"/>
      <c r="P153" s="9"/>
      <c r="Q153" s="9"/>
      <c r="R153" s="9"/>
      <c r="S153" s="4"/>
      <c r="T153" s="4"/>
      <c r="U153" s="4"/>
      <c r="V153" s="4"/>
      <c r="W153" s="4"/>
      <c r="X153" s="4"/>
      <c r="Y153" s="4"/>
      <c r="AL153" s="360"/>
      <c r="AM153" s="499"/>
    </row>
    <row r="154" spans="1:39" ht="12.75" customHeight="1" x14ac:dyDescent="0.25">
      <c r="A154" s="9"/>
      <c r="B154" s="4"/>
      <c r="C154" s="9"/>
      <c r="D154" s="9"/>
      <c r="E154" s="120"/>
      <c r="F154" s="120"/>
      <c r="G154" s="120"/>
      <c r="H154" s="120"/>
      <c r="I154" s="4"/>
      <c r="J154" s="9"/>
      <c r="K154" s="9"/>
      <c r="L154" s="9"/>
      <c r="M154" s="9"/>
      <c r="N154" s="9"/>
      <c r="O154" s="9"/>
      <c r="P154" s="9"/>
      <c r="Q154" s="9"/>
      <c r="R154" s="9"/>
      <c r="S154" s="4"/>
      <c r="T154" s="4"/>
      <c r="U154" s="4"/>
      <c r="V154" s="4"/>
      <c r="W154" s="4"/>
      <c r="X154" s="4"/>
      <c r="Y154" s="4"/>
      <c r="AL154" s="360"/>
      <c r="AM154" s="499"/>
    </row>
    <row r="155" spans="1:39" ht="12.75" customHeight="1" x14ac:dyDescent="0.25">
      <c r="A155" s="9"/>
      <c r="B155" s="4"/>
      <c r="C155" s="9"/>
      <c r="D155" s="9"/>
      <c r="E155" s="120"/>
      <c r="F155" s="120"/>
      <c r="G155" s="120"/>
      <c r="H155" s="120"/>
      <c r="I155" s="4"/>
      <c r="J155" s="9"/>
      <c r="K155" s="9"/>
      <c r="L155" s="9"/>
      <c r="M155" s="9"/>
      <c r="N155" s="9"/>
      <c r="O155" s="9"/>
      <c r="P155" s="9"/>
      <c r="Q155" s="9"/>
      <c r="R155" s="9"/>
      <c r="S155" s="4"/>
      <c r="T155" s="4"/>
      <c r="U155" s="4"/>
      <c r="V155" s="4"/>
      <c r="W155" s="4"/>
      <c r="X155" s="4"/>
      <c r="Y155" s="4"/>
      <c r="AL155" s="360"/>
      <c r="AM155" s="499"/>
    </row>
    <row r="156" spans="1:39" ht="12.75" customHeight="1" x14ac:dyDescent="0.25">
      <c r="A156" s="9"/>
      <c r="B156" s="4"/>
      <c r="C156" s="9"/>
      <c r="D156" s="9"/>
      <c r="E156" s="120"/>
      <c r="F156" s="120"/>
      <c r="G156" s="120"/>
      <c r="H156" s="120"/>
      <c r="I156" s="4"/>
      <c r="J156" s="9"/>
      <c r="K156" s="9"/>
      <c r="L156" s="9"/>
      <c r="M156" s="9"/>
      <c r="N156" s="9"/>
      <c r="O156" s="9"/>
      <c r="P156" s="9"/>
      <c r="Q156" s="9"/>
      <c r="R156" s="9"/>
      <c r="S156" s="4"/>
      <c r="T156" s="4"/>
      <c r="U156" s="4"/>
      <c r="V156" s="4"/>
      <c r="W156" s="4"/>
      <c r="X156" s="4"/>
      <c r="Y156" s="4"/>
      <c r="AL156" s="360"/>
      <c r="AM156" s="499"/>
    </row>
    <row r="157" spans="1:39" ht="12.75" customHeight="1" x14ac:dyDescent="0.25">
      <c r="A157" s="9"/>
      <c r="B157" s="4"/>
      <c r="C157" s="9"/>
      <c r="D157" s="9"/>
      <c r="E157" s="120"/>
      <c r="F157" s="120"/>
      <c r="G157" s="120"/>
      <c r="H157" s="120"/>
      <c r="I157" s="4"/>
      <c r="J157" s="9"/>
      <c r="K157" s="9"/>
      <c r="L157" s="9"/>
      <c r="M157" s="9"/>
      <c r="N157" s="9"/>
      <c r="O157" s="9"/>
      <c r="P157" s="9"/>
      <c r="Q157" s="9"/>
      <c r="R157" s="9"/>
      <c r="S157" s="4"/>
      <c r="T157" s="4"/>
      <c r="U157" s="4"/>
      <c r="V157" s="4"/>
      <c r="W157" s="4"/>
      <c r="X157" s="4"/>
      <c r="Y157" s="4"/>
      <c r="AL157" s="360"/>
      <c r="AM157" s="499"/>
    </row>
    <row r="158" spans="1:39" ht="12.75" customHeight="1" x14ac:dyDescent="0.25">
      <c r="A158" s="9"/>
      <c r="B158" s="4"/>
      <c r="C158" s="9"/>
      <c r="D158" s="9"/>
      <c r="E158" s="120"/>
      <c r="F158" s="120"/>
      <c r="G158" s="120"/>
      <c r="H158" s="120"/>
      <c r="I158" s="4"/>
      <c r="J158" s="9"/>
      <c r="K158" s="9"/>
      <c r="L158" s="9"/>
      <c r="M158" s="9"/>
      <c r="N158" s="9"/>
      <c r="O158" s="9"/>
      <c r="P158" s="9"/>
      <c r="Q158" s="9"/>
      <c r="R158" s="9"/>
      <c r="S158" s="4"/>
      <c r="T158" s="4"/>
      <c r="U158" s="4"/>
      <c r="V158" s="4"/>
      <c r="W158" s="4"/>
      <c r="X158" s="4"/>
      <c r="Y158" s="4"/>
      <c r="AL158" s="360"/>
      <c r="AM158" s="499"/>
    </row>
    <row r="159" spans="1:39" ht="12.75" customHeight="1" x14ac:dyDescent="0.25">
      <c r="A159" s="9"/>
      <c r="B159" s="4"/>
      <c r="C159" s="9"/>
      <c r="D159" s="9"/>
      <c r="E159" s="120"/>
      <c r="F159" s="120"/>
      <c r="G159" s="120"/>
      <c r="H159" s="120"/>
      <c r="I159" s="4"/>
      <c r="J159" s="9"/>
      <c r="K159" s="9"/>
      <c r="L159" s="9"/>
      <c r="M159" s="9"/>
      <c r="N159" s="9"/>
      <c r="O159" s="9"/>
      <c r="P159" s="9"/>
      <c r="Q159" s="9"/>
      <c r="R159" s="9"/>
      <c r="S159" s="4"/>
      <c r="T159" s="4"/>
      <c r="U159" s="4"/>
      <c r="V159" s="4"/>
      <c r="W159" s="4"/>
      <c r="X159" s="4"/>
      <c r="Y159" s="4"/>
      <c r="AL159" s="360"/>
      <c r="AM159" s="499"/>
    </row>
    <row r="160" spans="1:39" ht="12.75" customHeight="1" x14ac:dyDescent="0.25">
      <c r="A160" s="9"/>
      <c r="B160" s="4"/>
      <c r="C160" s="9"/>
      <c r="D160" s="9"/>
      <c r="E160" s="120"/>
      <c r="F160" s="120"/>
      <c r="G160" s="120"/>
      <c r="H160" s="120"/>
      <c r="I160" s="4"/>
      <c r="J160" s="9"/>
      <c r="K160" s="9"/>
      <c r="L160" s="9"/>
      <c r="M160" s="9"/>
      <c r="N160" s="9"/>
      <c r="O160" s="9"/>
      <c r="P160" s="9"/>
      <c r="Q160" s="9"/>
      <c r="R160" s="9"/>
      <c r="S160" s="4"/>
      <c r="T160" s="4"/>
      <c r="U160" s="4"/>
      <c r="V160" s="4"/>
      <c r="W160" s="4"/>
      <c r="X160" s="4"/>
      <c r="Y160" s="4"/>
      <c r="AL160" s="360"/>
      <c r="AM160" s="499"/>
    </row>
    <row r="161" spans="1:39" ht="12.75" customHeight="1" x14ac:dyDescent="0.25">
      <c r="A161" s="9"/>
      <c r="B161" s="4"/>
      <c r="C161" s="9"/>
      <c r="D161" s="9"/>
      <c r="E161" s="120"/>
      <c r="F161" s="120"/>
      <c r="G161" s="120"/>
      <c r="H161" s="120"/>
      <c r="I161" s="4"/>
      <c r="J161" s="9"/>
      <c r="K161" s="9"/>
      <c r="L161" s="9"/>
      <c r="M161" s="9"/>
      <c r="N161" s="9"/>
      <c r="O161" s="9"/>
      <c r="P161" s="9"/>
      <c r="Q161" s="9"/>
      <c r="R161" s="9"/>
      <c r="S161" s="4"/>
      <c r="T161" s="4"/>
      <c r="U161" s="4"/>
      <c r="V161" s="4"/>
      <c r="W161" s="4"/>
      <c r="X161" s="4"/>
      <c r="Y161" s="4"/>
      <c r="AL161" s="360"/>
      <c r="AM161" s="499"/>
    </row>
    <row r="162" spans="1:39" ht="12.75" customHeight="1" x14ac:dyDescent="0.25">
      <c r="A162" s="9"/>
      <c r="B162" s="4"/>
      <c r="C162" s="9"/>
      <c r="D162" s="9"/>
      <c r="E162" s="120"/>
      <c r="F162" s="120"/>
      <c r="G162" s="120"/>
      <c r="H162" s="120"/>
      <c r="I162" s="4"/>
      <c r="J162" s="9"/>
      <c r="K162" s="9"/>
      <c r="L162" s="9"/>
      <c r="M162" s="9"/>
      <c r="N162" s="9"/>
      <c r="O162" s="9"/>
      <c r="P162" s="9"/>
      <c r="Q162" s="9"/>
      <c r="R162" s="9"/>
      <c r="S162" s="4"/>
      <c r="T162" s="4"/>
      <c r="U162" s="4"/>
      <c r="V162" s="4"/>
      <c r="W162" s="4"/>
      <c r="X162" s="4"/>
      <c r="Y162" s="4"/>
      <c r="AL162" s="360"/>
      <c r="AM162" s="499"/>
    </row>
    <row r="163" spans="1:39" ht="12.75" customHeight="1" x14ac:dyDescent="0.25">
      <c r="A163" s="9"/>
      <c r="B163" s="4"/>
      <c r="C163" s="9"/>
      <c r="D163" s="9"/>
      <c r="E163" s="120"/>
      <c r="F163" s="120"/>
      <c r="G163" s="120"/>
      <c r="H163" s="120"/>
      <c r="I163" s="4"/>
      <c r="J163" s="9"/>
      <c r="K163" s="9"/>
      <c r="L163" s="9"/>
      <c r="M163" s="9"/>
      <c r="N163" s="9"/>
      <c r="O163" s="9"/>
      <c r="P163" s="9"/>
      <c r="Q163" s="9"/>
      <c r="R163" s="9"/>
      <c r="S163" s="4"/>
      <c r="T163" s="4"/>
      <c r="U163" s="4"/>
      <c r="V163" s="4"/>
      <c r="W163" s="4"/>
      <c r="X163" s="4"/>
      <c r="Y163" s="4"/>
      <c r="AL163" s="360"/>
      <c r="AM163" s="499"/>
    </row>
    <row r="164" spans="1:39" ht="12.75" customHeight="1" x14ac:dyDescent="0.25">
      <c r="A164" s="9"/>
      <c r="B164" s="4"/>
      <c r="C164" s="9"/>
      <c r="D164" s="9"/>
      <c r="E164" s="120"/>
      <c r="F164" s="120"/>
      <c r="G164" s="120"/>
      <c r="H164" s="120"/>
      <c r="I164" s="4"/>
      <c r="J164" s="9"/>
      <c r="K164" s="9"/>
      <c r="L164" s="9"/>
      <c r="M164" s="9"/>
      <c r="N164" s="9"/>
      <c r="O164" s="9"/>
      <c r="P164" s="9"/>
      <c r="Q164" s="9"/>
      <c r="R164" s="9"/>
      <c r="S164" s="4"/>
      <c r="T164" s="4"/>
      <c r="U164" s="4"/>
      <c r="V164" s="4"/>
      <c r="W164" s="4"/>
      <c r="X164" s="4"/>
      <c r="Y164" s="4"/>
      <c r="AL164" s="360"/>
      <c r="AM164" s="499"/>
    </row>
    <row r="165" spans="1:39" ht="12.75" customHeight="1" x14ac:dyDescent="0.25">
      <c r="A165" s="9"/>
      <c r="B165" s="4"/>
      <c r="C165" s="9"/>
      <c r="D165" s="9"/>
      <c r="E165" s="120"/>
      <c r="F165" s="120"/>
      <c r="G165" s="120"/>
      <c r="H165" s="120"/>
      <c r="I165" s="4"/>
      <c r="J165" s="9"/>
      <c r="K165" s="9"/>
      <c r="L165" s="9"/>
      <c r="M165" s="9"/>
      <c r="N165" s="9"/>
      <c r="O165" s="9"/>
      <c r="P165" s="9"/>
      <c r="Q165" s="9"/>
      <c r="R165" s="9"/>
      <c r="S165" s="4"/>
      <c r="T165" s="4"/>
      <c r="U165" s="4"/>
      <c r="V165" s="4"/>
      <c r="W165" s="4"/>
      <c r="X165" s="4"/>
      <c r="Y165" s="4"/>
      <c r="AL165" s="360"/>
      <c r="AM165" s="499"/>
    </row>
    <row r="166" spans="1:39" ht="12.75" customHeight="1" x14ac:dyDescent="0.25">
      <c r="A166" s="9"/>
      <c r="B166" s="4"/>
      <c r="C166" s="9"/>
      <c r="D166" s="9"/>
      <c r="E166" s="120"/>
      <c r="F166" s="120"/>
      <c r="G166" s="120"/>
      <c r="H166" s="120"/>
      <c r="I166" s="4"/>
      <c r="J166" s="9"/>
      <c r="K166" s="9"/>
      <c r="L166" s="9"/>
      <c r="M166" s="9"/>
      <c r="N166" s="9"/>
      <c r="O166" s="9"/>
      <c r="P166" s="9"/>
      <c r="Q166" s="9"/>
      <c r="R166" s="9"/>
      <c r="S166" s="4"/>
      <c r="T166" s="4"/>
      <c r="U166" s="4"/>
      <c r="V166" s="4"/>
      <c r="W166" s="4"/>
      <c r="X166" s="4"/>
      <c r="Y166" s="4"/>
      <c r="AL166" s="360"/>
      <c r="AM166" s="499"/>
    </row>
    <row r="167" spans="1:39" ht="12.75" customHeight="1" x14ac:dyDescent="0.25">
      <c r="A167" s="9"/>
      <c r="B167" s="4"/>
      <c r="C167" s="9"/>
      <c r="D167" s="9"/>
      <c r="E167" s="120"/>
      <c r="F167" s="120"/>
      <c r="G167" s="120"/>
      <c r="H167" s="120"/>
      <c r="I167" s="4"/>
      <c r="J167" s="9"/>
      <c r="K167" s="9"/>
      <c r="L167" s="9"/>
      <c r="M167" s="9"/>
      <c r="N167" s="9"/>
      <c r="O167" s="9"/>
      <c r="P167" s="9"/>
      <c r="Q167" s="9"/>
      <c r="R167" s="9"/>
      <c r="S167" s="4"/>
      <c r="T167" s="4"/>
      <c r="U167" s="4"/>
      <c r="V167" s="4"/>
      <c r="W167" s="4"/>
      <c r="X167" s="4"/>
      <c r="Y167" s="4"/>
      <c r="AL167" s="360"/>
      <c r="AM167" s="499"/>
    </row>
    <row r="168" spans="1:39" ht="12.75" customHeight="1" x14ac:dyDescent="0.25">
      <c r="A168" s="9"/>
      <c r="B168" s="4"/>
      <c r="C168" s="9"/>
      <c r="D168" s="9"/>
      <c r="E168" s="120"/>
      <c r="F168" s="120"/>
      <c r="G168" s="120"/>
      <c r="H168" s="120"/>
      <c r="I168" s="4"/>
      <c r="J168" s="9"/>
      <c r="K168" s="9"/>
      <c r="L168" s="9"/>
      <c r="M168" s="9"/>
      <c r="N168" s="9"/>
      <c r="O168" s="9"/>
      <c r="P168" s="9"/>
      <c r="Q168" s="9"/>
      <c r="R168" s="9"/>
      <c r="S168" s="4"/>
      <c r="T168" s="4"/>
      <c r="U168" s="4"/>
      <c r="V168" s="4"/>
      <c r="W168" s="4"/>
      <c r="X168" s="4"/>
      <c r="Y168" s="4"/>
      <c r="AL168" s="360"/>
      <c r="AM168" s="499"/>
    </row>
    <row r="169" spans="1:39" ht="12.75" customHeight="1" x14ac:dyDescent="0.25">
      <c r="A169" s="9"/>
      <c r="B169" s="4"/>
      <c r="C169" s="9"/>
      <c r="D169" s="9"/>
      <c r="E169" s="120"/>
      <c r="F169" s="120"/>
      <c r="G169" s="120"/>
      <c r="H169" s="120"/>
      <c r="I169" s="4"/>
      <c r="J169" s="9"/>
      <c r="K169" s="9"/>
      <c r="L169" s="9"/>
      <c r="M169" s="9"/>
      <c r="N169" s="9"/>
      <c r="O169" s="9"/>
      <c r="P169" s="9"/>
      <c r="Q169" s="9"/>
      <c r="R169" s="9"/>
      <c r="S169" s="4"/>
      <c r="T169" s="4"/>
      <c r="U169" s="4"/>
      <c r="V169" s="4"/>
      <c r="W169" s="4"/>
      <c r="X169" s="4"/>
      <c r="Y169" s="4"/>
      <c r="AL169" s="360"/>
      <c r="AM169" s="499"/>
    </row>
    <row r="170" spans="1:39" ht="12.75" customHeight="1" x14ac:dyDescent="0.25">
      <c r="A170" s="9"/>
      <c r="B170" s="4"/>
      <c r="C170" s="9"/>
      <c r="D170" s="9"/>
      <c r="E170" s="120"/>
      <c r="F170" s="120"/>
      <c r="G170" s="120"/>
      <c r="H170" s="120"/>
      <c r="I170" s="4"/>
      <c r="J170" s="9"/>
      <c r="K170" s="9"/>
      <c r="L170" s="9"/>
      <c r="M170" s="9"/>
      <c r="N170" s="9"/>
      <c r="O170" s="9"/>
      <c r="P170" s="9"/>
      <c r="Q170" s="9"/>
      <c r="R170" s="9"/>
      <c r="S170" s="4"/>
      <c r="T170" s="4"/>
      <c r="U170" s="4"/>
      <c r="V170" s="4"/>
      <c r="W170" s="4"/>
      <c r="X170" s="4"/>
      <c r="Y170" s="4"/>
      <c r="AL170" s="360"/>
      <c r="AM170" s="499"/>
    </row>
    <row r="171" spans="1:39" ht="12.75" customHeight="1" x14ac:dyDescent="0.25">
      <c r="A171" s="9"/>
      <c r="B171" s="4"/>
      <c r="C171" s="9"/>
      <c r="D171" s="9"/>
      <c r="E171" s="120"/>
      <c r="F171" s="120"/>
      <c r="G171" s="120"/>
      <c r="H171" s="120"/>
      <c r="I171" s="4"/>
      <c r="J171" s="9"/>
      <c r="K171" s="9"/>
      <c r="L171" s="9"/>
      <c r="M171" s="9"/>
      <c r="N171" s="9"/>
      <c r="O171" s="9"/>
      <c r="P171" s="9"/>
      <c r="Q171" s="9"/>
      <c r="R171" s="9"/>
      <c r="S171" s="4"/>
      <c r="T171" s="4"/>
      <c r="U171" s="4"/>
      <c r="V171" s="4"/>
      <c r="W171" s="4"/>
      <c r="X171" s="4"/>
      <c r="Y171" s="4"/>
      <c r="AL171" s="360"/>
      <c r="AM171" s="499"/>
    </row>
    <row r="172" spans="1:39" ht="12.75" customHeight="1" x14ac:dyDescent="0.25">
      <c r="A172" s="9"/>
      <c r="B172" s="4"/>
      <c r="C172" s="9"/>
      <c r="D172" s="9"/>
      <c r="E172" s="120"/>
      <c r="F172" s="120"/>
      <c r="G172" s="120"/>
      <c r="H172" s="120"/>
      <c r="I172" s="4"/>
      <c r="J172" s="9"/>
      <c r="K172" s="9"/>
      <c r="L172" s="9"/>
      <c r="M172" s="9"/>
      <c r="N172" s="9"/>
      <c r="O172" s="9"/>
      <c r="P172" s="9"/>
      <c r="Q172" s="9"/>
      <c r="R172" s="9"/>
      <c r="S172" s="4"/>
      <c r="T172" s="4"/>
      <c r="U172" s="4"/>
      <c r="V172" s="4"/>
      <c r="W172" s="4"/>
      <c r="X172" s="4"/>
      <c r="Y172" s="4"/>
      <c r="AL172" s="360"/>
      <c r="AM172" s="499"/>
    </row>
    <row r="173" spans="1:39" ht="12.75" customHeight="1" x14ac:dyDescent="0.25">
      <c r="A173" s="9"/>
      <c r="B173" s="4"/>
      <c r="C173" s="9"/>
      <c r="D173" s="9"/>
      <c r="E173" s="120"/>
      <c r="F173" s="120"/>
      <c r="G173" s="120"/>
      <c r="H173" s="120"/>
      <c r="I173" s="4"/>
      <c r="J173" s="9"/>
      <c r="K173" s="9"/>
      <c r="L173" s="9"/>
      <c r="M173" s="9"/>
      <c r="N173" s="9"/>
      <c r="O173" s="9"/>
      <c r="P173" s="9"/>
      <c r="Q173" s="9"/>
      <c r="R173" s="9"/>
      <c r="S173" s="4"/>
      <c r="T173" s="4"/>
      <c r="U173" s="4"/>
      <c r="V173" s="4"/>
      <c r="W173" s="4"/>
      <c r="X173" s="4"/>
      <c r="Y173" s="4"/>
      <c r="AL173" s="360"/>
      <c r="AM173" s="499"/>
    </row>
    <row r="174" spans="1:39" ht="12.75" customHeight="1" x14ac:dyDescent="0.25">
      <c r="A174" s="9"/>
      <c r="B174" s="4"/>
      <c r="C174" s="9"/>
      <c r="D174" s="9"/>
      <c r="E174" s="120"/>
      <c r="F174" s="120"/>
      <c r="G174" s="120"/>
      <c r="H174" s="120"/>
      <c r="I174" s="4"/>
      <c r="J174" s="9"/>
      <c r="K174" s="9"/>
      <c r="L174" s="9"/>
      <c r="M174" s="9"/>
      <c r="N174" s="9"/>
      <c r="O174" s="9"/>
      <c r="P174" s="9"/>
      <c r="Q174" s="9"/>
      <c r="R174" s="9"/>
      <c r="S174" s="4"/>
      <c r="T174" s="4"/>
      <c r="U174" s="4"/>
      <c r="V174" s="4"/>
      <c r="W174" s="4"/>
      <c r="X174" s="4"/>
      <c r="Y174" s="4"/>
      <c r="AL174" s="360"/>
      <c r="AM174" s="499"/>
    </row>
    <row r="175" spans="1:39" ht="12.75" customHeight="1" x14ac:dyDescent="0.25">
      <c r="A175" s="9"/>
      <c r="B175" s="4"/>
      <c r="C175" s="9"/>
      <c r="D175" s="9"/>
      <c r="E175" s="120"/>
      <c r="F175" s="120"/>
      <c r="G175" s="120"/>
      <c r="H175" s="120"/>
      <c r="I175" s="4"/>
      <c r="J175" s="9"/>
      <c r="K175" s="9"/>
      <c r="L175" s="9"/>
      <c r="M175" s="9"/>
      <c r="N175" s="9"/>
      <c r="O175" s="9"/>
      <c r="P175" s="9"/>
      <c r="Q175" s="9"/>
      <c r="R175" s="9"/>
      <c r="S175" s="4"/>
      <c r="T175" s="4"/>
      <c r="U175" s="4"/>
      <c r="V175" s="4"/>
      <c r="W175" s="4"/>
      <c r="X175" s="4"/>
      <c r="Y175" s="4"/>
      <c r="AL175" s="360"/>
      <c r="AM175" s="499"/>
    </row>
    <row r="176" spans="1:39" ht="12.75" customHeight="1" x14ac:dyDescent="0.25">
      <c r="A176" s="9"/>
      <c r="B176" s="4"/>
      <c r="C176" s="9"/>
      <c r="D176" s="9"/>
      <c r="E176" s="120"/>
      <c r="F176" s="120"/>
      <c r="G176" s="120"/>
      <c r="H176" s="120"/>
      <c r="I176" s="4"/>
      <c r="J176" s="9"/>
      <c r="K176" s="9"/>
      <c r="L176" s="9"/>
      <c r="M176" s="9"/>
      <c r="N176" s="9"/>
      <c r="O176" s="9"/>
      <c r="P176" s="9"/>
      <c r="Q176" s="9"/>
      <c r="R176" s="9"/>
      <c r="S176" s="4"/>
      <c r="T176" s="4"/>
      <c r="U176" s="4"/>
      <c r="V176" s="4"/>
      <c r="W176" s="4"/>
      <c r="X176" s="4"/>
      <c r="Y176" s="4"/>
      <c r="AL176" s="360"/>
      <c r="AM176" s="499"/>
    </row>
    <row r="177" spans="1:39" ht="12.75" customHeight="1" x14ac:dyDescent="0.25">
      <c r="A177" s="9"/>
      <c r="B177" s="4"/>
      <c r="C177" s="9"/>
      <c r="D177" s="9"/>
      <c r="E177" s="120"/>
      <c r="F177" s="120"/>
      <c r="G177" s="120"/>
      <c r="H177" s="120"/>
      <c r="I177" s="4"/>
      <c r="J177" s="9"/>
      <c r="K177" s="9"/>
      <c r="L177" s="9"/>
      <c r="M177" s="9"/>
      <c r="N177" s="9"/>
      <c r="O177" s="9"/>
      <c r="P177" s="9"/>
      <c r="Q177" s="9"/>
      <c r="R177" s="9"/>
      <c r="S177" s="4"/>
      <c r="T177" s="4"/>
      <c r="U177" s="4"/>
      <c r="V177" s="4"/>
      <c r="W177" s="4"/>
      <c r="X177" s="4"/>
      <c r="Y177" s="4"/>
      <c r="AL177" s="360"/>
      <c r="AM177" s="499"/>
    </row>
    <row r="178" spans="1:39" ht="12.75" customHeight="1" x14ac:dyDescent="0.25">
      <c r="A178" s="9"/>
      <c r="B178" s="4"/>
      <c r="C178" s="9"/>
      <c r="D178" s="9"/>
      <c r="E178" s="120"/>
      <c r="F178" s="120"/>
      <c r="G178" s="120"/>
      <c r="H178" s="120"/>
      <c r="I178" s="4"/>
      <c r="J178" s="9"/>
      <c r="K178" s="9"/>
      <c r="L178" s="9"/>
      <c r="M178" s="9"/>
      <c r="N178" s="9"/>
      <c r="O178" s="9"/>
      <c r="P178" s="9"/>
      <c r="Q178" s="9"/>
      <c r="R178" s="9"/>
      <c r="S178" s="4"/>
      <c r="T178" s="4"/>
      <c r="U178" s="4"/>
      <c r="V178" s="4"/>
      <c r="W178" s="4"/>
      <c r="X178" s="4"/>
      <c r="Y178" s="4"/>
      <c r="AL178" s="360"/>
      <c r="AM178" s="499"/>
    </row>
    <row r="179" spans="1:39" ht="12.75" customHeight="1" x14ac:dyDescent="0.25">
      <c r="A179" s="9"/>
      <c r="B179" s="4"/>
      <c r="C179" s="9"/>
      <c r="D179" s="9"/>
      <c r="E179" s="120"/>
      <c r="F179" s="120"/>
      <c r="G179" s="120"/>
      <c r="H179" s="120"/>
      <c r="I179" s="4"/>
      <c r="J179" s="9"/>
      <c r="K179" s="9"/>
      <c r="L179" s="9"/>
      <c r="M179" s="9"/>
      <c r="N179" s="9"/>
      <c r="O179" s="9"/>
      <c r="P179" s="9"/>
      <c r="Q179" s="9"/>
      <c r="R179" s="9"/>
      <c r="S179" s="4"/>
      <c r="T179" s="4"/>
      <c r="U179" s="4"/>
      <c r="V179" s="4"/>
      <c r="W179" s="4"/>
      <c r="X179" s="4"/>
      <c r="Y179" s="4"/>
      <c r="AL179" s="360"/>
      <c r="AM179" s="499"/>
    </row>
    <row r="180" spans="1:39" ht="12.75" customHeight="1" x14ac:dyDescent="0.25">
      <c r="A180" s="9"/>
      <c r="B180" s="4"/>
      <c r="C180" s="9"/>
      <c r="D180" s="9"/>
      <c r="E180" s="120"/>
      <c r="F180" s="120"/>
      <c r="G180" s="120"/>
      <c r="H180" s="120"/>
      <c r="I180" s="4"/>
      <c r="J180" s="9"/>
      <c r="K180" s="9"/>
      <c r="L180" s="9"/>
      <c r="M180" s="9"/>
      <c r="N180" s="9"/>
      <c r="O180" s="9"/>
      <c r="P180" s="9"/>
      <c r="Q180" s="9"/>
      <c r="R180" s="9"/>
      <c r="S180" s="4"/>
      <c r="T180" s="4"/>
      <c r="U180" s="4"/>
      <c r="V180" s="4"/>
      <c r="W180" s="4"/>
      <c r="X180" s="4"/>
      <c r="Y180" s="4"/>
      <c r="AL180" s="360"/>
      <c r="AM180" s="499"/>
    </row>
    <row r="181" spans="1:39" ht="12.75" customHeight="1" x14ac:dyDescent="0.25">
      <c r="A181" s="9"/>
      <c r="B181" s="4"/>
      <c r="C181" s="9"/>
      <c r="D181" s="9"/>
      <c r="E181" s="120"/>
      <c r="F181" s="120"/>
      <c r="G181" s="120"/>
      <c r="H181" s="120"/>
      <c r="I181" s="4"/>
      <c r="J181" s="9"/>
      <c r="K181" s="9"/>
      <c r="L181" s="9"/>
      <c r="M181" s="9"/>
      <c r="N181" s="9"/>
      <c r="O181" s="9"/>
      <c r="P181" s="9"/>
      <c r="Q181" s="9"/>
      <c r="R181" s="9"/>
      <c r="S181" s="4"/>
      <c r="T181" s="4"/>
      <c r="U181" s="4"/>
      <c r="V181" s="4"/>
      <c r="W181" s="4"/>
      <c r="X181" s="4"/>
      <c r="Y181" s="4"/>
      <c r="AL181" s="360"/>
      <c r="AM181" s="499"/>
    </row>
    <row r="182" spans="1:39" ht="12.75" customHeight="1" x14ac:dyDescent="0.25">
      <c r="A182" s="9"/>
      <c r="B182" s="4"/>
      <c r="C182" s="9"/>
      <c r="D182" s="9"/>
      <c r="E182" s="120"/>
      <c r="F182" s="120"/>
      <c r="G182" s="120"/>
      <c r="H182" s="120"/>
      <c r="I182" s="4"/>
      <c r="J182" s="9"/>
      <c r="K182" s="9"/>
      <c r="L182" s="9"/>
      <c r="M182" s="9"/>
      <c r="N182" s="9"/>
      <c r="O182" s="9"/>
      <c r="P182" s="9"/>
      <c r="Q182" s="9"/>
      <c r="R182" s="9"/>
      <c r="S182" s="4"/>
      <c r="T182" s="4"/>
      <c r="U182" s="4"/>
      <c r="V182" s="4"/>
      <c r="W182" s="4"/>
      <c r="X182" s="4"/>
      <c r="Y182" s="4"/>
      <c r="AL182" s="360"/>
      <c r="AM182" s="499"/>
    </row>
    <row r="183" spans="1:39" ht="12.75" customHeight="1" x14ac:dyDescent="0.25">
      <c r="A183" s="9"/>
      <c r="B183" s="4"/>
      <c r="C183" s="9"/>
      <c r="D183" s="9"/>
      <c r="E183" s="120"/>
      <c r="F183" s="120"/>
      <c r="G183" s="120"/>
      <c r="H183" s="120"/>
      <c r="I183" s="4"/>
      <c r="J183" s="9"/>
      <c r="K183" s="9"/>
      <c r="L183" s="9"/>
      <c r="M183" s="9"/>
      <c r="N183" s="9"/>
      <c r="O183" s="9"/>
      <c r="P183" s="9"/>
      <c r="Q183" s="9"/>
      <c r="R183" s="9"/>
      <c r="S183" s="4"/>
      <c r="T183" s="4"/>
      <c r="U183" s="4"/>
      <c r="V183" s="4"/>
      <c r="W183" s="4"/>
      <c r="X183" s="4"/>
      <c r="Y183" s="4"/>
      <c r="AL183" s="360"/>
      <c r="AM183" s="499"/>
    </row>
    <row r="184" spans="1:39" ht="12.75" customHeight="1" x14ac:dyDescent="0.25">
      <c r="A184" s="9"/>
      <c r="B184" s="4"/>
      <c r="C184" s="9"/>
      <c r="D184" s="9"/>
      <c r="E184" s="120"/>
      <c r="F184" s="120"/>
      <c r="G184" s="120"/>
      <c r="H184" s="120"/>
      <c r="I184" s="4"/>
      <c r="J184" s="9"/>
      <c r="K184" s="9"/>
      <c r="L184" s="9"/>
      <c r="M184" s="9"/>
      <c r="N184" s="9"/>
      <c r="O184" s="9"/>
      <c r="P184" s="9"/>
      <c r="Q184" s="9"/>
      <c r="R184" s="9"/>
      <c r="S184" s="4"/>
      <c r="T184" s="4"/>
      <c r="U184" s="4"/>
      <c r="V184" s="4"/>
      <c r="W184" s="4"/>
      <c r="X184" s="4"/>
      <c r="Y184" s="4"/>
      <c r="AL184" s="360"/>
      <c r="AM184" s="499"/>
    </row>
    <row r="185" spans="1:39" ht="12.75" customHeight="1" x14ac:dyDescent="0.25">
      <c r="A185" s="9"/>
      <c r="B185" s="4"/>
      <c r="C185" s="9"/>
      <c r="D185" s="9"/>
      <c r="E185" s="120"/>
      <c r="F185" s="120"/>
      <c r="G185" s="120"/>
      <c r="H185" s="120"/>
      <c r="I185" s="4"/>
      <c r="J185" s="9"/>
      <c r="K185" s="9"/>
      <c r="L185" s="9"/>
      <c r="M185" s="9"/>
      <c r="N185" s="9"/>
      <c r="O185" s="9"/>
      <c r="P185" s="9"/>
      <c r="Q185" s="9"/>
      <c r="R185" s="9"/>
      <c r="S185" s="4"/>
      <c r="T185" s="4"/>
      <c r="U185" s="4"/>
      <c r="V185" s="4"/>
      <c r="W185" s="4"/>
      <c r="X185" s="4"/>
      <c r="Y185" s="4"/>
      <c r="AL185" s="360"/>
      <c r="AM185" s="499"/>
    </row>
    <row r="186" spans="1:39" ht="12.75" customHeight="1" x14ac:dyDescent="0.25">
      <c r="A186" s="9"/>
      <c r="B186" s="4"/>
      <c r="C186" s="9"/>
      <c r="D186" s="9"/>
      <c r="E186" s="120"/>
      <c r="F186" s="120"/>
      <c r="G186" s="120"/>
      <c r="H186" s="120"/>
      <c r="I186" s="4"/>
      <c r="J186" s="9"/>
      <c r="K186" s="9"/>
      <c r="L186" s="9"/>
      <c r="M186" s="9"/>
      <c r="N186" s="9"/>
      <c r="O186" s="9"/>
      <c r="P186" s="9"/>
      <c r="Q186" s="9"/>
      <c r="R186" s="9"/>
      <c r="S186" s="4"/>
      <c r="T186" s="4"/>
      <c r="U186" s="4"/>
      <c r="V186" s="4"/>
      <c r="W186" s="4"/>
      <c r="X186" s="4"/>
      <c r="Y186" s="4"/>
      <c r="AL186" s="360"/>
      <c r="AM186" s="499"/>
    </row>
    <row r="187" spans="1:39" ht="12.75" customHeight="1" x14ac:dyDescent="0.25">
      <c r="A187" s="9"/>
      <c r="B187" s="4"/>
      <c r="C187" s="9"/>
      <c r="D187" s="9"/>
      <c r="E187" s="120"/>
      <c r="F187" s="120"/>
      <c r="G187" s="120"/>
      <c r="H187" s="120"/>
      <c r="I187" s="4"/>
      <c r="J187" s="9"/>
      <c r="K187" s="9"/>
      <c r="L187" s="9"/>
      <c r="M187" s="9"/>
      <c r="N187" s="9"/>
      <c r="O187" s="9"/>
      <c r="P187" s="9"/>
      <c r="Q187" s="9"/>
      <c r="R187" s="9"/>
      <c r="S187" s="4"/>
      <c r="T187" s="4"/>
      <c r="U187" s="4"/>
      <c r="V187" s="4"/>
      <c r="W187" s="4"/>
      <c r="X187" s="4"/>
      <c r="Y187" s="4"/>
      <c r="AL187" s="360"/>
      <c r="AM187" s="499"/>
    </row>
    <row r="188" spans="1:39" ht="12.75" customHeight="1" x14ac:dyDescent="0.25">
      <c r="A188" s="9"/>
      <c r="B188" s="4"/>
      <c r="C188" s="9"/>
      <c r="D188" s="9"/>
      <c r="E188" s="120"/>
      <c r="F188" s="120"/>
      <c r="G188" s="120"/>
      <c r="H188" s="120"/>
      <c r="I188" s="4"/>
      <c r="J188" s="9"/>
      <c r="K188" s="9"/>
      <c r="L188" s="9"/>
      <c r="M188" s="9"/>
      <c r="N188" s="9"/>
      <c r="O188" s="9"/>
      <c r="P188" s="9"/>
      <c r="Q188" s="9"/>
      <c r="R188" s="9"/>
      <c r="S188" s="4"/>
      <c r="T188" s="4"/>
      <c r="U188" s="4"/>
      <c r="V188" s="4"/>
      <c r="W188" s="4"/>
      <c r="X188" s="4"/>
      <c r="Y188" s="4"/>
      <c r="AL188" s="360"/>
      <c r="AM188" s="499"/>
    </row>
    <row r="189" spans="1:39" ht="12.75" customHeight="1" x14ac:dyDescent="0.25">
      <c r="A189" s="9"/>
      <c r="B189" s="4"/>
      <c r="C189" s="9"/>
      <c r="D189" s="9"/>
      <c r="E189" s="120"/>
      <c r="F189" s="120"/>
      <c r="G189" s="120"/>
      <c r="H189" s="120"/>
      <c r="I189" s="4"/>
      <c r="J189" s="9"/>
      <c r="K189" s="9"/>
      <c r="L189" s="9"/>
      <c r="M189" s="9"/>
      <c r="N189" s="9"/>
      <c r="O189" s="9"/>
      <c r="P189" s="9"/>
      <c r="Q189" s="9"/>
      <c r="R189" s="9"/>
      <c r="S189" s="4"/>
      <c r="T189" s="4"/>
      <c r="U189" s="4"/>
      <c r="V189" s="4"/>
      <c r="W189" s="4"/>
      <c r="X189" s="4"/>
      <c r="Y189" s="4"/>
      <c r="AL189" s="360"/>
      <c r="AM189" s="499"/>
    </row>
    <row r="190" spans="1:39" ht="12.75" customHeight="1" x14ac:dyDescent="0.25">
      <c r="A190" s="9"/>
      <c r="B190" s="4"/>
      <c r="C190" s="9"/>
      <c r="D190" s="9"/>
      <c r="E190" s="120"/>
      <c r="F190" s="120"/>
      <c r="G190" s="120"/>
      <c r="H190" s="120"/>
      <c r="I190" s="4"/>
      <c r="J190" s="9"/>
      <c r="K190" s="9"/>
      <c r="L190" s="9"/>
      <c r="M190" s="9"/>
      <c r="N190" s="9"/>
      <c r="O190" s="9"/>
      <c r="P190" s="9"/>
      <c r="Q190" s="9"/>
      <c r="R190" s="9"/>
      <c r="S190" s="4"/>
      <c r="T190" s="4"/>
      <c r="U190" s="4"/>
      <c r="V190" s="4"/>
      <c r="W190" s="4"/>
      <c r="X190" s="4"/>
      <c r="Y190" s="4"/>
      <c r="AL190" s="360"/>
      <c r="AM190" s="499"/>
    </row>
    <row r="191" spans="1:39" ht="12.75" customHeight="1" x14ac:dyDescent="0.25">
      <c r="A191" s="9"/>
      <c r="B191" s="4"/>
      <c r="C191" s="9"/>
      <c r="D191" s="9"/>
      <c r="E191" s="120"/>
      <c r="F191" s="120"/>
      <c r="G191" s="120"/>
      <c r="H191" s="120"/>
      <c r="I191" s="4"/>
      <c r="J191" s="9"/>
      <c r="K191" s="9"/>
      <c r="L191" s="9"/>
      <c r="M191" s="9"/>
      <c r="N191" s="9"/>
      <c r="O191" s="9"/>
      <c r="P191" s="9"/>
      <c r="Q191" s="9"/>
      <c r="R191" s="9"/>
      <c r="S191" s="4"/>
      <c r="T191" s="4"/>
      <c r="U191" s="4"/>
      <c r="V191" s="4"/>
      <c r="W191" s="4"/>
      <c r="X191" s="4"/>
      <c r="Y191" s="4"/>
      <c r="AL191" s="360"/>
      <c r="AM191" s="499"/>
    </row>
    <row r="192" spans="1:39" ht="12.75" customHeight="1" x14ac:dyDescent="0.25">
      <c r="A192" s="9"/>
      <c r="B192" s="4"/>
      <c r="C192" s="9"/>
      <c r="D192" s="9"/>
      <c r="E192" s="120"/>
      <c r="F192" s="120"/>
      <c r="G192" s="120"/>
      <c r="H192" s="120"/>
      <c r="I192" s="4"/>
      <c r="J192" s="9"/>
      <c r="K192" s="9"/>
      <c r="L192" s="9"/>
      <c r="M192" s="9"/>
      <c r="N192" s="9"/>
      <c r="O192" s="9"/>
      <c r="P192" s="9"/>
      <c r="Q192" s="9"/>
      <c r="R192" s="9"/>
      <c r="S192" s="4"/>
      <c r="T192" s="4"/>
      <c r="U192" s="4"/>
      <c r="V192" s="4"/>
      <c r="W192" s="4"/>
      <c r="X192" s="4"/>
      <c r="Y192" s="4"/>
      <c r="AL192" s="360"/>
      <c r="AM192" s="499"/>
    </row>
    <row r="193" spans="1:39" ht="12.75" customHeight="1" x14ac:dyDescent="0.25">
      <c r="A193" s="9"/>
      <c r="B193" s="4"/>
      <c r="C193" s="9"/>
      <c r="D193" s="9"/>
      <c r="E193" s="120"/>
      <c r="F193" s="120"/>
      <c r="G193" s="120"/>
      <c r="H193" s="120"/>
      <c r="I193" s="4"/>
      <c r="J193" s="9"/>
      <c r="K193" s="9"/>
      <c r="L193" s="9"/>
      <c r="M193" s="9"/>
      <c r="N193" s="9"/>
      <c r="O193" s="9"/>
      <c r="P193" s="9"/>
      <c r="Q193" s="9"/>
      <c r="R193" s="9"/>
      <c r="S193" s="4"/>
      <c r="T193" s="4"/>
      <c r="U193" s="4"/>
      <c r="V193" s="4"/>
      <c r="W193" s="4"/>
      <c r="X193" s="4"/>
      <c r="Y193" s="4"/>
      <c r="AL193" s="360"/>
      <c r="AM193" s="499"/>
    </row>
    <row r="194" spans="1:39" ht="12.75" customHeight="1" x14ac:dyDescent="0.25">
      <c r="A194" s="9"/>
      <c r="B194" s="4"/>
      <c r="C194" s="9"/>
      <c r="D194" s="9"/>
      <c r="E194" s="120"/>
      <c r="F194" s="120"/>
      <c r="G194" s="120"/>
      <c r="H194" s="120"/>
      <c r="I194" s="4"/>
      <c r="J194" s="9"/>
      <c r="K194" s="9"/>
      <c r="L194" s="9"/>
      <c r="M194" s="9"/>
      <c r="N194" s="9"/>
      <c r="O194" s="9"/>
      <c r="P194" s="9"/>
      <c r="Q194" s="9"/>
      <c r="R194" s="9"/>
      <c r="S194" s="4"/>
      <c r="T194" s="4"/>
      <c r="U194" s="4"/>
      <c r="V194" s="4"/>
      <c r="W194" s="4"/>
      <c r="X194" s="4"/>
      <c r="Y194" s="4"/>
      <c r="AL194" s="360"/>
      <c r="AM194" s="499"/>
    </row>
    <row r="195" spans="1:39" ht="12.75" customHeight="1" x14ac:dyDescent="0.25">
      <c r="A195" s="9"/>
      <c r="B195" s="4"/>
      <c r="C195" s="9"/>
      <c r="D195" s="9"/>
      <c r="E195" s="120"/>
      <c r="F195" s="120"/>
      <c r="G195" s="120"/>
      <c r="H195" s="120"/>
      <c r="I195" s="4"/>
      <c r="J195" s="9"/>
      <c r="K195" s="9"/>
      <c r="L195" s="9"/>
      <c r="M195" s="9"/>
      <c r="N195" s="9"/>
      <c r="O195" s="9"/>
      <c r="P195" s="9"/>
      <c r="Q195" s="9"/>
      <c r="R195" s="9"/>
      <c r="S195" s="4"/>
      <c r="T195" s="4"/>
      <c r="U195" s="4"/>
      <c r="V195" s="4"/>
      <c r="W195" s="4"/>
      <c r="X195" s="4"/>
      <c r="Y195" s="4"/>
      <c r="AL195" s="360"/>
      <c r="AM195" s="499"/>
    </row>
    <row r="196" spans="1:39" ht="12.75" customHeight="1" x14ac:dyDescent="0.25">
      <c r="A196" s="9"/>
      <c r="B196" s="4"/>
      <c r="C196" s="9"/>
      <c r="D196" s="9"/>
      <c r="E196" s="120"/>
      <c r="F196" s="120"/>
      <c r="G196" s="120"/>
      <c r="H196" s="120"/>
      <c r="I196" s="4"/>
      <c r="J196" s="9"/>
      <c r="K196" s="9"/>
      <c r="L196" s="9"/>
      <c r="M196" s="9"/>
      <c r="N196" s="9"/>
      <c r="O196" s="9"/>
      <c r="P196" s="9"/>
      <c r="Q196" s="9"/>
      <c r="R196" s="9"/>
      <c r="S196" s="4"/>
      <c r="T196" s="4"/>
      <c r="U196" s="4"/>
      <c r="V196" s="4"/>
      <c r="W196" s="4"/>
      <c r="X196" s="4"/>
      <c r="Y196" s="4"/>
      <c r="AL196" s="360"/>
      <c r="AM196" s="499"/>
    </row>
    <row r="197" spans="1:39" ht="12.75" customHeight="1" x14ac:dyDescent="0.25">
      <c r="A197" s="9"/>
      <c r="B197" s="4"/>
      <c r="C197" s="9"/>
      <c r="D197" s="9"/>
      <c r="E197" s="120"/>
      <c r="F197" s="120"/>
      <c r="G197" s="120"/>
      <c r="H197" s="120"/>
      <c r="I197" s="4"/>
      <c r="J197" s="9"/>
      <c r="K197" s="9"/>
      <c r="L197" s="9"/>
      <c r="M197" s="9"/>
      <c r="N197" s="9"/>
      <c r="O197" s="9"/>
      <c r="P197" s="9"/>
      <c r="Q197" s="9"/>
      <c r="R197" s="9"/>
      <c r="S197" s="4"/>
      <c r="T197" s="4"/>
      <c r="U197" s="4"/>
      <c r="V197" s="4"/>
      <c r="W197" s="4"/>
      <c r="X197" s="4"/>
      <c r="Y197" s="4"/>
      <c r="AL197" s="360"/>
      <c r="AM197" s="499"/>
    </row>
    <row r="198" spans="1:39" ht="12.75" customHeight="1" x14ac:dyDescent="0.25">
      <c r="A198" s="9"/>
      <c r="B198" s="4"/>
      <c r="C198" s="9"/>
      <c r="D198" s="9"/>
      <c r="E198" s="120"/>
      <c r="F198" s="120"/>
      <c r="G198" s="120"/>
      <c r="H198" s="120"/>
      <c r="I198" s="4"/>
      <c r="J198" s="9"/>
      <c r="K198" s="9"/>
      <c r="L198" s="9"/>
      <c r="M198" s="9"/>
      <c r="N198" s="9"/>
      <c r="O198" s="9"/>
      <c r="P198" s="9"/>
      <c r="Q198" s="9"/>
      <c r="R198" s="9"/>
      <c r="S198" s="4"/>
      <c r="T198" s="4"/>
      <c r="U198" s="4"/>
      <c r="V198" s="4"/>
      <c r="W198" s="4"/>
      <c r="X198" s="4"/>
      <c r="Y198" s="4"/>
      <c r="AL198" s="360"/>
      <c r="AM198" s="499"/>
    </row>
    <row r="199" spans="1:39" ht="12.75" customHeight="1" x14ac:dyDescent="0.25">
      <c r="A199" s="9"/>
      <c r="B199" s="4"/>
      <c r="C199" s="9"/>
      <c r="D199" s="9"/>
      <c r="E199" s="120"/>
      <c r="F199" s="120"/>
      <c r="G199" s="120"/>
      <c r="H199" s="120"/>
      <c r="I199" s="4"/>
      <c r="J199" s="9"/>
      <c r="K199" s="9"/>
      <c r="L199" s="9"/>
      <c r="M199" s="9"/>
      <c r="N199" s="9"/>
      <c r="O199" s="9"/>
      <c r="P199" s="9"/>
      <c r="Q199" s="9"/>
      <c r="R199" s="9"/>
      <c r="S199" s="4"/>
      <c r="T199" s="4"/>
      <c r="U199" s="4"/>
      <c r="V199" s="4"/>
      <c r="W199" s="4"/>
      <c r="X199" s="4"/>
      <c r="Y199" s="4"/>
      <c r="AL199" s="360"/>
      <c r="AM199" s="499"/>
    </row>
    <row r="200" spans="1:39" ht="12.75" customHeight="1" x14ac:dyDescent="0.25">
      <c r="A200" s="9"/>
      <c r="B200" s="4"/>
      <c r="C200" s="9"/>
      <c r="D200" s="9"/>
      <c r="E200" s="120"/>
      <c r="F200" s="120"/>
      <c r="G200" s="120"/>
      <c r="H200" s="120"/>
      <c r="I200" s="4"/>
      <c r="J200" s="9"/>
      <c r="K200" s="9"/>
      <c r="L200" s="9"/>
      <c r="M200" s="9"/>
      <c r="N200" s="9"/>
      <c r="O200" s="9"/>
      <c r="P200" s="9"/>
      <c r="Q200" s="9"/>
      <c r="R200" s="9"/>
      <c r="S200" s="4"/>
      <c r="T200" s="4"/>
      <c r="U200" s="4"/>
      <c r="V200" s="4"/>
      <c r="W200" s="4"/>
      <c r="X200" s="4"/>
      <c r="Y200" s="4"/>
      <c r="AL200" s="360"/>
      <c r="AM200" s="499"/>
    </row>
    <row r="201" spans="1:39" ht="12.75" customHeight="1" x14ac:dyDescent="0.25">
      <c r="A201" s="9"/>
      <c r="B201" s="4"/>
      <c r="C201" s="9"/>
      <c r="D201" s="9"/>
      <c r="E201" s="120"/>
      <c r="F201" s="120"/>
      <c r="G201" s="120"/>
      <c r="H201" s="120"/>
      <c r="I201" s="4"/>
      <c r="J201" s="9"/>
      <c r="K201" s="9"/>
      <c r="L201" s="9"/>
      <c r="M201" s="9"/>
      <c r="N201" s="9"/>
      <c r="O201" s="9"/>
      <c r="P201" s="9"/>
      <c r="Q201" s="9"/>
      <c r="R201" s="9"/>
      <c r="S201" s="4"/>
      <c r="T201" s="4"/>
      <c r="U201" s="4"/>
      <c r="V201" s="4"/>
      <c r="W201" s="4"/>
      <c r="X201" s="4"/>
      <c r="Y201" s="4"/>
      <c r="AL201" s="360"/>
      <c r="AM201" s="499"/>
    </row>
    <row r="202" spans="1:39" ht="12.75" customHeight="1" x14ac:dyDescent="0.25">
      <c r="A202" s="9"/>
      <c r="B202" s="4"/>
      <c r="C202" s="9"/>
      <c r="D202" s="9"/>
      <c r="E202" s="120"/>
      <c r="F202" s="120"/>
      <c r="G202" s="120"/>
      <c r="H202" s="120"/>
      <c r="I202" s="4"/>
      <c r="J202" s="9"/>
      <c r="K202" s="9"/>
      <c r="L202" s="9"/>
      <c r="M202" s="9"/>
      <c r="N202" s="9"/>
      <c r="O202" s="9"/>
      <c r="P202" s="9"/>
      <c r="Q202" s="9"/>
      <c r="R202" s="9"/>
      <c r="S202" s="4"/>
      <c r="T202" s="4"/>
      <c r="U202" s="4"/>
      <c r="V202" s="4"/>
      <c r="W202" s="4"/>
      <c r="X202" s="4"/>
      <c r="Y202" s="4"/>
      <c r="AL202" s="360"/>
      <c r="AM202" s="499"/>
    </row>
    <row r="203" spans="1:39" ht="12.75" customHeight="1" x14ac:dyDescent="0.25">
      <c r="A203" s="9"/>
      <c r="B203" s="4"/>
      <c r="C203" s="9"/>
      <c r="D203" s="9"/>
      <c r="E203" s="120"/>
      <c r="F203" s="120"/>
      <c r="G203" s="120"/>
      <c r="H203" s="120"/>
      <c r="I203" s="4"/>
      <c r="J203" s="9"/>
      <c r="K203" s="9"/>
      <c r="L203" s="9"/>
      <c r="M203" s="9"/>
      <c r="N203" s="9"/>
      <c r="O203" s="9"/>
      <c r="P203" s="9"/>
      <c r="Q203" s="9"/>
      <c r="R203" s="9"/>
      <c r="S203" s="4"/>
      <c r="T203" s="4"/>
      <c r="U203" s="4"/>
      <c r="V203" s="4"/>
      <c r="W203" s="4"/>
      <c r="X203" s="4"/>
      <c r="Y203" s="4"/>
      <c r="AL203" s="360"/>
      <c r="AM203" s="499"/>
    </row>
    <row r="204" spans="1:39" ht="12.75" customHeight="1" x14ac:dyDescent="0.25">
      <c r="A204" s="9"/>
      <c r="B204" s="4"/>
      <c r="C204" s="9"/>
      <c r="D204" s="9"/>
      <c r="E204" s="120"/>
      <c r="F204" s="120"/>
      <c r="G204" s="120"/>
      <c r="H204" s="120"/>
      <c r="I204" s="4"/>
      <c r="J204" s="9"/>
      <c r="K204" s="9"/>
      <c r="L204" s="9"/>
      <c r="M204" s="9"/>
      <c r="N204" s="9"/>
      <c r="O204" s="9"/>
      <c r="P204" s="9"/>
      <c r="Q204" s="9"/>
      <c r="R204" s="9"/>
      <c r="S204" s="4"/>
      <c r="T204" s="4"/>
      <c r="U204" s="4"/>
      <c r="V204" s="4"/>
      <c r="W204" s="4"/>
      <c r="X204" s="4"/>
      <c r="Y204" s="4"/>
      <c r="AL204" s="360"/>
      <c r="AM204" s="499"/>
    </row>
    <row r="205" spans="1:39" ht="12.75" customHeight="1" x14ac:dyDescent="0.25">
      <c r="A205" s="9"/>
      <c r="B205" s="4"/>
      <c r="C205" s="9"/>
      <c r="D205" s="9"/>
      <c r="E205" s="120"/>
      <c r="F205" s="120"/>
      <c r="G205" s="120"/>
      <c r="H205" s="120"/>
      <c r="I205" s="4"/>
      <c r="J205" s="9"/>
      <c r="K205" s="9"/>
      <c r="L205" s="9"/>
      <c r="M205" s="9"/>
      <c r="N205" s="9"/>
      <c r="O205" s="9"/>
      <c r="P205" s="9"/>
      <c r="Q205" s="9"/>
      <c r="R205" s="9"/>
      <c r="S205" s="4"/>
      <c r="T205" s="4"/>
      <c r="U205" s="4"/>
      <c r="V205" s="4"/>
      <c r="W205" s="4"/>
      <c r="X205" s="4"/>
      <c r="Y205" s="4"/>
      <c r="AL205" s="360"/>
      <c r="AM205" s="499"/>
    </row>
    <row r="206" spans="1:39" ht="12.75" customHeight="1" x14ac:dyDescent="0.25">
      <c r="A206" s="9"/>
      <c r="B206" s="4"/>
      <c r="C206" s="9"/>
      <c r="D206" s="9"/>
      <c r="E206" s="120"/>
      <c r="F206" s="120"/>
      <c r="G206" s="120"/>
      <c r="H206" s="120"/>
      <c r="I206" s="4"/>
      <c r="J206" s="9"/>
      <c r="K206" s="9"/>
      <c r="L206" s="9"/>
      <c r="M206" s="9"/>
      <c r="N206" s="9"/>
      <c r="O206" s="9"/>
      <c r="P206" s="9"/>
      <c r="Q206" s="9"/>
      <c r="R206" s="9"/>
      <c r="S206" s="4"/>
      <c r="T206" s="4"/>
      <c r="U206" s="4"/>
      <c r="V206" s="4"/>
      <c r="W206" s="4"/>
      <c r="X206" s="4"/>
      <c r="Y206" s="4"/>
      <c r="AL206" s="360"/>
      <c r="AM206" s="499"/>
    </row>
    <row r="207" spans="1:39" ht="12.75" customHeight="1" x14ac:dyDescent="0.25">
      <c r="A207" s="9"/>
      <c r="B207" s="4"/>
      <c r="C207" s="9"/>
      <c r="D207" s="9"/>
      <c r="E207" s="120"/>
      <c r="F207" s="120"/>
      <c r="G207" s="120"/>
      <c r="H207" s="120"/>
      <c r="I207" s="4"/>
      <c r="J207" s="9"/>
      <c r="K207" s="9"/>
      <c r="L207" s="9"/>
      <c r="M207" s="9"/>
      <c r="N207" s="9"/>
      <c r="O207" s="9"/>
      <c r="P207" s="9"/>
      <c r="Q207" s="9"/>
      <c r="R207" s="9"/>
      <c r="S207" s="4"/>
      <c r="T207" s="4"/>
      <c r="U207" s="4"/>
      <c r="V207" s="4"/>
      <c r="W207" s="4"/>
      <c r="X207" s="4"/>
      <c r="Y207" s="4"/>
      <c r="AL207" s="360"/>
      <c r="AM207" s="499"/>
    </row>
    <row r="208" spans="1:39" ht="12.75" customHeight="1" x14ac:dyDescent="0.25">
      <c r="A208" s="9"/>
      <c r="B208" s="4"/>
      <c r="C208" s="9"/>
      <c r="D208" s="9"/>
      <c r="E208" s="120"/>
      <c r="F208" s="120"/>
      <c r="G208" s="120"/>
      <c r="H208" s="120"/>
      <c r="I208" s="4"/>
      <c r="J208" s="9"/>
      <c r="K208" s="9"/>
      <c r="L208" s="9"/>
      <c r="M208" s="9"/>
      <c r="N208" s="9"/>
      <c r="O208" s="9"/>
      <c r="P208" s="9"/>
      <c r="Q208" s="9"/>
      <c r="R208" s="9"/>
      <c r="S208" s="4"/>
      <c r="T208" s="4"/>
      <c r="U208" s="4"/>
      <c r="V208" s="4"/>
      <c r="W208" s="4"/>
      <c r="X208" s="4"/>
      <c r="Y208" s="4"/>
      <c r="AL208" s="360"/>
      <c r="AM208" s="499"/>
    </row>
    <row r="209" spans="1:39" ht="12.75" customHeight="1" x14ac:dyDescent="0.25">
      <c r="A209" s="9"/>
      <c r="B209" s="4"/>
      <c r="C209" s="9"/>
      <c r="D209" s="9"/>
      <c r="E209" s="120"/>
      <c r="F209" s="120"/>
      <c r="G209" s="120"/>
      <c r="H209" s="120"/>
      <c r="I209" s="4"/>
      <c r="J209" s="9"/>
      <c r="K209" s="9"/>
      <c r="L209" s="9"/>
      <c r="M209" s="9"/>
      <c r="N209" s="9"/>
      <c r="O209" s="9"/>
      <c r="P209" s="9"/>
      <c r="Q209" s="9"/>
      <c r="R209" s="9"/>
      <c r="S209" s="4"/>
      <c r="T209" s="4"/>
      <c r="U209" s="4"/>
      <c r="V209" s="4"/>
      <c r="W209" s="4"/>
      <c r="X209" s="4"/>
      <c r="Y209" s="4"/>
      <c r="AL209" s="360"/>
      <c r="AM209" s="499"/>
    </row>
    <row r="210" spans="1:39" ht="12.75" customHeight="1" x14ac:dyDescent="0.25">
      <c r="A210" s="9"/>
      <c r="B210" s="4"/>
      <c r="C210" s="9"/>
      <c r="D210" s="9"/>
      <c r="E210" s="120"/>
      <c r="F210" s="120"/>
      <c r="G210" s="120"/>
      <c r="H210" s="120"/>
      <c r="I210" s="4"/>
      <c r="J210" s="9"/>
      <c r="K210" s="9"/>
      <c r="L210" s="9"/>
      <c r="M210" s="9"/>
      <c r="N210" s="9"/>
      <c r="O210" s="9"/>
      <c r="P210" s="9"/>
      <c r="Q210" s="9"/>
      <c r="R210" s="9"/>
      <c r="S210" s="4"/>
      <c r="T210" s="4"/>
      <c r="U210" s="4"/>
      <c r="V210" s="4"/>
      <c r="W210" s="4"/>
      <c r="X210" s="4"/>
      <c r="Y210" s="4"/>
      <c r="AL210" s="360"/>
      <c r="AM210" s="499"/>
    </row>
    <row r="211" spans="1:39" ht="12.75" customHeight="1" x14ac:dyDescent="0.25">
      <c r="A211" s="9"/>
      <c r="B211" s="4"/>
      <c r="C211" s="9"/>
      <c r="D211" s="9"/>
      <c r="E211" s="120"/>
      <c r="F211" s="120"/>
      <c r="G211" s="120"/>
      <c r="H211" s="120"/>
      <c r="I211" s="4"/>
      <c r="J211" s="9"/>
      <c r="K211" s="9"/>
      <c r="L211" s="9"/>
      <c r="M211" s="9"/>
      <c r="N211" s="9"/>
      <c r="O211" s="9"/>
      <c r="P211" s="9"/>
      <c r="Q211" s="9"/>
      <c r="R211" s="9"/>
      <c r="S211" s="4"/>
      <c r="T211" s="4"/>
      <c r="U211" s="4"/>
      <c r="V211" s="4"/>
      <c r="W211" s="4"/>
      <c r="X211" s="4"/>
      <c r="Y211" s="4"/>
      <c r="AL211" s="360"/>
      <c r="AM211" s="499"/>
    </row>
    <row r="212" spans="1:39" ht="12.75" customHeight="1" x14ac:dyDescent="0.25">
      <c r="A212" s="9"/>
      <c r="B212" s="4"/>
      <c r="C212" s="9"/>
      <c r="D212" s="9"/>
      <c r="E212" s="120"/>
      <c r="F212" s="120"/>
      <c r="G212" s="120"/>
      <c r="H212" s="120"/>
      <c r="I212" s="4"/>
      <c r="J212" s="9"/>
      <c r="K212" s="9"/>
      <c r="L212" s="9"/>
      <c r="M212" s="9"/>
      <c r="N212" s="9"/>
      <c r="O212" s="9"/>
      <c r="P212" s="9"/>
      <c r="Q212" s="9"/>
      <c r="R212" s="9"/>
      <c r="S212" s="4"/>
      <c r="T212" s="4"/>
      <c r="U212" s="4"/>
      <c r="V212" s="4"/>
      <c r="W212" s="4"/>
      <c r="X212" s="4"/>
      <c r="Y212" s="4"/>
      <c r="AL212" s="360"/>
      <c r="AM212" s="499"/>
    </row>
    <row r="213" spans="1:39" ht="12.75" customHeight="1" x14ac:dyDescent="0.25">
      <c r="A213" s="9"/>
      <c r="B213" s="4"/>
      <c r="C213" s="9"/>
      <c r="D213" s="9"/>
      <c r="E213" s="120"/>
      <c r="F213" s="120"/>
      <c r="G213" s="120"/>
      <c r="H213" s="120"/>
      <c r="I213" s="4"/>
      <c r="J213" s="9"/>
      <c r="K213" s="9"/>
      <c r="L213" s="9"/>
      <c r="M213" s="9"/>
      <c r="N213" s="9"/>
      <c r="O213" s="9"/>
      <c r="P213" s="9"/>
      <c r="Q213" s="9"/>
      <c r="R213" s="9"/>
      <c r="S213" s="4"/>
      <c r="T213" s="4"/>
      <c r="U213" s="4"/>
      <c r="V213" s="4"/>
      <c r="W213" s="4"/>
      <c r="X213" s="4"/>
      <c r="Y213" s="4"/>
      <c r="AL213" s="360"/>
      <c r="AM213" s="499"/>
    </row>
    <row r="214" spans="1:39" ht="12.75" customHeight="1" x14ac:dyDescent="0.25">
      <c r="A214" s="9"/>
      <c r="B214" s="4"/>
      <c r="C214" s="9"/>
      <c r="D214" s="9"/>
      <c r="E214" s="120"/>
      <c r="F214" s="120"/>
      <c r="G214" s="120"/>
      <c r="H214" s="120"/>
      <c r="I214" s="4"/>
      <c r="J214" s="9"/>
      <c r="K214" s="9"/>
      <c r="L214" s="9"/>
      <c r="M214" s="9"/>
      <c r="N214" s="9"/>
      <c r="O214" s="9"/>
      <c r="P214" s="9"/>
      <c r="Q214" s="9"/>
      <c r="R214" s="9"/>
      <c r="S214" s="4"/>
      <c r="T214" s="4"/>
      <c r="U214" s="4"/>
      <c r="V214" s="4"/>
      <c r="W214" s="4"/>
      <c r="X214" s="4"/>
      <c r="Y214" s="4"/>
      <c r="AL214" s="360"/>
      <c r="AM214" s="499"/>
    </row>
    <row r="215" spans="1:39" ht="12.75" customHeight="1" x14ac:dyDescent="0.25">
      <c r="A215" s="9"/>
      <c r="B215" s="4"/>
      <c r="C215" s="9"/>
      <c r="D215" s="9"/>
      <c r="E215" s="120"/>
      <c r="F215" s="120"/>
      <c r="G215" s="120"/>
      <c r="H215" s="120"/>
      <c r="I215" s="4"/>
      <c r="J215" s="9"/>
      <c r="K215" s="9"/>
      <c r="L215" s="9"/>
      <c r="M215" s="9"/>
      <c r="N215" s="9"/>
      <c r="O215" s="9"/>
      <c r="P215" s="9"/>
      <c r="Q215" s="9"/>
      <c r="R215" s="9"/>
      <c r="S215" s="4"/>
      <c r="T215" s="4"/>
      <c r="U215" s="4"/>
      <c r="V215" s="4"/>
      <c r="W215" s="4"/>
      <c r="X215" s="4"/>
      <c r="Y215" s="4"/>
      <c r="AL215" s="360"/>
      <c r="AM215" s="499"/>
    </row>
    <row r="216" spans="1:39" ht="12.75" customHeight="1" x14ac:dyDescent="0.25">
      <c r="A216" s="9"/>
      <c r="B216" s="4"/>
      <c r="C216" s="9"/>
      <c r="D216" s="9"/>
      <c r="E216" s="120"/>
      <c r="F216" s="120"/>
      <c r="G216" s="120"/>
      <c r="H216" s="120"/>
      <c r="I216" s="4"/>
      <c r="J216" s="9"/>
      <c r="K216" s="9"/>
      <c r="L216" s="9"/>
      <c r="M216" s="9"/>
      <c r="N216" s="9"/>
      <c r="O216" s="9"/>
      <c r="P216" s="9"/>
      <c r="Q216" s="9"/>
      <c r="R216" s="9"/>
      <c r="S216" s="4"/>
      <c r="T216" s="4"/>
      <c r="U216" s="4"/>
      <c r="V216" s="4"/>
      <c r="W216" s="4"/>
      <c r="X216" s="4"/>
      <c r="Y216" s="4"/>
      <c r="AL216" s="360"/>
      <c r="AM216" s="499"/>
    </row>
    <row r="217" spans="1:39" ht="12.75" customHeight="1" x14ac:dyDescent="0.25">
      <c r="A217" s="9"/>
      <c r="B217" s="4"/>
      <c r="C217" s="9"/>
      <c r="D217" s="9"/>
      <c r="E217" s="120"/>
      <c r="F217" s="120"/>
      <c r="G217" s="120"/>
      <c r="H217" s="120"/>
      <c r="I217" s="4"/>
      <c r="J217" s="9"/>
      <c r="K217" s="9"/>
      <c r="L217" s="9"/>
      <c r="M217" s="9"/>
      <c r="N217" s="9"/>
      <c r="O217" s="9"/>
      <c r="P217" s="9"/>
      <c r="Q217" s="9"/>
      <c r="R217" s="9"/>
      <c r="S217" s="4"/>
      <c r="T217" s="4"/>
      <c r="U217" s="4"/>
      <c r="V217" s="4"/>
      <c r="W217" s="4"/>
      <c r="X217" s="4"/>
      <c r="Y217" s="4"/>
      <c r="AL217" s="360"/>
      <c r="AM217" s="499"/>
    </row>
    <row r="218" spans="1:39" ht="12.75" customHeight="1" x14ac:dyDescent="0.25">
      <c r="A218" s="9"/>
      <c r="B218" s="4"/>
      <c r="C218" s="9"/>
      <c r="D218" s="9"/>
      <c r="E218" s="120"/>
      <c r="F218" s="120"/>
      <c r="G218" s="120"/>
      <c r="H218" s="120"/>
      <c r="I218" s="4"/>
      <c r="J218" s="9"/>
      <c r="K218" s="9"/>
      <c r="L218" s="9"/>
      <c r="M218" s="9"/>
      <c r="N218" s="9"/>
      <c r="O218" s="9"/>
      <c r="P218" s="9"/>
      <c r="Q218" s="9"/>
      <c r="R218" s="9"/>
      <c r="S218" s="4"/>
      <c r="T218" s="4"/>
      <c r="U218" s="4"/>
      <c r="V218" s="4"/>
      <c r="W218" s="4"/>
      <c r="X218" s="4"/>
      <c r="Y218" s="4"/>
      <c r="AL218" s="360"/>
      <c r="AM218" s="499"/>
    </row>
    <row r="219" spans="1:39" ht="12.75" customHeight="1" x14ac:dyDescent="0.25">
      <c r="A219" s="9"/>
      <c r="B219" s="4"/>
      <c r="C219" s="9"/>
      <c r="D219" s="9"/>
      <c r="E219" s="120"/>
      <c r="F219" s="120"/>
      <c r="G219" s="120"/>
      <c r="H219" s="120"/>
      <c r="I219" s="4"/>
      <c r="J219" s="9"/>
      <c r="K219" s="9"/>
      <c r="L219" s="9"/>
      <c r="M219" s="9"/>
      <c r="N219" s="9"/>
      <c r="O219" s="9"/>
      <c r="P219" s="9"/>
      <c r="Q219" s="9"/>
      <c r="R219" s="9"/>
      <c r="S219" s="4"/>
      <c r="T219" s="4"/>
      <c r="U219" s="4"/>
      <c r="V219" s="4"/>
      <c r="W219" s="4"/>
      <c r="X219" s="4"/>
      <c r="Y219" s="4"/>
      <c r="AL219" s="360"/>
      <c r="AM219" s="499"/>
    </row>
    <row r="220" spans="1:39" ht="12.75" customHeight="1" x14ac:dyDescent="0.25">
      <c r="A220" s="9"/>
      <c r="B220" s="4"/>
      <c r="C220" s="9"/>
      <c r="D220" s="9"/>
      <c r="E220" s="120"/>
      <c r="F220" s="120"/>
      <c r="G220" s="120"/>
      <c r="H220" s="120"/>
      <c r="I220" s="4"/>
      <c r="J220" s="9"/>
      <c r="K220" s="9"/>
      <c r="L220" s="9"/>
      <c r="M220" s="9"/>
      <c r="N220" s="9"/>
      <c r="O220" s="9"/>
      <c r="P220" s="9"/>
      <c r="Q220" s="9"/>
      <c r="R220" s="9"/>
      <c r="S220" s="4"/>
      <c r="T220" s="4"/>
      <c r="U220" s="4"/>
      <c r="V220" s="4"/>
      <c r="W220" s="4"/>
      <c r="X220" s="4"/>
      <c r="Y220" s="4"/>
      <c r="AL220" s="360"/>
      <c r="AM220" s="499"/>
    </row>
    <row r="221" spans="1:39" ht="12.75" customHeight="1" x14ac:dyDescent="0.25">
      <c r="A221" s="9"/>
      <c r="B221" s="4"/>
      <c r="C221" s="9"/>
      <c r="D221" s="9"/>
      <c r="E221" s="120"/>
      <c r="F221" s="120"/>
      <c r="G221" s="120"/>
      <c r="H221" s="120"/>
      <c r="I221" s="4"/>
      <c r="J221" s="9"/>
      <c r="K221" s="9"/>
      <c r="L221" s="9"/>
      <c r="M221" s="9"/>
      <c r="N221" s="9"/>
      <c r="O221" s="9"/>
      <c r="P221" s="9"/>
      <c r="Q221" s="9"/>
      <c r="R221" s="9"/>
      <c r="S221" s="4"/>
      <c r="T221" s="4"/>
      <c r="U221" s="4"/>
      <c r="V221" s="4"/>
      <c r="W221" s="4"/>
      <c r="X221" s="4"/>
      <c r="Y221" s="4"/>
      <c r="AL221" s="360"/>
      <c r="AM221" s="499"/>
    </row>
    <row r="222" spans="1:39" ht="12.75" customHeight="1" x14ac:dyDescent="0.25">
      <c r="A222" s="9"/>
      <c r="B222" s="4"/>
      <c r="C222" s="9"/>
      <c r="D222" s="9"/>
      <c r="E222" s="120"/>
      <c r="F222" s="120"/>
      <c r="G222" s="120"/>
      <c r="H222" s="120"/>
      <c r="I222" s="4"/>
      <c r="J222" s="9"/>
      <c r="K222" s="9"/>
      <c r="L222" s="9"/>
      <c r="M222" s="9"/>
      <c r="N222" s="9"/>
      <c r="O222" s="9"/>
      <c r="P222" s="9"/>
      <c r="Q222" s="9"/>
      <c r="R222" s="9"/>
      <c r="S222" s="4"/>
      <c r="T222" s="4"/>
      <c r="U222" s="4"/>
      <c r="V222" s="4"/>
      <c r="W222" s="4"/>
      <c r="X222" s="4"/>
      <c r="Y222" s="4"/>
      <c r="AL222" s="360"/>
      <c r="AM222" s="499"/>
    </row>
    <row r="223" spans="1:39" ht="12.75" customHeight="1" x14ac:dyDescent="0.25">
      <c r="A223" s="9"/>
      <c r="B223" s="4"/>
      <c r="C223" s="9"/>
      <c r="D223" s="9"/>
      <c r="E223" s="120"/>
      <c r="F223" s="120"/>
      <c r="G223" s="120"/>
      <c r="H223" s="120"/>
      <c r="I223" s="4"/>
      <c r="J223" s="9"/>
      <c r="K223" s="9"/>
      <c r="L223" s="9"/>
      <c r="M223" s="9"/>
      <c r="N223" s="9"/>
      <c r="O223" s="9"/>
      <c r="P223" s="9"/>
      <c r="Q223" s="9"/>
      <c r="R223" s="9"/>
      <c r="S223" s="4"/>
      <c r="T223" s="4"/>
      <c r="U223" s="4"/>
      <c r="V223" s="4"/>
      <c r="W223" s="4"/>
      <c r="X223" s="4"/>
      <c r="Y223" s="4"/>
      <c r="AL223" s="360"/>
      <c r="AM223" s="499"/>
    </row>
    <row r="224" spans="1:39" ht="12.75" customHeight="1" x14ac:dyDescent="0.25">
      <c r="A224" s="9"/>
      <c r="B224" s="4"/>
      <c r="C224" s="9"/>
      <c r="D224" s="9"/>
      <c r="E224" s="120"/>
      <c r="F224" s="120"/>
      <c r="G224" s="120"/>
      <c r="H224" s="120"/>
      <c r="I224" s="4"/>
      <c r="J224" s="9"/>
      <c r="K224" s="9"/>
      <c r="L224" s="9"/>
      <c r="M224" s="9"/>
      <c r="N224" s="9"/>
      <c r="O224" s="9"/>
      <c r="P224" s="9"/>
      <c r="Q224" s="9"/>
      <c r="R224" s="9"/>
      <c r="S224" s="4"/>
      <c r="T224" s="4"/>
      <c r="U224" s="4"/>
      <c r="V224" s="4"/>
      <c r="W224" s="4"/>
      <c r="X224" s="4"/>
      <c r="Y224" s="4"/>
      <c r="AL224" s="360"/>
      <c r="AM224" s="499"/>
    </row>
    <row r="225" spans="1:39" ht="12.75" customHeight="1" x14ac:dyDescent="0.25">
      <c r="A225" s="9"/>
      <c r="B225" s="4"/>
      <c r="C225" s="9"/>
      <c r="D225" s="9"/>
      <c r="E225" s="120"/>
      <c r="F225" s="120"/>
      <c r="G225" s="120"/>
      <c r="H225" s="120"/>
      <c r="I225" s="4"/>
      <c r="J225" s="9"/>
      <c r="K225" s="9"/>
      <c r="L225" s="9"/>
      <c r="M225" s="9"/>
      <c r="N225" s="9"/>
      <c r="O225" s="9"/>
      <c r="P225" s="9"/>
      <c r="Q225" s="9"/>
      <c r="R225" s="9"/>
      <c r="S225" s="4"/>
      <c r="T225" s="4"/>
      <c r="U225" s="4"/>
      <c r="V225" s="4"/>
      <c r="W225" s="4"/>
      <c r="X225" s="4"/>
      <c r="Y225" s="4"/>
      <c r="AL225" s="360"/>
      <c r="AM225" s="499"/>
    </row>
    <row r="226" spans="1:39" ht="12.75" customHeight="1" x14ac:dyDescent="0.25">
      <c r="A226" s="9"/>
      <c r="B226" s="4"/>
      <c r="C226" s="9"/>
      <c r="D226" s="9"/>
      <c r="E226" s="120"/>
      <c r="F226" s="120"/>
      <c r="G226" s="120"/>
      <c r="H226" s="120"/>
      <c r="I226" s="4"/>
      <c r="J226" s="9"/>
      <c r="K226" s="9"/>
      <c r="L226" s="9"/>
      <c r="M226" s="9"/>
      <c r="N226" s="9"/>
      <c r="O226" s="9"/>
      <c r="P226" s="9"/>
      <c r="Q226" s="9"/>
      <c r="R226" s="9"/>
      <c r="S226" s="4"/>
      <c r="T226" s="4"/>
      <c r="U226" s="4"/>
      <c r="V226" s="4"/>
      <c r="W226" s="4"/>
      <c r="X226" s="4"/>
      <c r="Y226" s="4"/>
      <c r="AL226" s="360"/>
      <c r="AM226" s="499"/>
    </row>
    <row r="227" spans="1:39" ht="12.75" customHeight="1" x14ac:dyDescent="0.25">
      <c r="A227" s="9"/>
      <c r="B227" s="4"/>
      <c r="C227" s="9"/>
      <c r="D227" s="9"/>
      <c r="E227" s="120"/>
      <c r="F227" s="120"/>
      <c r="G227" s="120"/>
      <c r="H227" s="120"/>
      <c r="I227" s="4"/>
      <c r="J227" s="9"/>
      <c r="K227" s="9"/>
      <c r="L227" s="9"/>
      <c r="M227" s="9"/>
      <c r="N227" s="9"/>
      <c r="O227" s="9"/>
      <c r="P227" s="9"/>
      <c r="Q227" s="9"/>
      <c r="R227" s="9"/>
      <c r="S227" s="4"/>
      <c r="T227" s="4"/>
      <c r="U227" s="4"/>
      <c r="V227" s="4"/>
      <c r="W227" s="4"/>
      <c r="X227" s="4"/>
      <c r="Y227" s="4"/>
      <c r="AL227" s="360"/>
      <c r="AM227" s="499"/>
    </row>
    <row r="228" spans="1:39" ht="12.75" customHeight="1" x14ac:dyDescent="0.25">
      <c r="A228" s="9"/>
      <c r="B228" s="4"/>
      <c r="C228" s="9"/>
      <c r="D228" s="9"/>
      <c r="E228" s="120"/>
      <c r="F228" s="120"/>
      <c r="G228" s="120"/>
      <c r="H228" s="120"/>
      <c r="I228" s="4"/>
      <c r="J228" s="9"/>
      <c r="K228" s="9"/>
      <c r="L228" s="9"/>
      <c r="M228" s="9"/>
      <c r="N228" s="9"/>
      <c r="O228" s="9"/>
      <c r="P228" s="9"/>
      <c r="Q228" s="9"/>
      <c r="R228" s="9"/>
      <c r="S228" s="4"/>
      <c r="T228" s="4"/>
      <c r="U228" s="4"/>
      <c r="V228" s="4"/>
      <c r="W228" s="4"/>
      <c r="X228" s="4"/>
      <c r="Y228" s="4"/>
      <c r="AL228" s="360"/>
      <c r="AM228" s="499"/>
    </row>
    <row r="229" spans="1:39" ht="12.75" customHeight="1" x14ac:dyDescent="0.25">
      <c r="A229" s="9"/>
      <c r="B229" s="4"/>
      <c r="C229" s="9"/>
      <c r="D229" s="9"/>
      <c r="E229" s="120"/>
      <c r="F229" s="120"/>
      <c r="G229" s="120"/>
      <c r="H229" s="120"/>
      <c r="I229" s="4"/>
      <c r="J229" s="9"/>
      <c r="K229" s="9"/>
      <c r="L229" s="9"/>
      <c r="M229" s="9"/>
      <c r="N229" s="9"/>
      <c r="O229" s="9"/>
      <c r="P229" s="9"/>
      <c r="Q229" s="9"/>
      <c r="R229" s="9"/>
      <c r="S229" s="4"/>
      <c r="T229" s="4"/>
      <c r="U229" s="4"/>
      <c r="V229" s="4"/>
      <c r="W229" s="4"/>
      <c r="X229" s="4"/>
      <c r="Y229" s="4"/>
      <c r="AL229" s="360"/>
      <c r="AM229" s="499"/>
    </row>
    <row r="230" spans="1:39" ht="12.75" customHeight="1" x14ac:dyDescent="0.25">
      <c r="A230" s="9"/>
      <c r="B230" s="4"/>
      <c r="C230" s="9"/>
      <c r="D230" s="9"/>
      <c r="E230" s="120"/>
      <c r="F230" s="120"/>
      <c r="G230" s="120"/>
      <c r="H230" s="120"/>
      <c r="I230" s="4"/>
      <c r="J230" s="9"/>
      <c r="K230" s="9"/>
      <c r="L230" s="9"/>
      <c r="M230" s="9"/>
      <c r="N230" s="9"/>
      <c r="O230" s="9"/>
      <c r="P230" s="9"/>
      <c r="Q230" s="9"/>
      <c r="R230" s="9"/>
      <c r="S230" s="4"/>
      <c r="T230" s="4"/>
      <c r="U230" s="4"/>
      <c r="V230" s="4"/>
      <c r="W230" s="4"/>
      <c r="X230" s="4"/>
      <c r="Y230" s="4"/>
      <c r="AL230" s="360"/>
      <c r="AM230" s="499"/>
    </row>
    <row r="231" spans="1:39" ht="12.75" customHeight="1" x14ac:dyDescent="0.25">
      <c r="A231" s="9"/>
      <c r="B231" s="4"/>
      <c r="C231" s="9"/>
      <c r="D231" s="9"/>
      <c r="E231" s="120"/>
      <c r="F231" s="120"/>
      <c r="G231" s="120"/>
      <c r="H231" s="120"/>
      <c r="I231" s="4"/>
      <c r="J231" s="9"/>
      <c r="K231" s="9"/>
      <c r="L231" s="9"/>
      <c r="M231" s="9"/>
      <c r="N231" s="9"/>
      <c r="O231" s="9"/>
      <c r="P231" s="9"/>
      <c r="Q231" s="9"/>
      <c r="R231" s="9"/>
      <c r="S231" s="4"/>
      <c r="T231" s="4"/>
      <c r="U231" s="4"/>
      <c r="V231" s="4"/>
      <c r="W231" s="4"/>
      <c r="X231" s="4"/>
      <c r="Y231" s="4"/>
      <c r="AL231" s="360"/>
      <c r="AM231" s="499"/>
    </row>
    <row r="232" spans="1:39" ht="12.75" customHeight="1" x14ac:dyDescent="0.25">
      <c r="A232" s="9"/>
      <c r="B232" s="4"/>
      <c r="C232" s="9"/>
      <c r="D232" s="9"/>
      <c r="E232" s="120"/>
      <c r="F232" s="120"/>
      <c r="G232" s="120"/>
      <c r="H232" s="120"/>
      <c r="I232" s="4"/>
      <c r="J232" s="9"/>
      <c r="K232" s="9"/>
      <c r="L232" s="9"/>
      <c r="M232" s="9"/>
      <c r="N232" s="9"/>
      <c r="O232" s="9"/>
      <c r="P232" s="9"/>
      <c r="Q232" s="9"/>
      <c r="R232" s="9"/>
      <c r="S232" s="4"/>
      <c r="T232" s="4"/>
      <c r="U232" s="4"/>
      <c r="V232" s="4"/>
      <c r="W232" s="4"/>
      <c r="X232" s="4"/>
      <c r="Y232" s="4"/>
      <c r="AL232" s="360"/>
      <c r="AM232" s="499"/>
    </row>
    <row r="233" spans="1:39" ht="12.75" customHeight="1" x14ac:dyDescent="0.25">
      <c r="A233" s="9"/>
      <c r="B233" s="4"/>
      <c r="C233" s="9"/>
      <c r="D233" s="9"/>
      <c r="E233" s="120"/>
      <c r="F233" s="120"/>
      <c r="G233" s="120"/>
      <c r="H233" s="120"/>
      <c r="I233" s="4"/>
      <c r="J233" s="9"/>
      <c r="K233" s="9"/>
      <c r="L233" s="9"/>
      <c r="M233" s="9"/>
      <c r="N233" s="9"/>
      <c r="O233" s="9"/>
      <c r="P233" s="9"/>
      <c r="Q233" s="9"/>
      <c r="R233" s="9"/>
      <c r="S233" s="4"/>
      <c r="T233" s="4"/>
      <c r="U233" s="4"/>
      <c r="V233" s="4"/>
      <c r="W233" s="4"/>
      <c r="X233" s="4"/>
      <c r="Y233" s="4"/>
      <c r="AL233" s="360"/>
      <c r="AM233" s="499"/>
    </row>
    <row r="234" spans="1:39" ht="12.75" customHeight="1" x14ac:dyDescent="0.25">
      <c r="A234" s="9"/>
      <c r="B234" s="4"/>
      <c r="C234" s="9"/>
      <c r="D234" s="9"/>
      <c r="E234" s="120"/>
      <c r="F234" s="120"/>
      <c r="G234" s="120"/>
      <c r="H234" s="120"/>
      <c r="I234" s="4"/>
      <c r="J234" s="9"/>
      <c r="K234" s="9"/>
      <c r="L234" s="9"/>
      <c r="M234" s="9"/>
      <c r="N234" s="9"/>
      <c r="O234" s="9"/>
      <c r="P234" s="9"/>
      <c r="Q234" s="9"/>
      <c r="R234" s="9"/>
      <c r="S234" s="4"/>
      <c r="T234" s="4"/>
      <c r="U234" s="4"/>
      <c r="V234" s="4"/>
      <c r="W234" s="4"/>
      <c r="X234" s="4"/>
      <c r="Y234" s="4"/>
      <c r="AL234" s="360"/>
      <c r="AM234" s="499"/>
    </row>
    <row r="235" spans="1:39" ht="12.75" customHeight="1" x14ac:dyDescent="0.25">
      <c r="A235" s="9"/>
      <c r="B235" s="4"/>
      <c r="C235" s="9"/>
      <c r="D235" s="9"/>
      <c r="E235" s="120"/>
      <c r="F235" s="120"/>
      <c r="G235" s="120"/>
      <c r="H235" s="120"/>
      <c r="I235" s="4"/>
      <c r="J235" s="9"/>
      <c r="K235" s="9"/>
      <c r="L235" s="9"/>
      <c r="M235" s="9"/>
      <c r="N235" s="9"/>
      <c r="O235" s="9"/>
      <c r="P235" s="9"/>
      <c r="Q235" s="9"/>
      <c r="R235" s="9"/>
      <c r="S235" s="4"/>
      <c r="T235" s="4"/>
      <c r="U235" s="4"/>
      <c r="V235" s="4"/>
      <c r="W235" s="4"/>
      <c r="X235" s="4"/>
      <c r="Y235" s="4"/>
      <c r="AL235" s="360"/>
      <c r="AM235" s="499"/>
    </row>
    <row r="236" spans="1:39" ht="12.75" customHeight="1" x14ac:dyDescent="0.25">
      <c r="A236" s="9"/>
      <c r="B236" s="4"/>
      <c r="C236" s="9"/>
      <c r="D236" s="9"/>
      <c r="E236" s="120"/>
      <c r="F236" s="120"/>
      <c r="G236" s="120"/>
      <c r="H236" s="120"/>
      <c r="I236" s="4"/>
      <c r="J236" s="9"/>
      <c r="K236" s="9"/>
      <c r="L236" s="9"/>
      <c r="M236" s="9"/>
      <c r="N236" s="9"/>
      <c r="O236" s="9"/>
      <c r="P236" s="9"/>
      <c r="Q236" s="9"/>
      <c r="R236" s="9"/>
      <c r="S236" s="4"/>
      <c r="T236" s="4"/>
      <c r="U236" s="4"/>
      <c r="V236" s="4"/>
      <c r="W236" s="4"/>
      <c r="X236" s="4"/>
      <c r="Y236" s="4"/>
      <c r="AL236" s="360"/>
      <c r="AM236" s="499"/>
    </row>
    <row r="237" spans="1:39" ht="12.75" customHeight="1" x14ac:dyDescent="0.25">
      <c r="A237" s="9"/>
      <c r="B237" s="4"/>
      <c r="C237" s="9"/>
      <c r="D237" s="9"/>
      <c r="E237" s="120"/>
      <c r="F237" s="120"/>
      <c r="G237" s="120"/>
      <c r="H237" s="120"/>
      <c r="I237" s="4"/>
      <c r="J237" s="9"/>
      <c r="K237" s="9"/>
      <c r="L237" s="9"/>
      <c r="M237" s="9"/>
      <c r="N237" s="9"/>
      <c r="O237" s="9"/>
      <c r="P237" s="9"/>
      <c r="Q237" s="9"/>
      <c r="R237" s="9"/>
      <c r="S237" s="4"/>
      <c r="T237" s="4"/>
      <c r="U237" s="4"/>
      <c r="V237" s="4"/>
      <c r="W237" s="4"/>
      <c r="X237" s="4"/>
      <c r="Y237" s="4"/>
      <c r="AL237" s="360"/>
      <c r="AM237" s="499"/>
    </row>
    <row r="238" spans="1:39" ht="12.75" customHeight="1" x14ac:dyDescent="0.25">
      <c r="A238" s="9"/>
      <c r="B238" s="4"/>
      <c r="C238" s="9"/>
      <c r="D238" s="9"/>
      <c r="E238" s="120"/>
      <c r="F238" s="120"/>
      <c r="G238" s="120"/>
      <c r="H238" s="120"/>
      <c r="I238" s="4"/>
      <c r="J238" s="9"/>
      <c r="K238" s="9"/>
      <c r="L238" s="9"/>
      <c r="M238" s="9"/>
      <c r="N238" s="9"/>
      <c r="O238" s="9"/>
      <c r="P238" s="9"/>
      <c r="Q238" s="9"/>
      <c r="R238" s="9"/>
      <c r="S238" s="4"/>
      <c r="T238" s="4"/>
      <c r="U238" s="4"/>
      <c r="V238" s="4"/>
      <c r="W238" s="4"/>
      <c r="X238" s="4"/>
      <c r="Y238" s="4"/>
      <c r="AL238" s="360"/>
      <c r="AM238" s="499"/>
    </row>
    <row r="239" spans="1:39" ht="12.75" customHeight="1" x14ac:dyDescent="0.25">
      <c r="A239" s="9"/>
      <c r="B239" s="4"/>
      <c r="C239" s="9"/>
      <c r="D239" s="9"/>
      <c r="E239" s="120"/>
      <c r="F239" s="120"/>
      <c r="G239" s="120"/>
      <c r="H239" s="120"/>
      <c r="I239" s="4"/>
      <c r="J239" s="9"/>
      <c r="K239" s="9"/>
      <c r="L239" s="9"/>
      <c r="M239" s="9"/>
      <c r="N239" s="9"/>
      <c r="O239" s="9"/>
      <c r="P239" s="9"/>
      <c r="Q239" s="9"/>
      <c r="R239" s="9"/>
      <c r="S239" s="4"/>
      <c r="T239" s="4"/>
      <c r="U239" s="4"/>
      <c r="V239" s="4"/>
      <c r="W239" s="4"/>
      <c r="X239" s="4"/>
      <c r="Y239" s="4"/>
      <c r="AL239" s="360"/>
      <c r="AM239" s="499"/>
    </row>
    <row r="240" spans="1:39" ht="12.75" customHeight="1" x14ac:dyDescent="0.25">
      <c r="A240" s="9"/>
      <c r="B240" s="4"/>
      <c r="C240" s="9"/>
      <c r="D240" s="9"/>
      <c r="E240" s="120"/>
      <c r="F240" s="120"/>
      <c r="G240" s="120"/>
      <c r="H240" s="120"/>
      <c r="I240" s="4"/>
      <c r="J240" s="9"/>
      <c r="K240" s="9"/>
      <c r="L240" s="9"/>
      <c r="M240" s="9"/>
      <c r="N240" s="9"/>
      <c r="O240" s="9"/>
      <c r="P240" s="9"/>
      <c r="Q240" s="9"/>
      <c r="R240" s="9"/>
      <c r="S240" s="4"/>
      <c r="T240" s="4"/>
      <c r="U240" s="4"/>
      <c r="V240" s="4"/>
      <c r="W240" s="4"/>
      <c r="X240" s="4"/>
      <c r="Y240" s="4"/>
      <c r="AL240" s="360"/>
      <c r="AM240" s="499"/>
    </row>
    <row r="241" spans="1:39" ht="12.75" customHeight="1" x14ac:dyDescent="0.25">
      <c r="A241" s="9"/>
      <c r="B241" s="4"/>
      <c r="C241" s="9"/>
      <c r="D241" s="9"/>
      <c r="E241" s="120"/>
      <c r="F241" s="120"/>
      <c r="G241" s="120"/>
      <c r="H241" s="120"/>
      <c r="I241" s="4"/>
      <c r="J241" s="9"/>
      <c r="K241" s="9"/>
      <c r="L241" s="9"/>
      <c r="M241" s="9"/>
      <c r="N241" s="9"/>
      <c r="O241" s="9"/>
      <c r="P241" s="9"/>
      <c r="Q241" s="9"/>
      <c r="R241" s="9"/>
      <c r="S241" s="4"/>
      <c r="T241" s="4"/>
      <c r="U241" s="4"/>
      <c r="V241" s="4"/>
      <c r="W241" s="4"/>
      <c r="X241" s="4"/>
      <c r="Y241" s="4"/>
      <c r="AL241" s="360"/>
      <c r="AM241" s="499"/>
    </row>
    <row r="242" spans="1:39" ht="12.75" customHeight="1" x14ac:dyDescent="0.25">
      <c r="A242" s="9"/>
      <c r="B242" s="4"/>
      <c r="C242" s="9"/>
      <c r="D242" s="9"/>
      <c r="E242" s="120"/>
      <c r="F242" s="120"/>
      <c r="G242" s="120"/>
      <c r="H242" s="120"/>
      <c r="I242" s="4"/>
      <c r="J242" s="9"/>
      <c r="K242" s="9"/>
      <c r="L242" s="9"/>
      <c r="M242" s="9"/>
      <c r="N242" s="9"/>
      <c r="O242" s="9"/>
      <c r="P242" s="9"/>
      <c r="Q242" s="9"/>
      <c r="R242" s="9"/>
      <c r="S242" s="4"/>
      <c r="T242" s="4"/>
      <c r="U242" s="4"/>
      <c r="V242" s="4"/>
      <c r="W242" s="4"/>
      <c r="X242" s="4"/>
      <c r="Y242" s="4"/>
      <c r="AL242" s="360"/>
      <c r="AM242" s="499"/>
    </row>
    <row r="243" spans="1:39" ht="12.75" customHeight="1" x14ac:dyDescent="0.25">
      <c r="A243" s="9"/>
      <c r="B243" s="4"/>
      <c r="C243" s="9"/>
      <c r="D243" s="9"/>
      <c r="E243" s="120"/>
      <c r="F243" s="120"/>
      <c r="G243" s="120"/>
      <c r="H243" s="120"/>
      <c r="I243" s="4"/>
      <c r="J243" s="9"/>
      <c r="K243" s="9"/>
      <c r="L243" s="9"/>
      <c r="M243" s="9"/>
      <c r="N243" s="9"/>
      <c r="O243" s="9"/>
      <c r="P243" s="9"/>
      <c r="Q243" s="9"/>
      <c r="R243" s="9"/>
      <c r="S243" s="4"/>
      <c r="T243" s="4"/>
      <c r="U243" s="4"/>
      <c r="V243" s="4"/>
      <c r="W243" s="4"/>
      <c r="X243" s="4"/>
      <c r="Y243" s="4"/>
      <c r="AL243" s="360"/>
      <c r="AM243" s="499"/>
    </row>
    <row r="244" spans="1:39" ht="12.75" customHeight="1" x14ac:dyDescent="0.25">
      <c r="A244" s="9"/>
      <c r="B244" s="4"/>
      <c r="C244" s="9"/>
      <c r="D244" s="9"/>
      <c r="E244" s="120"/>
      <c r="F244" s="120"/>
      <c r="G244" s="120"/>
      <c r="H244" s="120"/>
      <c r="I244" s="4"/>
      <c r="J244" s="9"/>
      <c r="K244" s="9"/>
      <c r="L244" s="9"/>
      <c r="M244" s="9"/>
      <c r="N244" s="9"/>
      <c r="O244" s="9"/>
      <c r="P244" s="9"/>
      <c r="Q244" s="9"/>
      <c r="R244" s="9"/>
      <c r="S244" s="4"/>
      <c r="T244" s="4"/>
      <c r="U244" s="4"/>
      <c r="V244" s="4"/>
      <c r="W244" s="4"/>
      <c r="X244" s="4"/>
      <c r="Y244" s="4"/>
      <c r="AL244" s="360"/>
      <c r="AM244" s="499"/>
    </row>
    <row r="245" spans="1:39" ht="12.75" customHeight="1" x14ac:dyDescent="0.25">
      <c r="A245" s="9"/>
      <c r="B245" s="4"/>
      <c r="C245" s="9"/>
      <c r="D245" s="9"/>
      <c r="E245" s="120"/>
      <c r="F245" s="120"/>
      <c r="G245" s="120"/>
      <c r="H245" s="120"/>
      <c r="I245" s="4"/>
      <c r="J245" s="9"/>
      <c r="K245" s="9"/>
      <c r="L245" s="9"/>
      <c r="M245" s="9"/>
      <c r="N245" s="9"/>
      <c r="O245" s="9"/>
      <c r="P245" s="9"/>
      <c r="Q245" s="9"/>
      <c r="R245" s="9"/>
      <c r="S245" s="4"/>
      <c r="T245" s="4"/>
      <c r="U245" s="4"/>
      <c r="V245" s="4"/>
      <c r="W245" s="4"/>
      <c r="X245" s="4"/>
      <c r="Y245" s="4"/>
      <c r="AL245" s="360"/>
      <c r="AM245" s="499"/>
    </row>
    <row r="246" spans="1:39" ht="12.75" customHeight="1" x14ac:dyDescent="0.25">
      <c r="A246" s="9"/>
      <c r="B246" s="4"/>
      <c r="C246" s="9"/>
      <c r="D246" s="9"/>
      <c r="E246" s="120"/>
      <c r="F246" s="120"/>
      <c r="G246" s="120"/>
      <c r="H246" s="120"/>
      <c r="I246" s="4"/>
      <c r="J246" s="9"/>
      <c r="K246" s="9"/>
      <c r="L246" s="9"/>
      <c r="M246" s="9"/>
      <c r="N246" s="9"/>
      <c r="O246" s="9"/>
      <c r="P246" s="9"/>
      <c r="Q246" s="9"/>
      <c r="R246" s="9"/>
      <c r="S246" s="4"/>
      <c r="T246" s="4"/>
      <c r="U246" s="4"/>
      <c r="V246" s="4"/>
      <c r="W246" s="4"/>
      <c r="X246" s="4"/>
      <c r="Y246" s="4"/>
      <c r="AL246" s="360"/>
      <c r="AM246" s="499"/>
    </row>
    <row r="247" spans="1:39" ht="12.75" customHeight="1" x14ac:dyDescent="0.25">
      <c r="A247" s="9"/>
      <c r="B247" s="4"/>
      <c r="C247" s="9"/>
      <c r="D247" s="9"/>
      <c r="E247" s="120"/>
      <c r="F247" s="120"/>
      <c r="G247" s="120"/>
      <c r="H247" s="120"/>
      <c r="I247" s="4"/>
      <c r="J247" s="9"/>
      <c r="K247" s="9"/>
      <c r="L247" s="9"/>
      <c r="M247" s="9"/>
      <c r="N247" s="9"/>
      <c r="O247" s="9"/>
      <c r="P247" s="9"/>
      <c r="Q247" s="9"/>
      <c r="R247" s="9"/>
      <c r="S247" s="4"/>
      <c r="T247" s="4"/>
      <c r="U247" s="4"/>
      <c r="V247" s="4"/>
      <c r="W247" s="4"/>
      <c r="X247" s="4"/>
      <c r="Y247" s="4"/>
      <c r="AL247" s="360"/>
      <c r="AM247" s="499"/>
    </row>
    <row r="248" spans="1:39" ht="12.75" customHeight="1" x14ac:dyDescent="0.25">
      <c r="A248" s="9"/>
      <c r="B248" s="4"/>
      <c r="C248" s="9"/>
      <c r="D248" s="9"/>
      <c r="E248" s="120"/>
      <c r="F248" s="120"/>
      <c r="G248" s="120"/>
      <c r="H248" s="120"/>
      <c r="I248" s="4"/>
      <c r="J248" s="9"/>
      <c r="K248" s="9"/>
      <c r="L248" s="9"/>
      <c r="M248" s="9"/>
      <c r="N248" s="9"/>
      <c r="O248" s="9"/>
      <c r="P248" s="9"/>
      <c r="Q248" s="9"/>
      <c r="R248" s="9"/>
      <c r="S248" s="4"/>
      <c r="T248" s="4"/>
      <c r="U248" s="4"/>
      <c r="V248" s="4"/>
      <c r="W248" s="4"/>
      <c r="X248" s="4"/>
      <c r="Y248" s="4"/>
      <c r="AL248" s="360"/>
      <c r="AM248" s="499"/>
    </row>
    <row r="249" spans="1:39" ht="12.75" customHeight="1" x14ac:dyDescent="0.25">
      <c r="A249" s="9"/>
      <c r="B249" s="4"/>
      <c r="C249" s="9"/>
      <c r="D249" s="9"/>
      <c r="E249" s="120"/>
      <c r="F249" s="120"/>
      <c r="G249" s="120"/>
      <c r="H249" s="120"/>
      <c r="I249" s="4"/>
      <c r="J249" s="9"/>
      <c r="K249" s="9"/>
      <c r="L249" s="9"/>
      <c r="M249" s="9"/>
      <c r="N249" s="9"/>
      <c r="O249" s="9"/>
      <c r="P249" s="9"/>
      <c r="Q249" s="9"/>
      <c r="R249" s="9"/>
      <c r="S249" s="4"/>
      <c r="T249" s="4"/>
      <c r="U249" s="4"/>
      <c r="V249" s="4"/>
      <c r="W249" s="4"/>
      <c r="X249" s="4"/>
      <c r="Y249" s="4"/>
      <c r="AL249" s="360"/>
      <c r="AM249" s="499"/>
    </row>
    <row r="250" spans="1:39" ht="12.75" customHeight="1" x14ac:dyDescent="0.25">
      <c r="A250" s="9"/>
      <c r="B250" s="4"/>
      <c r="C250" s="9"/>
      <c r="D250" s="9"/>
      <c r="E250" s="120"/>
      <c r="F250" s="120"/>
      <c r="G250" s="120"/>
      <c r="H250" s="120"/>
      <c r="I250" s="4"/>
      <c r="J250" s="9"/>
      <c r="K250" s="9"/>
      <c r="L250" s="9"/>
      <c r="M250" s="9"/>
      <c r="N250" s="9"/>
      <c r="O250" s="9"/>
      <c r="P250" s="9"/>
      <c r="Q250" s="9"/>
      <c r="R250" s="9"/>
      <c r="S250" s="4"/>
      <c r="T250" s="4"/>
      <c r="U250" s="4"/>
      <c r="V250" s="4"/>
      <c r="W250" s="4"/>
      <c r="X250" s="4"/>
      <c r="Y250" s="4"/>
      <c r="AL250" s="360"/>
      <c r="AM250" s="499"/>
    </row>
    <row r="251" spans="1:39" ht="12.75" customHeight="1" x14ac:dyDescent="0.25">
      <c r="A251" s="9"/>
      <c r="B251" s="4"/>
      <c r="C251" s="9"/>
      <c r="D251" s="9"/>
      <c r="E251" s="120"/>
      <c r="F251" s="120"/>
      <c r="G251" s="120"/>
      <c r="H251" s="120"/>
      <c r="I251" s="4"/>
      <c r="J251" s="9"/>
      <c r="K251" s="9"/>
      <c r="L251" s="9"/>
      <c r="M251" s="9"/>
      <c r="N251" s="9"/>
      <c r="O251" s="9"/>
      <c r="P251" s="9"/>
      <c r="Q251" s="9"/>
      <c r="R251" s="9"/>
      <c r="S251" s="4"/>
      <c r="T251" s="4"/>
      <c r="U251" s="4"/>
      <c r="V251" s="4"/>
      <c r="W251" s="4"/>
      <c r="X251" s="4"/>
      <c r="Y251" s="4"/>
      <c r="AL251" s="360"/>
      <c r="AM251" s="499"/>
    </row>
    <row r="252" spans="1:39" ht="12.75" customHeight="1" x14ac:dyDescent="0.25">
      <c r="A252" s="9"/>
      <c r="B252" s="4"/>
      <c r="C252" s="9"/>
      <c r="D252" s="9"/>
      <c r="E252" s="120"/>
      <c r="F252" s="120"/>
      <c r="G252" s="120"/>
      <c r="H252" s="120"/>
      <c r="I252" s="4"/>
      <c r="J252" s="9"/>
      <c r="K252" s="9"/>
      <c r="L252" s="9"/>
      <c r="M252" s="9"/>
      <c r="N252" s="9"/>
      <c r="O252" s="9"/>
      <c r="P252" s="9"/>
      <c r="Q252" s="9"/>
      <c r="R252" s="9"/>
      <c r="S252" s="4"/>
      <c r="T252" s="4"/>
      <c r="U252" s="4"/>
      <c r="V252" s="4"/>
      <c r="W252" s="4"/>
      <c r="X252" s="4"/>
      <c r="Y252" s="4"/>
      <c r="AL252" s="360"/>
      <c r="AM252" s="499"/>
    </row>
    <row r="253" spans="1:39" ht="12.75" customHeight="1" x14ac:dyDescent="0.25">
      <c r="A253" s="9"/>
      <c r="B253" s="4"/>
      <c r="C253" s="9"/>
      <c r="D253" s="9"/>
      <c r="E253" s="120"/>
      <c r="F253" s="120"/>
      <c r="G253" s="120"/>
      <c r="H253" s="120"/>
      <c r="I253" s="4"/>
      <c r="J253" s="9"/>
      <c r="K253" s="9"/>
      <c r="L253" s="9"/>
      <c r="M253" s="9"/>
      <c r="N253" s="9"/>
      <c r="O253" s="9"/>
      <c r="P253" s="9"/>
      <c r="Q253" s="9"/>
      <c r="R253" s="9"/>
      <c r="S253" s="4"/>
      <c r="T253" s="4"/>
      <c r="U253" s="4"/>
      <c r="V253" s="4"/>
      <c r="W253" s="4"/>
      <c r="X253" s="4"/>
      <c r="Y253" s="4"/>
      <c r="AL253" s="360"/>
      <c r="AM253" s="499"/>
    </row>
    <row r="254" spans="1:39" ht="12.75" customHeight="1" x14ac:dyDescent="0.25">
      <c r="A254" s="9"/>
      <c r="B254" s="4"/>
      <c r="C254" s="9"/>
      <c r="D254" s="9"/>
      <c r="E254" s="120"/>
      <c r="F254" s="120"/>
      <c r="G254" s="120"/>
      <c r="H254" s="120"/>
      <c r="I254" s="4"/>
      <c r="J254" s="9"/>
      <c r="K254" s="9"/>
      <c r="L254" s="9"/>
      <c r="M254" s="9"/>
      <c r="N254" s="9"/>
      <c r="O254" s="9"/>
      <c r="P254" s="9"/>
      <c r="Q254" s="9"/>
      <c r="R254" s="9"/>
      <c r="S254" s="4"/>
      <c r="T254" s="4"/>
      <c r="U254" s="4"/>
      <c r="V254" s="4"/>
      <c r="W254" s="4"/>
      <c r="X254" s="4"/>
      <c r="Y254" s="4"/>
      <c r="AL254" s="360"/>
      <c r="AM254" s="499"/>
    </row>
    <row r="255" spans="1:39" ht="12.75" customHeight="1" x14ac:dyDescent="0.25">
      <c r="A255" s="9"/>
      <c r="B255" s="4"/>
      <c r="C255" s="9"/>
      <c r="D255" s="9"/>
      <c r="E255" s="120"/>
      <c r="F255" s="120"/>
      <c r="G255" s="120"/>
      <c r="H255" s="120"/>
      <c r="I255" s="4"/>
      <c r="J255" s="9"/>
      <c r="K255" s="9"/>
      <c r="L255" s="9"/>
      <c r="M255" s="9"/>
      <c r="N255" s="9"/>
      <c r="O255" s="9"/>
      <c r="P255" s="9"/>
      <c r="Q255" s="9"/>
      <c r="R255" s="9"/>
      <c r="S255" s="4"/>
      <c r="T255" s="4"/>
      <c r="U255" s="4"/>
      <c r="V255" s="4"/>
      <c r="W255" s="4"/>
      <c r="X255" s="4"/>
      <c r="Y255" s="4"/>
      <c r="AL255" s="360"/>
      <c r="AM255" s="499"/>
    </row>
    <row r="256" spans="1:39" ht="12.75" customHeight="1" x14ac:dyDescent="0.25">
      <c r="A256" s="9"/>
      <c r="B256" s="4"/>
      <c r="C256" s="9"/>
      <c r="D256" s="9"/>
      <c r="E256" s="120"/>
      <c r="F256" s="120"/>
      <c r="G256" s="120"/>
      <c r="H256" s="120"/>
      <c r="I256" s="4"/>
      <c r="J256" s="9"/>
      <c r="K256" s="9"/>
      <c r="L256" s="9"/>
      <c r="M256" s="9"/>
      <c r="N256" s="9"/>
      <c r="O256" s="9"/>
      <c r="P256" s="9"/>
      <c r="Q256" s="9"/>
      <c r="R256" s="9"/>
      <c r="S256" s="4"/>
      <c r="T256" s="4"/>
      <c r="U256" s="4"/>
      <c r="V256" s="4"/>
      <c r="W256" s="4"/>
      <c r="X256" s="4"/>
      <c r="Y256" s="4"/>
      <c r="AL256" s="360"/>
      <c r="AM256" s="499"/>
    </row>
    <row r="257" spans="1:39" ht="12.75" customHeight="1" x14ac:dyDescent="0.25">
      <c r="A257" s="9"/>
      <c r="B257" s="4"/>
      <c r="C257" s="9"/>
      <c r="D257" s="9"/>
      <c r="E257" s="120"/>
      <c r="F257" s="120"/>
      <c r="G257" s="120"/>
      <c r="H257" s="120"/>
      <c r="I257" s="4"/>
      <c r="J257" s="9"/>
      <c r="K257" s="9"/>
      <c r="L257" s="9"/>
      <c r="M257" s="9"/>
      <c r="N257" s="9"/>
      <c r="O257" s="9"/>
      <c r="P257" s="9"/>
      <c r="Q257" s="9"/>
      <c r="R257" s="9"/>
      <c r="S257" s="4"/>
      <c r="T257" s="4"/>
      <c r="U257" s="4"/>
      <c r="V257" s="4"/>
      <c r="W257" s="4"/>
      <c r="X257" s="4"/>
      <c r="Y257" s="4"/>
      <c r="AL257" s="360"/>
      <c r="AM257" s="499"/>
    </row>
    <row r="258" spans="1:39" ht="12.75" customHeight="1" x14ac:dyDescent="0.25">
      <c r="A258" s="9"/>
      <c r="B258" s="4"/>
      <c r="C258" s="9"/>
      <c r="D258" s="9"/>
      <c r="E258" s="120"/>
      <c r="F258" s="120"/>
      <c r="G258" s="120"/>
      <c r="H258" s="120"/>
      <c r="I258" s="4"/>
      <c r="J258" s="9"/>
      <c r="K258" s="9"/>
      <c r="L258" s="9"/>
      <c r="M258" s="9"/>
      <c r="N258" s="9"/>
      <c r="O258" s="9"/>
      <c r="P258" s="9"/>
      <c r="Q258" s="9"/>
      <c r="R258" s="9"/>
      <c r="S258" s="4"/>
      <c r="T258" s="4"/>
      <c r="U258" s="4"/>
      <c r="V258" s="4"/>
      <c r="W258" s="4"/>
      <c r="X258" s="4"/>
      <c r="Y258" s="4"/>
      <c r="AL258" s="360"/>
      <c r="AM258" s="499"/>
    </row>
    <row r="259" spans="1:39" ht="12.75" customHeight="1" x14ac:dyDescent="0.25">
      <c r="A259" s="9"/>
      <c r="B259" s="4"/>
      <c r="C259" s="9"/>
      <c r="D259" s="9"/>
      <c r="E259" s="120"/>
      <c r="F259" s="120"/>
      <c r="G259" s="120"/>
      <c r="H259" s="120"/>
      <c r="I259" s="4"/>
      <c r="J259" s="9"/>
      <c r="K259" s="9"/>
      <c r="L259" s="9"/>
      <c r="M259" s="9"/>
      <c r="N259" s="9"/>
      <c r="O259" s="9"/>
      <c r="P259" s="9"/>
      <c r="Q259" s="9"/>
      <c r="R259" s="9"/>
      <c r="S259" s="4"/>
      <c r="T259" s="4"/>
      <c r="U259" s="4"/>
      <c r="V259" s="4"/>
      <c r="W259" s="4"/>
      <c r="X259" s="4"/>
      <c r="Y259" s="4"/>
      <c r="AL259" s="360"/>
      <c r="AM259" s="499"/>
    </row>
    <row r="260" spans="1:39" ht="12.75" customHeight="1" x14ac:dyDescent="0.25">
      <c r="A260" s="9"/>
      <c r="B260" s="4"/>
      <c r="C260" s="9"/>
      <c r="D260" s="9"/>
      <c r="E260" s="120"/>
      <c r="F260" s="120"/>
      <c r="G260" s="120"/>
      <c r="H260" s="120"/>
      <c r="I260" s="4"/>
      <c r="J260" s="9"/>
      <c r="K260" s="9"/>
      <c r="L260" s="9"/>
      <c r="M260" s="9"/>
      <c r="N260" s="9"/>
      <c r="O260" s="9"/>
      <c r="P260" s="9"/>
      <c r="Q260" s="9"/>
      <c r="R260" s="9"/>
      <c r="S260" s="4"/>
      <c r="T260" s="4"/>
      <c r="U260" s="4"/>
      <c r="V260" s="4"/>
      <c r="W260" s="4"/>
      <c r="X260" s="4"/>
      <c r="Y260" s="4"/>
      <c r="AL260" s="360"/>
      <c r="AM260" s="499"/>
    </row>
    <row r="261" spans="1:39" ht="12.75" customHeight="1" x14ac:dyDescent="0.25">
      <c r="A261" s="9"/>
      <c r="B261" s="4"/>
      <c r="C261" s="9"/>
      <c r="D261" s="9"/>
      <c r="E261" s="120"/>
      <c r="F261" s="120"/>
      <c r="G261" s="120"/>
      <c r="H261" s="120"/>
      <c r="I261" s="4"/>
      <c r="J261" s="9"/>
      <c r="K261" s="9"/>
      <c r="L261" s="9"/>
      <c r="M261" s="9"/>
      <c r="N261" s="9"/>
      <c r="O261" s="9"/>
      <c r="P261" s="9"/>
      <c r="Q261" s="9"/>
      <c r="R261" s="9"/>
      <c r="S261" s="4"/>
      <c r="T261" s="4"/>
      <c r="U261" s="4"/>
      <c r="V261" s="4"/>
      <c r="W261" s="4"/>
      <c r="X261" s="4"/>
      <c r="Y261" s="4"/>
      <c r="AL261" s="360"/>
      <c r="AM261" s="499"/>
    </row>
    <row r="262" spans="1:39" ht="12.75" customHeight="1" x14ac:dyDescent="0.25">
      <c r="A262" s="9"/>
      <c r="B262" s="4"/>
      <c r="C262" s="9"/>
      <c r="D262" s="9"/>
      <c r="E262" s="120"/>
      <c r="F262" s="120"/>
      <c r="G262" s="120"/>
      <c r="H262" s="120"/>
      <c r="I262" s="4"/>
      <c r="J262" s="9"/>
      <c r="K262" s="9"/>
      <c r="L262" s="9"/>
      <c r="M262" s="9"/>
      <c r="N262" s="9"/>
      <c r="O262" s="9"/>
      <c r="P262" s="9"/>
      <c r="Q262" s="9"/>
      <c r="R262" s="9"/>
      <c r="S262" s="4"/>
      <c r="T262" s="4"/>
      <c r="U262" s="4"/>
      <c r="V262" s="4"/>
      <c r="W262" s="4"/>
      <c r="X262" s="4"/>
      <c r="Y262" s="4"/>
      <c r="AL262" s="360"/>
      <c r="AM262" s="499"/>
    </row>
    <row r="263" spans="1:39" ht="12.75" customHeight="1" x14ac:dyDescent="0.25">
      <c r="A263" s="9"/>
      <c r="B263" s="4"/>
      <c r="C263" s="9"/>
      <c r="D263" s="9"/>
      <c r="E263" s="120"/>
      <c r="F263" s="120"/>
      <c r="G263" s="120"/>
      <c r="H263" s="120"/>
      <c r="I263" s="4"/>
      <c r="J263" s="9"/>
      <c r="K263" s="9"/>
      <c r="L263" s="9"/>
      <c r="M263" s="9"/>
      <c r="N263" s="9"/>
      <c r="O263" s="9"/>
      <c r="P263" s="9"/>
      <c r="Q263" s="9"/>
      <c r="R263" s="9"/>
      <c r="S263" s="4"/>
      <c r="T263" s="4"/>
      <c r="U263" s="4"/>
      <c r="V263" s="4"/>
      <c r="W263" s="4"/>
      <c r="X263" s="4"/>
      <c r="Y263" s="4"/>
      <c r="AL263" s="360"/>
      <c r="AM263" s="499"/>
    </row>
    <row r="264" spans="1:39" ht="12.75" customHeight="1" x14ac:dyDescent="0.25">
      <c r="A264" s="9"/>
      <c r="B264" s="4"/>
      <c r="C264" s="9"/>
      <c r="D264" s="9"/>
      <c r="E264" s="120"/>
      <c r="F264" s="120"/>
      <c r="G264" s="120"/>
      <c r="H264" s="120"/>
      <c r="I264" s="4"/>
      <c r="J264" s="9"/>
      <c r="K264" s="9"/>
      <c r="L264" s="9"/>
      <c r="M264" s="9"/>
      <c r="N264" s="9"/>
      <c r="O264" s="9"/>
      <c r="P264" s="9"/>
      <c r="Q264" s="9"/>
      <c r="R264" s="9"/>
      <c r="S264" s="4"/>
      <c r="T264" s="4"/>
      <c r="U264" s="4"/>
      <c r="V264" s="4"/>
      <c r="W264" s="4"/>
      <c r="X264" s="4"/>
      <c r="Y264" s="4"/>
      <c r="AL264" s="360"/>
      <c r="AM264" s="499"/>
    </row>
    <row r="265" spans="1:39" ht="12.75" customHeight="1" x14ac:dyDescent="0.25">
      <c r="A265" s="9"/>
      <c r="B265" s="4"/>
      <c r="C265" s="9"/>
      <c r="D265" s="9"/>
      <c r="E265" s="120"/>
      <c r="F265" s="120"/>
      <c r="G265" s="120"/>
      <c r="H265" s="120"/>
      <c r="I265" s="4"/>
      <c r="J265" s="9"/>
      <c r="K265" s="9"/>
      <c r="L265" s="9"/>
      <c r="M265" s="9"/>
      <c r="N265" s="9"/>
      <c r="O265" s="9"/>
      <c r="P265" s="9"/>
      <c r="Q265" s="9"/>
      <c r="R265" s="9"/>
      <c r="S265" s="4"/>
      <c r="T265" s="4"/>
      <c r="U265" s="4"/>
      <c r="V265" s="4"/>
      <c r="W265" s="4"/>
      <c r="X265" s="4"/>
      <c r="Y265" s="4"/>
      <c r="AL265" s="360"/>
      <c r="AM265" s="499"/>
    </row>
    <row r="266" spans="1:39" ht="12.75" customHeight="1" x14ac:dyDescent="0.25">
      <c r="A266" s="9"/>
      <c r="B266" s="4"/>
      <c r="C266" s="9"/>
      <c r="D266" s="9"/>
      <c r="E266" s="120"/>
      <c r="F266" s="120"/>
      <c r="G266" s="120"/>
      <c r="H266" s="120"/>
      <c r="I266" s="4"/>
      <c r="J266" s="9"/>
      <c r="K266" s="9"/>
      <c r="L266" s="9"/>
      <c r="M266" s="9"/>
      <c r="N266" s="9"/>
      <c r="O266" s="9"/>
      <c r="P266" s="9"/>
      <c r="Q266" s="9"/>
      <c r="R266" s="9"/>
      <c r="S266" s="4"/>
      <c r="T266" s="4"/>
      <c r="U266" s="4"/>
      <c r="V266" s="4"/>
      <c r="W266" s="4"/>
      <c r="X266" s="4"/>
      <c r="Y266" s="4"/>
      <c r="AL266" s="360"/>
      <c r="AM266" s="499"/>
    </row>
    <row r="267" spans="1:39" ht="12.75" customHeight="1" x14ac:dyDescent="0.25">
      <c r="A267" s="395"/>
      <c r="J267" s="122"/>
      <c r="K267" s="122"/>
      <c r="L267" s="122"/>
      <c r="M267" s="122"/>
      <c r="N267" s="122"/>
      <c r="O267" s="122"/>
      <c r="P267" s="122"/>
      <c r="Q267" s="122"/>
      <c r="R267" s="122"/>
      <c r="AL267" s="360"/>
      <c r="AM267" s="499"/>
    </row>
    <row r="268" spans="1:39" ht="12.75" customHeight="1" x14ac:dyDescent="0.25">
      <c r="A268" s="395"/>
      <c r="J268" s="122"/>
      <c r="K268" s="122"/>
      <c r="L268" s="122"/>
      <c r="M268" s="122"/>
      <c r="N268" s="122"/>
      <c r="O268" s="122"/>
      <c r="P268" s="122"/>
      <c r="Q268" s="122"/>
      <c r="R268" s="122"/>
      <c r="AL268" s="360"/>
      <c r="AM268" s="499"/>
    </row>
    <row r="269" spans="1:39" ht="12.75" customHeight="1" x14ac:dyDescent="0.25">
      <c r="A269" s="395"/>
      <c r="J269" s="122"/>
      <c r="K269" s="122"/>
      <c r="L269" s="122"/>
      <c r="M269" s="122"/>
      <c r="N269" s="122"/>
      <c r="O269" s="122"/>
      <c r="P269" s="122"/>
      <c r="Q269" s="122"/>
      <c r="R269" s="122"/>
      <c r="AL269" s="360"/>
      <c r="AM269" s="499"/>
    </row>
    <row r="270" spans="1:39" ht="12.75" customHeight="1" x14ac:dyDescent="0.25">
      <c r="A270" s="395"/>
      <c r="J270" s="122"/>
      <c r="K270" s="122"/>
      <c r="L270" s="122"/>
      <c r="M270" s="122"/>
      <c r="N270" s="122"/>
      <c r="O270" s="122"/>
      <c r="P270" s="122"/>
      <c r="Q270" s="122"/>
      <c r="R270" s="122"/>
      <c r="AL270" s="360"/>
      <c r="AM270" s="499"/>
    </row>
    <row r="271" spans="1:39" ht="12.75" customHeight="1" x14ac:dyDescent="0.25">
      <c r="A271" s="395"/>
      <c r="J271" s="122"/>
      <c r="K271" s="122"/>
      <c r="L271" s="122"/>
      <c r="M271" s="122"/>
      <c r="N271" s="122"/>
      <c r="O271" s="122"/>
      <c r="P271" s="122"/>
      <c r="Q271" s="122"/>
      <c r="R271" s="122"/>
      <c r="AL271" s="360"/>
      <c r="AM271" s="499"/>
    </row>
    <row r="272" spans="1:39" ht="12.75" customHeight="1" x14ac:dyDescent="0.25">
      <c r="A272" s="395"/>
      <c r="J272" s="122"/>
      <c r="K272" s="122"/>
      <c r="L272" s="122"/>
      <c r="M272" s="122"/>
      <c r="N272" s="122"/>
      <c r="O272" s="122"/>
      <c r="P272" s="122"/>
      <c r="Q272" s="122"/>
      <c r="R272" s="122"/>
      <c r="AL272" s="360"/>
      <c r="AM272" s="499"/>
    </row>
    <row r="273" spans="1:39" ht="12.75" customHeight="1" x14ac:dyDescent="0.25">
      <c r="A273" s="395"/>
      <c r="J273" s="122"/>
      <c r="K273" s="122"/>
      <c r="L273" s="122"/>
      <c r="M273" s="122"/>
      <c r="N273" s="122"/>
      <c r="O273" s="122"/>
      <c r="P273" s="122"/>
      <c r="Q273" s="122"/>
      <c r="R273" s="122"/>
      <c r="AL273" s="360"/>
      <c r="AM273" s="499"/>
    </row>
    <row r="274" spans="1:39" ht="12.75" customHeight="1" x14ac:dyDescent="0.25">
      <c r="A274" s="395"/>
      <c r="J274" s="122"/>
      <c r="K274" s="122"/>
      <c r="L274" s="122"/>
      <c r="M274" s="122"/>
      <c r="N274" s="122"/>
      <c r="O274" s="122"/>
      <c r="P274" s="122"/>
      <c r="Q274" s="122"/>
      <c r="R274" s="122"/>
      <c r="AL274" s="360"/>
      <c r="AM274" s="499"/>
    </row>
    <row r="275" spans="1:39" ht="12.75" customHeight="1" x14ac:dyDescent="0.25">
      <c r="A275" s="395"/>
      <c r="J275" s="122"/>
      <c r="K275" s="122"/>
      <c r="L275" s="122"/>
      <c r="M275" s="122"/>
      <c r="N275" s="122"/>
      <c r="O275" s="122"/>
      <c r="P275" s="122"/>
      <c r="Q275" s="122"/>
      <c r="R275" s="122"/>
      <c r="AL275" s="360"/>
      <c r="AM275" s="499"/>
    </row>
    <row r="276" spans="1:39" ht="12.75" customHeight="1" x14ac:dyDescent="0.25">
      <c r="A276" s="395"/>
      <c r="J276" s="122"/>
      <c r="K276" s="122"/>
      <c r="L276" s="122"/>
      <c r="M276" s="122"/>
      <c r="N276" s="122"/>
      <c r="O276" s="122"/>
      <c r="P276" s="122"/>
      <c r="Q276" s="122"/>
      <c r="R276" s="122"/>
      <c r="AL276" s="360"/>
      <c r="AM276" s="499"/>
    </row>
    <row r="277" spans="1:39" ht="12.75" customHeight="1" x14ac:dyDescent="0.25">
      <c r="A277" s="395"/>
      <c r="J277" s="122"/>
      <c r="K277" s="122"/>
      <c r="L277" s="122"/>
      <c r="M277" s="122"/>
      <c r="N277" s="122"/>
      <c r="O277" s="122"/>
      <c r="P277" s="122"/>
      <c r="Q277" s="122"/>
      <c r="R277" s="122"/>
      <c r="AL277" s="360"/>
      <c r="AM277" s="499"/>
    </row>
    <row r="278" spans="1:39" ht="12.75" customHeight="1" x14ac:dyDescent="0.25">
      <c r="A278" s="395"/>
      <c r="J278" s="122"/>
      <c r="K278" s="122"/>
      <c r="L278" s="122"/>
      <c r="M278" s="122"/>
      <c r="N278" s="122"/>
      <c r="O278" s="122"/>
      <c r="P278" s="122"/>
      <c r="Q278" s="122"/>
      <c r="R278" s="122"/>
      <c r="AL278" s="360"/>
      <c r="AM278" s="499"/>
    </row>
    <row r="279" spans="1:39" ht="12.75" customHeight="1" x14ac:dyDescent="0.25">
      <c r="A279" s="395"/>
      <c r="J279" s="122"/>
      <c r="K279" s="122"/>
      <c r="L279" s="122"/>
      <c r="M279" s="122"/>
      <c r="N279" s="122"/>
      <c r="O279" s="122"/>
      <c r="P279" s="122"/>
      <c r="Q279" s="122"/>
      <c r="R279" s="122"/>
      <c r="AL279" s="360"/>
      <c r="AM279" s="499"/>
    </row>
    <row r="280" spans="1:39" ht="12.75" customHeight="1" x14ac:dyDescent="0.25">
      <c r="A280" s="395"/>
      <c r="J280" s="122"/>
      <c r="K280" s="122"/>
      <c r="L280" s="122"/>
      <c r="M280" s="122"/>
      <c r="N280" s="122"/>
      <c r="O280" s="122"/>
      <c r="P280" s="122"/>
      <c r="Q280" s="122"/>
      <c r="R280" s="122"/>
      <c r="AL280" s="360"/>
      <c r="AM280" s="499"/>
    </row>
    <row r="281" spans="1:39" ht="12.75" customHeight="1" x14ac:dyDescent="0.25">
      <c r="A281" s="395"/>
      <c r="J281" s="122"/>
      <c r="K281" s="122"/>
      <c r="L281" s="122"/>
      <c r="M281" s="122"/>
      <c r="N281" s="122"/>
      <c r="O281" s="122"/>
      <c r="P281" s="122"/>
      <c r="Q281" s="122"/>
      <c r="R281" s="122"/>
      <c r="AL281" s="360"/>
      <c r="AM281" s="499"/>
    </row>
    <row r="282" spans="1:39" ht="12.75" customHeight="1" x14ac:dyDescent="0.25">
      <c r="A282" s="395"/>
      <c r="J282" s="122"/>
      <c r="K282" s="122"/>
      <c r="L282" s="122"/>
      <c r="M282" s="122"/>
      <c r="N282" s="122"/>
      <c r="O282" s="122"/>
      <c r="P282" s="122"/>
      <c r="Q282" s="122"/>
      <c r="R282" s="122"/>
      <c r="AL282" s="360"/>
      <c r="AM282" s="499"/>
    </row>
    <row r="283" spans="1:39" ht="12.75" customHeight="1" x14ac:dyDescent="0.25">
      <c r="A283" s="395"/>
      <c r="J283" s="122"/>
      <c r="K283" s="122"/>
      <c r="L283" s="122"/>
      <c r="M283" s="122"/>
      <c r="N283" s="122"/>
      <c r="O283" s="122"/>
      <c r="P283" s="122"/>
      <c r="Q283" s="122"/>
      <c r="R283" s="122"/>
      <c r="AL283" s="360"/>
      <c r="AM283" s="499"/>
    </row>
    <row r="284" spans="1:39" ht="12.75" customHeight="1" x14ac:dyDescent="0.25">
      <c r="A284" s="395"/>
      <c r="J284" s="122"/>
      <c r="K284" s="122"/>
      <c r="L284" s="122"/>
      <c r="M284" s="122"/>
      <c r="N284" s="122"/>
      <c r="O284" s="122"/>
      <c r="P284" s="122"/>
      <c r="Q284" s="122"/>
      <c r="R284" s="122"/>
      <c r="AL284" s="360"/>
      <c r="AM284" s="499"/>
    </row>
    <row r="285" spans="1:39" ht="12.75" customHeight="1" x14ac:dyDescent="0.25">
      <c r="A285" s="395"/>
      <c r="J285" s="122"/>
      <c r="K285" s="122"/>
      <c r="L285" s="122"/>
      <c r="M285" s="122"/>
      <c r="N285" s="122"/>
      <c r="O285" s="122"/>
      <c r="P285" s="122"/>
      <c r="Q285" s="122"/>
      <c r="R285" s="122"/>
      <c r="AL285" s="360"/>
      <c r="AM285" s="499"/>
    </row>
    <row r="286" spans="1:39" ht="12.75" customHeight="1" x14ac:dyDescent="0.25">
      <c r="A286" s="395"/>
      <c r="J286" s="122"/>
      <c r="K286" s="122"/>
      <c r="L286" s="122"/>
      <c r="M286" s="122"/>
      <c r="N286" s="122"/>
      <c r="O286" s="122"/>
      <c r="P286" s="122"/>
      <c r="Q286" s="122"/>
      <c r="R286" s="122"/>
      <c r="AL286" s="360"/>
      <c r="AM286" s="499"/>
    </row>
    <row r="287" spans="1:39" ht="12.75" customHeight="1" x14ac:dyDescent="0.25">
      <c r="A287" s="395"/>
      <c r="J287" s="122"/>
      <c r="K287" s="122"/>
      <c r="L287" s="122"/>
      <c r="M287" s="122"/>
      <c r="N287" s="122"/>
      <c r="O287" s="122"/>
      <c r="P287" s="122"/>
      <c r="Q287" s="122"/>
      <c r="R287" s="122"/>
      <c r="AL287" s="360"/>
      <c r="AM287" s="499"/>
    </row>
    <row r="288" spans="1:39" ht="12.75" customHeight="1" x14ac:dyDescent="0.25">
      <c r="A288" s="395"/>
      <c r="J288" s="122"/>
      <c r="K288" s="122"/>
      <c r="L288" s="122"/>
      <c r="M288" s="122"/>
      <c r="N288" s="122"/>
      <c r="O288" s="122"/>
      <c r="P288" s="122"/>
      <c r="Q288" s="122"/>
      <c r="R288" s="122"/>
      <c r="AL288" s="360"/>
      <c r="AM288" s="499"/>
    </row>
    <row r="289" spans="1:39" ht="12.75" customHeight="1" x14ac:dyDescent="0.25">
      <c r="A289" s="395"/>
      <c r="J289" s="122"/>
      <c r="K289" s="122"/>
      <c r="L289" s="122"/>
      <c r="M289" s="122"/>
      <c r="N289" s="122"/>
      <c r="O289" s="122"/>
      <c r="P289" s="122"/>
      <c r="Q289" s="122"/>
      <c r="R289" s="122"/>
      <c r="AL289" s="360"/>
      <c r="AM289" s="499"/>
    </row>
    <row r="290" spans="1:39" ht="12.75" customHeight="1" x14ac:dyDescent="0.25">
      <c r="A290" s="395"/>
      <c r="J290" s="122"/>
      <c r="K290" s="122"/>
      <c r="L290" s="122"/>
      <c r="M290" s="122"/>
      <c r="N290" s="122"/>
      <c r="O290" s="122"/>
      <c r="P290" s="122"/>
      <c r="Q290" s="122"/>
      <c r="R290" s="122"/>
      <c r="AL290" s="360"/>
      <c r="AM290" s="499"/>
    </row>
    <row r="291" spans="1:39" ht="12.75" customHeight="1" x14ac:dyDescent="0.25">
      <c r="A291" s="395"/>
      <c r="J291" s="122"/>
      <c r="K291" s="122"/>
      <c r="L291" s="122"/>
      <c r="M291" s="122"/>
      <c r="N291" s="122"/>
      <c r="O291" s="122"/>
      <c r="P291" s="122"/>
      <c r="Q291" s="122"/>
      <c r="R291" s="122"/>
      <c r="AL291" s="360"/>
      <c r="AM291" s="499"/>
    </row>
    <row r="292" spans="1:39" ht="12.75" customHeight="1" x14ac:dyDescent="0.25">
      <c r="A292" s="395"/>
      <c r="J292" s="122"/>
      <c r="K292" s="122"/>
      <c r="L292" s="122"/>
      <c r="M292" s="122"/>
      <c r="N292" s="122"/>
      <c r="O292" s="122"/>
      <c r="P292" s="122"/>
      <c r="Q292" s="122"/>
      <c r="R292" s="122"/>
      <c r="AL292" s="360"/>
      <c r="AM292" s="499"/>
    </row>
    <row r="293" spans="1:39" ht="12.75" customHeight="1" x14ac:dyDescent="0.25">
      <c r="A293" s="395"/>
      <c r="J293" s="122"/>
      <c r="K293" s="122"/>
      <c r="L293" s="122"/>
      <c r="M293" s="122"/>
      <c r="N293" s="122"/>
      <c r="O293" s="122"/>
      <c r="P293" s="122"/>
      <c r="Q293" s="122"/>
      <c r="R293" s="122"/>
      <c r="AL293" s="360"/>
      <c r="AM293" s="499"/>
    </row>
    <row r="294" spans="1:39" ht="12.75" customHeight="1" x14ac:dyDescent="0.25">
      <c r="A294" s="395"/>
      <c r="J294" s="122"/>
      <c r="K294" s="122"/>
      <c r="L294" s="122"/>
      <c r="M294" s="122"/>
      <c r="N294" s="122"/>
      <c r="O294" s="122"/>
      <c r="P294" s="122"/>
      <c r="Q294" s="122"/>
      <c r="R294" s="122"/>
      <c r="AL294" s="360"/>
      <c r="AM294" s="499"/>
    </row>
    <row r="295" spans="1:39" ht="12.75" customHeight="1" x14ac:dyDescent="0.25">
      <c r="A295" s="395"/>
      <c r="J295" s="122"/>
      <c r="K295" s="122"/>
      <c r="L295" s="122"/>
      <c r="M295" s="122"/>
      <c r="N295" s="122"/>
      <c r="O295" s="122"/>
      <c r="P295" s="122"/>
      <c r="Q295" s="122"/>
      <c r="R295" s="122"/>
      <c r="AL295" s="360"/>
      <c r="AM295" s="499"/>
    </row>
    <row r="296" spans="1:39" ht="12.75" customHeight="1" x14ac:dyDescent="0.25">
      <c r="A296" s="395"/>
      <c r="J296" s="122"/>
      <c r="K296" s="122"/>
      <c r="L296" s="122"/>
      <c r="M296" s="122"/>
      <c r="N296" s="122"/>
      <c r="O296" s="122"/>
      <c r="P296" s="122"/>
      <c r="Q296" s="122"/>
      <c r="R296" s="122"/>
      <c r="AL296" s="360"/>
      <c r="AM296" s="499"/>
    </row>
    <row r="297" spans="1:39" ht="12.75" customHeight="1" x14ac:dyDescent="0.25">
      <c r="A297" s="395"/>
      <c r="J297" s="122"/>
      <c r="K297" s="122"/>
      <c r="L297" s="122"/>
      <c r="M297" s="122"/>
      <c r="N297" s="122"/>
      <c r="O297" s="122"/>
      <c r="P297" s="122"/>
      <c r="Q297" s="122"/>
      <c r="R297" s="122"/>
      <c r="AL297" s="360"/>
      <c r="AM297" s="499"/>
    </row>
    <row r="298" spans="1:39" ht="12.75" customHeight="1" x14ac:dyDescent="0.25">
      <c r="A298" s="395"/>
      <c r="J298" s="122"/>
      <c r="K298" s="122"/>
      <c r="L298" s="122"/>
      <c r="M298" s="122"/>
      <c r="N298" s="122"/>
      <c r="O298" s="122"/>
      <c r="P298" s="122"/>
      <c r="Q298" s="122"/>
      <c r="R298" s="122"/>
      <c r="AL298" s="360"/>
      <c r="AM298" s="499"/>
    </row>
    <row r="299" spans="1:39" ht="12.75" customHeight="1" x14ac:dyDescent="0.25">
      <c r="A299" s="395"/>
      <c r="J299" s="122"/>
      <c r="K299" s="122"/>
      <c r="L299" s="122"/>
      <c r="M299" s="122"/>
      <c r="N299" s="122"/>
      <c r="O299" s="122"/>
      <c r="P299" s="122"/>
      <c r="Q299" s="122"/>
      <c r="R299" s="122"/>
      <c r="AL299" s="360"/>
      <c r="AM299" s="499"/>
    </row>
    <row r="300" spans="1:39" ht="12.75" customHeight="1" x14ac:dyDescent="0.25">
      <c r="A300" s="395"/>
      <c r="J300" s="122"/>
      <c r="K300" s="122"/>
      <c r="L300" s="122"/>
      <c r="M300" s="122"/>
      <c r="N300" s="122"/>
      <c r="O300" s="122"/>
      <c r="P300" s="122"/>
      <c r="Q300" s="122"/>
      <c r="R300" s="122"/>
      <c r="AL300" s="360"/>
      <c r="AM300" s="499"/>
    </row>
    <row r="301" spans="1:39" ht="12.75" customHeight="1" x14ac:dyDescent="0.25">
      <c r="A301" s="395"/>
      <c r="J301" s="122"/>
      <c r="K301" s="122"/>
      <c r="L301" s="122"/>
      <c r="M301" s="122"/>
      <c r="N301" s="122"/>
      <c r="O301" s="122"/>
      <c r="P301" s="122"/>
      <c r="Q301" s="122"/>
      <c r="R301" s="122"/>
      <c r="AL301" s="360"/>
      <c r="AM301" s="499"/>
    </row>
    <row r="302" spans="1:39" ht="12.75" customHeight="1" x14ac:dyDescent="0.25">
      <c r="A302" s="395"/>
      <c r="J302" s="122"/>
      <c r="K302" s="122"/>
      <c r="L302" s="122"/>
      <c r="M302" s="122"/>
      <c r="N302" s="122"/>
      <c r="O302" s="122"/>
      <c r="P302" s="122"/>
      <c r="Q302" s="122"/>
      <c r="R302" s="122"/>
      <c r="AL302" s="360"/>
      <c r="AM302" s="499"/>
    </row>
    <row r="303" spans="1:39" ht="12.75" customHeight="1" x14ac:dyDescent="0.25">
      <c r="A303" s="395"/>
      <c r="J303" s="122"/>
      <c r="K303" s="122"/>
      <c r="L303" s="122"/>
      <c r="M303" s="122"/>
      <c r="N303" s="122"/>
      <c r="O303" s="122"/>
      <c r="P303" s="122"/>
      <c r="Q303" s="122"/>
      <c r="R303" s="122"/>
      <c r="AL303" s="360"/>
      <c r="AM303" s="499"/>
    </row>
    <row r="304" spans="1:39" ht="12.75" customHeight="1" x14ac:dyDescent="0.25">
      <c r="A304" s="395"/>
      <c r="J304" s="122"/>
      <c r="K304" s="122"/>
      <c r="L304" s="122"/>
      <c r="M304" s="122"/>
      <c r="N304" s="122"/>
      <c r="O304" s="122"/>
      <c r="P304" s="122"/>
      <c r="Q304" s="122"/>
      <c r="R304" s="122"/>
      <c r="AL304" s="360"/>
      <c r="AM304" s="499"/>
    </row>
    <row r="305" spans="1:39" ht="12.75" customHeight="1" x14ac:dyDescent="0.25">
      <c r="A305" s="395"/>
      <c r="J305" s="122"/>
      <c r="K305" s="122"/>
      <c r="L305" s="122"/>
      <c r="M305" s="122"/>
      <c r="N305" s="122"/>
      <c r="O305" s="122"/>
      <c r="P305" s="122"/>
      <c r="Q305" s="122"/>
      <c r="R305" s="122"/>
      <c r="AL305" s="360"/>
      <c r="AM305" s="499"/>
    </row>
    <row r="306" spans="1:39" ht="12.75" customHeight="1" x14ac:dyDescent="0.25">
      <c r="A306" s="395"/>
      <c r="J306" s="122"/>
      <c r="K306" s="122"/>
      <c r="L306" s="122"/>
      <c r="M306" s="122"/>
      <c r="N306" s="122"/>
      <c r="O306" s="122"/>
      <c r="P306" s="122"/>
      <c r="Q306" s="122"/>
      <c r="R306" s="122"/>
      <c r="AL306" s="360"/>
      <c r="AM306" s="499"/>
    </row>
    <row r="307" spans="1:39" ht="12.75" customHeight="1" x14ac:dyDescent="0.25">
      <c r="A307" s="395"/>
      <c r="J307" s="122"/>
      <c r="K307" s="122"/>
      <c r="L307" s="122"/>
      <c r="M307" s="122"/>
      <c r="N307" s="122"/>
      <c r="O307" s="122"/>
      <c r="P307" s="122"/>
      <c r="Q307" s="122"/>
      <c r="R307" s="122"/>
      <c r="AL307" s="360"/>
      <c r="AM307" s="499"/>
    </row>
    <row r="308" spans="1:39" ht="12.75" customHeight="1" x14ac:dyDescent="0.25">
      <c r="A308" s="395"/>
      <c r="J308" s="122"/>
      <c r="K308" s="122"/>
      <c r="L308" s="122"/>
      <c r="M308" s="122"/>
      <c r="N308" s="122"/>
      <c r="O308" s="122"/>
      <c r="P308" s="122"/>
      <c r="Q308" s="122"/>
      <c r="R308" s="122"/>
      <c r="AL308" s="360"/>
      <c r="AM308" s="499"/>
    </row>
    <row r="309" spans="1:39" ht="12.75" customHeight="1" x14ac:dyDescent="0.25">
      <c r="A309" s="395"/>
      <c r="J309" s="122"/>
      <c r="K309" s="122"/>
      <c r="L309" s="122"/>
      <c r="M309" s="122"/>
      <c r="N309" s="122"/>
      <c r="O309" s="122"/>
      <c r="P309" s="122"/>
      <c r="Q309" s="122"/>
      <c r="R309" s="122"/>
      <c r="AL309" s="360"/>
      <c r="AM309" s="499"/>
    </row>
    <row r="310" spans="1:39" ht="12.75" customHeight="1" x14ac:dyDescent="0.25">
      <c r="A310" s="395"/>
      <c r="J310" s="122"/>
      <c r="K310" s="122"/>
      <c r="L310" s="122"/>
      <c r="M310" s="122"/>
      <c r="N310" s="122"/>
      <c r="O310" s="122"/>
      <c r="P310" s="122"/>
      <c r="Q310" s="122"/>
      <c r="R310" s="122"/>
      <c r="AL310" s="360"/>
      <c r="AM310" s="499"/>
    </row>
    <row r="311" spans="1:39" ht="12.75" customHeight="1" x14ac:dyDescent="0.25">
      <c r="A311" s="395"/>
      <c r="J311" s="122"/>
      <c r="K311" s="122"/>
      <c r="L311" s="122"/>
      <c r="M311" s="122"/>
      <c r="N311" s="122"/>
      <c r="O311" s="122"/>
      <c r="P311" s="122"/>
      <c r="Q311" s="122"/>
      <c r="R311" s="122"/>
      <c r="AL311" s="360"/>
      <c r="AM311" s="499"/>
    </row>
    <row r="312" spans="1:39" ht="12.75" customHeight="1" x14ac:dyDescent="0.25">
      <c r="A312" s="395"/>
      <c r="J312" s="122"/>
      <c r="K312" s="122"/>
      <c r="L312" s="122"/>
      <c r="M312" s="122"/>
      <c r="N312" s="122"/>
      <c r="O312" s="122"/>
      <c r="P312" s="122"/>
      <c r="Q312" s="122"/>
      <c r="R312" s="122"/>
      <c r="AL312" s="360"/>
      <c r="AM312" s="499"/>
    </row>
    <row r="313" spans="1:39" ht="12.75" customHeight="1" x14ac:dyDescent="0.25">
      <c r="A313" s="395"/>
      <c r="J313" s="122"/>
      <c r="K313" s="122"/>
      <c r="L313" s="122"/>
      <c r="M313" s="122"/>
      <c r="N313" s="122"/>
      <c r="O313" s="122"/>
      <c r="P313" s="122"/>
      <c r="Q313" s="122"/>
      <c r="R313" s="122"/>
      <c r="AL313" s="360"/>
      <c r="AM313" s="499"/>
    </row>
    <row r="314" spans="1:39" ht="12.75" customHeight="1" x14ac:dyDescent="0.25">
      <c r="A314" s="395"/>
      <c r="J314" s="122"/>
      <c r="K314" s="122"/>
      <c r="L314" s="122"/>
      <c r="M314" s="122"/>
      <c r="N314" s="122"/>
      <c r="O314" s="122"/>
      <c r="P314" s="122"/>
      <c r="Q314" s="122"/>
      <c r="R314" s="122"/>
      <c r="AL314" s="360"/>
      <c r="AM314" s="499"/>
    </row>
    <row r="315" spans="1:39" ht="12.75" customHeight="1" x14ac:dyDescent="0.25">
      <c r="A315" s="395"/>
      <c r="J315" s="122"/>
      <c r="K315" s="122"/>
      <c r="L315" s="122"/>
      <c r="M315" s="122"/>
      <c r="N315" s="122"/>
      <c r="O315" s="122"/>
      <c r="P315" s="122"/>
      <c r="Q315" s="122"/>
      <c r="R315" s="122"/>
      <c r="AL315" s="360"/>
      <c r="AM315" s="499"/>
    </row>
    <row r="316" spans="1:39" ht="12.75" customHeight="1" x14ac:dyDescent="0.25">
      <c r="A316" s="395"/>
      <c r="J316" s="122"/>
      <c r="K316" s="122"/>
      <c r="L316" s="122"/>
      <c r="M316" s="122"/>
      <c r="N316" s="122"/>
      <c r="O316" s="122"/>
      <c r="P316" s="122"/>
      <c r="Q316" s="122"/>
      <c r="R316" s="122"/>
      <c r="AL316" s="360"/>
      <c r="AM316" s="499"/>
    </row>
    <row r="317" spans="1:39" ht="12.75" customHeight="1" x14ac:dyDescent="0.25">
      <c r="A317" s="395"/>
      <c r="J317" s="122"/>
      <c r="K317" s="122"/>
      <c r="L317" s="122"/>
      <c r="M317" s="122"/>
      <c r="N317" s="122"/>
      <c r="O317" s="122"/>
      <c r="P317" s="122"/>
      <c r="Q317" s="122"/>
      <c r="R317" s="122"/>
      <c r="AL317" s="360"/>
      <c r="AM317" s="499"/>
    </row>
    <row r="318" spans="1:39" ht="12.75" customHeight="1" x14ac:dyDescent="0.25">
      <c r="A318" s="395"/>
      <c r="J318" s="122"/>
      <c r="K318" s="122"/>
      <c r="L318" s="122"/>
      <c r="M318" s="122"/>
      <c r="N318" s="122"/>
      <c r="O318" s="122"/>
      <c r="P318" s="122"/>
      <c r="Q318" s="122"/>
      <c r="R318" s="122"/>
      <c r="AL318" s="360"/>
      <c r="AM318" s="499"/>
    </row>
    <row r="319" spans="1:39" ht="12.75" customHeight="1" x14ac:dyDescent="0.25">
      <c r="A319" s="395"/>
      <c r="J319" s="122"/>
      <c r="K319" s="122"/>
      <c r="L319" s="122"/>
      <c r="M319" s="122"/>
      <c r="N319" s="122"/>
      <c r="O319" s="122"/>
      <c r="P319" s="122"/>
      <c r="Q319" s="122"/>
      <c r="R319" s="122"/>
      <c r="AL319" s="360"/>
      <c r="AM319" s="499"/>
    </row>
    <row r="320" spans="1:39" ht="12.75" customHeight="1" x14ac:dyDescent="0.25">
      <c r="A320" s="395"/>
      <c r="J320" s="122"/>
      <c r="K320" s="122"/>
      <c r="L320" s="122"/>
      <c r="M320" s="122"/>
      <c r="N320" s="122"/>
      <c r="O320" s="122"/>
      <c r="P320" s="122"/>
      <c r="Q320" s="122"/>
      <c r="R320" s="122"/>
      <c r="AL320" s="360"/>
      <c r="AM320" s="499"/>
    </row>
    <row r="321" spans="1:39" ht="12.75" customHeight="1" x14ac:dyDescent="0.25">
      <c r="A321" s="395"/>
      <c r="J321" s="122"/>
      <c r="K321" s="122"/>
      <c r="L321" s="122"/>
      <c r="M321" s="122"/>
      <c r="N321" s="122"/>
      <c r="O321" s="122"/>
      <c r="P321" s="122"/>
      <c r="Q321" s="122"/>
      <c r="R321" s="122"/>
      <c r="AL321" s="360"/>
      <c r="AM321" s="499"/>
    </row>
    <row r="322" spans="1:39" ht="12.75" customHeight="1" x14ac:dyDescent="0.25">
      <c r="A322" s="395"/>
      <c r="J322" s="122"/>
      <c r="K322" s="122"/>
      <c r="L322" s="122"/>
      <c r="M322" s="122"/>
      <c r="N322" s="122"/>
      <c r="O322" s="122"/>
      <c r="P322" s="122"/>
      <c r="Q322" s="122"/>
      <c r="R322" s="122"/>
      <c r="AL322" s="360"/>
      <c r="AM322" s="499"/>
    </row>
    <row r="323" spans="1:39" ht="12.75" customHeight="1" x14ac:dyDescent="0.25">
      <c r="A323" s="395"/>
      <c r="J323" s="122"/>
      <c r="K323" s="122"/>
      <c r="L323" s="122"/>
      <c r="M323" s="122"/>
      <c r="N323" s="122"/>
      <c r="O323" s="122"/>
      <c r="P323" s="122"/>
      <c r="Q323" s="122"/>
      <c r="R323" s="122"/>
      <c r="AL323" s="360"/>
      <c r="AM323" s="499"/>
    </row>
    <row r="324" spans="1:39" ht="12.75" customHeight="1" x14ac:dyDescent="0.25">
      <c r="A324" s="395"/>
      <c r="J324" s="122"/>
      <c r="K324" s="122"/>
      <c r="L324" s="122"/>
      <c r="M324" s="122"/>
      <c r="N324" s="122"/>
      <c r="O324" s="122"/>
      <c r="P324" s="122"/>
      <c r="Q324" s="122"/>
      <c r="R324" s="122"/>
      <c r="AL324" s="360"/>
      <c r="AM324" s="499"/>
    </row>
    <row r="325" spans="1:39" ht="12.75" customHeight="1" x14ac:dyDescent="0.25">
      <c r="A325" s="395"/>
      <c r="J325" s="122"/>
      <c r="K325" s="122"/>
      <c r="L325" s="122"/>
      <c r="M325" s="122"/>
      <c r="N325" s="122"/>
      <c r="O325" s="122"/>
      <c r="P325" s="122"/>
      <c r="Q325" s="122"/>
      <c r="R325" s="122"/>
      <c r="AL325" s="360"/>
      <c r="AM325" s="499"/>
    </row>
    <row r="326" spans="1:39" ht="12.75" customHeight="1" x14ac:dyDescent="0.25">
      <c r="A326" s="395"/>
      <c r="J326" s="122"/>
      <c r="K326" s="122"/>
      <c r="L326" s="122"/>
      <c r="M326" s="122"/>
      <c r="N326" s="122"/>
      <c r="O326" s="122"/>
      <c r="P326" s="122"/>
      <c r="Q326" s="122"/>
      <c r="R326" s="122"/>
      <c r="AL326" s="360"/>
      <c r="AM326" s="499"/>
    </row>
    <row r="327" spans="1:39" ht="12.75" customHeight="1" x14ac:dyDescent="0.25">
      <c r="A327" s="395"/>
      <c r="J327" s="122"/>
      <c r="K327" s="122"/>
      <c r="L327" s="122"/>
      <c r="M327" s="122"/>
      <c r="N327" s="122"/>
      <c r="O327" s="122"/>
      <c r="P327" s="122"/>
      <c r="Q327" s="122"/>
      <c r="R327" s="122"/>
      <c r="AL327" s="360"/>
      <c r="AM327" s="499"/>
    </row>
    <row r="328" spans="1:39" ht="12.75" customHeight="1" x14ac:dyDescent="0.25">
      <c r="A328" s="395"/>
      <c r="J328" s="122"/>
      <c r="K328" s="122"/>
      <c r="L328" s="122"/>
      <c r="M328" s="122"/>
      <c r="N328" s="122"/>
      <c r="O328" s="122"/>
      <c r="P328" s="122"/>
      <c r="Q328" s="122"/>
      <c r="R328" s="122"/>
      <c r="AL328" s="360"/>
      <c r="AM328" s="499"/>
    </row>
    <row r="329" spans="1:39" ht="12.75" customHeight="1" x14ac:dyDescent="0.25">
      <c r="A329" s="395"/>
      <c r="J329" s="122"/>
      <c r="K329" s="122"/>
      <c r="L329" s="122"/>
      <c r="M329" s="122"/>
      <c r="N329" s="122"/>
      <c r="O329" s="122"/>
      <c r="P329" s="122"/>
      <c r="Q329" s="122"/>
      <c r="R329" s="122"/>
      <c r="AL329" s="360"/>
      <c r="AM329" s="499"/>
    </row>
    <row r="330" spans="1:39" ht="12.75" customHeight="1" x14ac:dyDescent="0.25">
      <c r="A330" s="395"/>
      <c r="J330" s="122"/>
      <c r="K330" s="122"/>
      <c r="L330" s="122"/>
      <c r="M330" s="122"/>
      <c r="N330" s="122"/>
      <c r="O330" s="122"/>
      <c r="P330" s="122"/>
      <c r="Q330" s="122"/>
      <c r="R330" s="122"/>
      <c r="AL330" s="360"/>
      <c r="AM330" s="499"/>
    </row>
    <row r="331" spans="1:39" ht="12.75" customHeight="1" x14ac:dyDescent="0.25">
      <c r="A331" s="395"/>
      <c r="J331" s="122"/>
      <c r="K331" s="122"/>
      <c r="L331" s="122"/>
      <c r="M331" s="122"/>
      <c r="N331" s="122"/>
      <c r="O331" s="122"/>
      <c r="P331" s="122"/>
      <c r="Q331" s="122"/>
      <c r="R331" s="122"/>
      <c r="AL331" s="360"/>
      <c r="AM331" s="499"/>
    </row>
    <row r="332" spans="1:39" ht="12.75" customHeight="1" x14ac:dyDescent="0.25">
      <c r="A332" s="395"/>
      <c r="J332" s="122"/>
      <c r="K332" s="122"/>
      <c r="L332" s="122"/>
      <c r="M332" s="122"/>
      <c r="N332" s="122"/>
      <c r="O332" s="122"/>
      <c r="P332" s="122"/>
      <c r="Q332" s="122"/>
      <c r="R332" s="122"/>
      <c r="AL332" s="360"/>
      <c r="AM332" s="499"/>
    </row>
    <row r="333" spans="1:39" ht="12.75" customHeight="1" x14ac:dyDescent="0.25">
      <c r="A333" s="395"/>
      <c r="J333" s="122"/>
      <c r="K333" s="122"/>
      <c r="L333" s="122"/>
      <c r="M333" s="122"/>
      <c r="N333" s="122"/>
      <c r="O333" s="122"/>
      <c r="P333" s="122"/>
      <c r="Q333" s="122"/>
      <c r="R333" s="122"/>
      <c r="AL333" s="360"/>
      <c r="AM333" s="499"/>
    </row>
    <row r="334" spans="1:39" ht="12.75" customHeight="1" x14ac:dyDescent="0.25">
      <c r="A334" s="395"/>
      <c r="J334" s="122"/>
      <c r="K334" s="122"/>
      <c r="L334" s="122"/>
      <c r="M334" s="122"/>
      <c r="N334" s="122"/>
      <c r="O334" s="122"/>
      <c r="P334" s="122"/>
      <c r="Q334" s="122"/>
      <c r="R334" s="122"/>
      <c r="AL334" s="360"/>
      <c r="AM334" s="499"/>
    </row>
    <row r="335" spans="1:39" ht="12.75" customHeight="1" x14ac:dyDescent="0.25">
      <c r="A335" s="395"/>
      <c r="J335" s="122"/>
      <c r="K335" s="122"/>
      <c r="L335" s="122"/>
      <c r="M335" s="122"/>
      <c r="N335" s="122"/>
      <c r="O335" s="122"/>
      <c r="P335" s="122"/>
      <c r="Q335" s="122"/>
      <c r="R335" s="122"/>
      <c r="AL335" s="360"/>
      <c r="AM335" s="499"/>
    </row>
    <row r="336" spans="1:39" ht="12.75" customHeight="1" x14ac:dyDescent="0.25">
      <c r="A336" s="395"/>
      <c r="J336" s="122"/>
      <c r="K336" s="122"/>
      <c r="L336" s="122"/>
      <c r="M336" s="122"/>
      <c r="N336" s="122"/>
      <c r="O336" s="122"/>
      <c r="P336" s="122"/>
      <c r="Q336" s="122"/>
      <c r="R336" s="122"/>
      <c r="AL336" s="360"/>
      <c r="AM336" s="499"/>
    </row>
    <row r="337" spans="1:39" ht="12.75" customHeight="1" x14ac:dyDescent="0.25">
      <c r="A337" s="395"/>
      <c r="J337" s="122"/>
      <c r="K337" s="122"/>
      <c r="L337" s="122"/>
      <c r="M337" s="122"/>
      <c r="N337" s="122"/>
      <c r="O337" s="122"/>
      <c r="P337" s="122"/>
      <c r="Q337" s="122"/>
      <c r="R337" s="122"/>
      <c r="AL337" s="360"/>
      <c r="AM337" s="499"/>
    </row>
    <row r="338" spans="1:39" ht="12.75" customHeight="1" x14ac:dyDescent="0.25">
      <c r="A338" s="395"/>
      <c r="J338" s="122"/>
      <c r="K338" s="122"/>
      <c r="L338" s="122"/>
      <c r="M338" s="122"/>
      <c r="N338" s="122"/>
      <c r="O338" s="122"/>
      <c r="P338" s="122"/>
      <c r="Q338" s="122"/>
      <c r="R338" s="122"/>
      <c r="AL338" s="360"/>
      <c r="AM338" s="499"/>
    </row>
    <row r="339" spans="1:39" ht="12.75" customHeight="1" x14ac:dyDescent="0.25">
      <c r="A339" s="395"/>
      <c r="J339" s="122"/>
      <c r="K339" s="122"/>
      <c r="L339" s="122"/>
      <c r="M339" s="122"/>
      <c r="N339" s="122"/>
      <c r="O339" s="122"/>
      <c r="P339" s="122"/>
      <c r="Q339" s="122"/>
      <c r="R339" s="122"/>
      <c r="AL339" s="360"/>
      <c r="AM339" s="499"/>
    </row>
    <row r="340" spans="1:39" ht="12.75" customHeight="1" x14ac:dyDescent="0.25">
      <c r="A340" s="395"/>
      <c r="J340" s="122"/>
      <c r="K340" s="122"/>
      <c r="L340" s="122"/>
      <c r="M340" s="122"/>
      <c r="N340" s="122"/>
      <c r="O340" s="122"/>
      <c r="P340" s="122"/>
      <c r="Q340" s="122"/>
      <c r="R340" s="122"/>
      <c r="AL340" s="360"/>
      <c r="AM340" s="499"/>
    </row>
    <row r="341" spans="1:39" ht="12.75" customHeight="1" x14ac:dyDescent="0.25">
      <c r="A341" s="395"/>
      <c r="J341" s="122"/>
      <c r="K341" s="122"/>
      <c r="L341" s="122"/>
      <c r="M341" s="122"/>
      <c r="N341" s="122"/>
      <c r="O341" s="122"/>
      <c r="P341" s="122"/>
      <c r="Q341" s="122"/>
      <c r="R341" s="122"/>
      <c r="AL341" s="360"/>
      <c r="AM341" s="499"/>
    </row>
    <row r="342" spans="1:39" ht="12.75" customHeight="1" x14ac:dyDescent="0.25">
      <c r="A342" s="395"/>
      <c r="J342" s="122"/>
      <c r="K342" s="122"/>
      <c r="L342" s="122"/>
      <c r="M342" s="122"/>
      <c r="N342" s="122"/>
      <c r="O342" s="122"/>
      <c r="P342" s="122"/>
      <c r="Q342" s="122"/>
      <c r="R342" s="122"/>
      <c r="AL342" s="360"/>
      <c r="AM342" s="499"/>
    </row>
    <row r="343" spans="1:39" ht="12.75" customHeight="1" x14ac:dyDescent="0.25">
      <c r="A343" s="395"/>
      <c r="J343" s="122"/>
      <c r="K343" s="122"/>
      <c r="L343" s="122"/>
      <c r="M343" s="122"/>
      <c r="N343" s="122"/>
      <c r="O343" s="122"/>
      <c r="P343" s="122"/>
      <c r="Q343" s="122"/>
      <c r="R343" s="122"/>
      <c r="AL343" s="360"/>
      <c r="AM343" s="499"/>
    </row>
    <row r="344" spans="1:39" ht="12.75" customHeight="1" x14ac:dyDescent="0.25">
      <c r="A344" s="395"/>
      <c r="J344" s="122"/>
      <c r="K344" s="122"/>
      <c r="L344" s="122"/>
      <c r="M344" s="122"/>
      <c r="N344" s="122"/>
      <c r="O344" s="122"/>
      <c r="P344" s="122"/>
      <c r="Q344" s="122"/>
      <c r="R344" s="122"/>
      <c r="AL344" s="360"/>
      <c r="AM344" s="499"/>
    </row>
    <row r="345" spans="1:39" ht="12.75" customHeight="1" x14ac:dyDescent="0.25">
      <c r="A345" s="395"/>
      <c r="J345" s="122"/>
      <c r="K345" s="122"/>
      <c r="L345" s="122"/>
      <c r="M345" s="122"/>
      <c r="N345" s="122"/>
      <c r="O345" s="122"/>
      <c r="P345" s="122"/>
      <c r="Q345" s="122"/>
      <c r="R345" s="122"/>
      <c r="AL345" s="360"/>
      <c r="AM345" s="499"/>
    </row>
    <row r="346" spans="1:39" ht="12.75" customHeight="1" x14ac:dyDescent="0.25">
      <c r="A346" s="395"/>
      <c r="J346" s="122"/>
      <c r="K346" s="122"/>
      <c r="L346" s="122"/>
      <c r="M346" s="122"/>
      <c r="N346" s="122"/>
      <c r="O346" s="122"/>
      <c r="P346" s="122"/>
      <c r="Q346" s="122"/>
      <c r="R346" s="122"/>
      <c r="AL346" s="360"/>
      <c r="AM346" s="499"/>
    </row>
    <row r="347" spans="1:39" ht="12.75" customHeight="1" x14ac:dyDescent="0.25">
      <c r="A347" s="395"/>
      <c r="J347" s="122"/>
      <c r="K347" s="122"/>
      <c r="L347" s="122"/>
      <c r="M347" s="122"/>
      <c r="N347" s="122"/>
      <c r="O347" s="122"/>
      <c r="P347" s="122"/>
      <c r="Q347" s="122"/>
      <c r="R347" s="122"/>
      <c r="AL347" s="360"/>
      <c r="AM347" s="499"/>
    </row>
    <row r="348" spans="1:39" ht="12.75" customHeight="1" x14ac:dyDescent="0.25">
      <c r="A348" s="395"/>
      <c r="J348" s="122"/>
      <c r="K348" s="122"/>
      <c r="L348" s="122"/>
      <c r="M348" s="122"/>
      <c r="N348" s="122"/>
      <c r="O348" s="122"/>
      <c r="P348" s="122"/>
      <c r="Q348" s="122"/>
      <c r="R348" s="122"/>
      <c r="AL348" s="360"/>
      <c r="AM348" s="499"/>
    </row>
    <row r="349" spans="1:39" ht="12.75" customHeight="1" x14ac:dyDescent="0.25">
      <c r="A349" s="395"/>
      <c r="J349" s="122"/>
      <c r="K349" s="122"/>
      <c r="L349" s="122"/>
      <c r="M349" s="122"/>
      <c r="N349" s="122"/>
      <c r="O349" s="122"/>
      <c r="P349" s="122"/>
      <c r="Q349" s="122"/>
      <c r="R349" s="122"/>
      <c r="AL349" s="360"/>
      <c r="AM349" s="499"/>
    </row>
    <row r="350" spans="1:39" ht="12.75" customHeight="1" x14ac:dyDescent="0.25">
      <c r="A350" s="395"/>
      <c r="J350" s="122"/>
      <c r="K350" s="122"/>
      <c r="L350" s="122"/>
      <c r="M350" s="122"/>
      <c r="N350" s="122"/>
      <c r="O350" s="122"/>
      <c r="P350" s="122"/>
      <c r="Q350" s="122"/>
      <c r="R350" s="122"/>
      <c r="AL350" s="360"/>
      <c r="AM350" s="499"/>
    </row>
    <row r="351" spans="1:39" ht="12.75" customHeight="1" x14ac:dyDescent="0.25">
      <c r="A351" s="395"/>
      <c r="J351" s="122"/>
      <c r="K351" s="122"/>
      <c r="L351" s="122"/>
      <c r="M351" s="122"/>
      <c r="N351" s="122"/>
      <c r="O351" s="122"/>
      <c r="P351" s="122"/>
      <c r="Q351" s="122"/>
      <c r="R351" s="122"/>
      <c r="AL351" s="360"/>
      <c r="AM351" s="499"/>
    </row>
    <row r="352" spans="1:39" ht="12.75" customHeight="1" x14ac:dyDescent="0.25">
      <c r="A352" s="395"/>
      <c r="J352" s="122"/>
      <c r="K352" s="122"/>
      <c r="L352" s="122"/>
      <c r="M352" s="122"/>
      <c r="N352" s="122"/>
      <c r="O352" s="122"/>
      <c r="P352" s="122"/>
      <c r="Q352" s="122"/>
      <c r="R352" s="122"/>
      <c r="AL352" s="360"/>
      <c r="AM352" s="499"/>
    </row>
    <row r="353" spans="1:39" ht="12.75" customHeight="1" x14ac:dyDescent="0.25">
      <c r="A353" s="395"/>
      <c r="J353" s="122"/>
      <c r="K353" s="122"/>
      <c r="L353" s="122"/>
      <c r="M353" s="122"/>
      <c r="N353" s="122"/>
      <c r="O353" s="122"/>
      <c r="P353" s="122"/>
      <c r="Q353" s="122"/>
      <c r="R353" s="122"/>
      <c r="AL353" s="360"/>
      <c r="AM353" s="499"/>
    </row>
    <row r="354" spans="1:39" ht="12.75" customHeight="1" x14ac:dyDescent="0.25">
      <c r="A354" s="395"/>
      <c r="J354" s="122"/>
      <c r="K354" s="122"/>
      <c r="L354" s="122"/>
      <c r="M354" s="122"/>
      <c r="N354" s="122"/>
      <c r="O354" s="122"/>
      <c r="P354" s="122"/>
      <c r="Q354" s="122"/>
      <c r="R354" s="122"/>
      <c r="AL354" s="360"/>
      <c r="AM354" s="499"/>
    </row>
    <row r="355" spans="1:39" ht="12.75" customHeight="1" x14ac:dyDescent="0.25">
      <c r="A355" s="395"/>
      <c r="J355" s="122"/>
      <c r="K355" s="122"/>
      <c r="L355" s="122"/>
      <c r="M355" s="122"/>
      <c r="N355" s="122"/>
      <c r="O355" s="122"/>
      <c r="P355" s="122"/>
      <c r="Q355" s="122"/>
      <c r="R355" s="122"/>
      <c r="AL355" s="360"/>
      <c r="AM355" s="499"/>
    </row>
    <row r="356" spans="1:39" ht="12.75" customHeight="1" x14ac:dyDescent="0.25">
      <c r="A356" s="395"/>
      <c r="J356" s="122"/>
      <c r="K356" s="122"/>
      <c r="L356" s="122"/>
      <c r="M356" s="122"/>
      <c r="N356" s="122"/>
      <c r="O356" s="122"/>
      <c r="P356" s="122"/>
      <c r="Q356" s="122"/>
      <c r="R356" s="122"/>
      <c r="AL356" s="360"/>
      <c r="AM356" s="499"/>
    </row>
    <row r="357" spans="1:39" ht="12.75" customHeight="1" x14ac:dyDescent="0.25">
      <c r="A357" s="395"/>
      <c r="J357" s="122"/>
      <c r="K357" s="122"/>
      <c r="L357" s="122"/>
      <c r="M357" s="122"/>
      <c r="N357" s="122"/>
      <c r="O357" s="122"/>
      <c r="P357" s="122"/>
      <c r="Q357" s="122"/>
      <c r="R357" s="122"/>
      <c r="AL357" s="360"/>
      <c r="AM357" s="499"/>
    </row>
    <row r="358" spans="1:39" ht="12.75" customHeight="1" x14ac:dyDescent="0.25">
      <c r="A358" s="395"/>
      <c r="J358" s="122"/>
      <c r="K358" s="122"/>
      <c r="L358" s="122"/>
      <c r="M358" s="122"/>
      <c r="N358" s="122"/>
      <c r="O358" s="122"/>
      <c r="P358" s="122"/>
      <c r="Q358" s="122"/>
      <c r="R358" s="122"/>
      <c r="AL358" s="360"/>
      <c r="AM358" s="499"/>
    </row>
    <row r="359" spans="1:39" ht="12.75" customHeight="1" x14ac:dyDescent="0.25">
      <c r="A359" s="395"/>
      <c r="J359" s="122"/>
      <c r="K359" s="122"/>
      <c r="L359" s="122"/>
      <c r="M359" s="122"/>
      <c r="N359" s="122"/>
      <c r="O359" s="122"/>
      <c r="P359" s="122"/>
      <c r="Q359" s="122"/>
      <c r="R359" s="122"/>
      <c r="AL359" s="360"/>
      <c r="AM359" s="499"/>
    </row>
    <row r="360" spans="1:39" ht="12.75" customHeight="1" x14ac:dyDescent="0.25">
      <c r="A360" s="395"/>
      <c r="J360" s="122"/>
      <c r="K360" s="122"/>
      <c r="L360" s="122"/>
      <c r="M360" s="122"/>
      <c r="N360" s="122"/>
      <c r="O360" s="122"/>
      <c r="P360" s="122"/>
      <c r="Q360" s="122"/>
      <c r="R360" s="122"/>
      <c r="AL360" s="360"/>
      <c r="AM360" s="499"/>
    </row>
    <row r="361" spans="1:39" ht="12.75" customHeight="1" x14ac:dyDescent="0.25">
      <c r="A361" s="395"/>
      <c r="J361" s="122"/>
      <c r="K361" s="122"/>
      <c r="L361" s="122"/>
      <c r="M361" s="122"/>
      <c r="N361" s="122"/>
      <c r="O361" s="122"/>
      <c r="P361" s="122"/>
      <c r="Q361" s="122"/>
      <c r="R361" s="122"/>
      <c r="AL361" s="360"/>
      <c r="AM361" s="499"/>
    </row>
    <row r="362" spans="1:39" ht="12.75" customHeight="1" x14ac:dyDescent="0.25">
      <c r="A362" s="395"/>
      <c r="J362" s="122"/>
      <c r="K362" s="122"/>
      <c r="L362" s="122"/>
      <c r="M362" s="122"/>
      <c r="N362" s="122"/>
      <c r="O362" s="122"/>
      <c r="P362" s="122"/>
      <c r="Q362" s="122"/>
      <c r="R362" s="122"/>
      <c r="AL362" s="360"/>
      <c r="AM362" s="499"/>
    </row>
    <row r="363" spans="1:39" ht="12.75" customHeight="1" x14ac:dyDescent="0.25">
      <c r="A363" s="395"/>
      <c r="J363" s="122"/>
      <c r="K363" s="122"/>
      <c r="L363" s="122"/>
      <c r="M363" s="122"/>
      <c r="N363" s="122"/>
      <c r="O363" s="122"/>
      <c r="P363" s="122"/>
      <c r="Q363" s="122"/>
      <c r="R363" s="122"/>
      <c r="AL363" s="360"/>
      <c r="AM363" s="499"/>
    </row>
    <row r="364" spans="1:39" ht="12.75" customHeight="1" x14ac:dyDescent="0.25">
      <c r="A364" s="395"/>
      <c r="J364" s="122"/>
      <c r="K364" s="122"/>
      <c r="L364" s="122"/>
      <c r="M364" s="122"/>
      <c r="N364" s="122"/>
      <c r="O364" s="122"/>
      <c r="P364" s="122"/>
      <c r="Q364" s="122"/>
      <c r="R364" s="122"/>
      <c r="AL364" s="360"/>
      <c r="AM364" s="499"/>
    </row>
    <row r="365" spans="1:39" ht="12.75" customHeight="1" x14ac:dyDescent="0.25">
      <c r="A365" s="395"/>
      <c r="J365" s="122"/>
      <c r="K365" s="122"/>
      <c r="L365" s="122"/>
      <c r="M365" s="122"/>
      <c r="N365" s="122"/>
      <c r="O365" s="122"/>
      <c r="P365" s="122"/>
      <c r="Q365" s="122"/>
      <c r="R365" s="122"/>
      <c r="AL365" s="360"/>
      <c r="AM365" s="499"/>
    </row>
    <row r="366" spans="1:39" ht="12.75" customHeight="1" x14ac:dyDescent="0.25">
      <c r="A366" s="395"/>
      <c r="J366" s="122"/>
      <c r="K366" s="122"/>
      <c r="L366" s="122"/>
      <c r="M366" s="122"/>
      <c r="N366" s="122"/>
      <c r="O366" s="122"/>
      <c r="P366" s="122"/>
      <c r="Q366" s="122"/>
      <c r="R366" s="122"/>
      <c r="AL366" s="360"/>
      <c r="AM366" s="499"/>
    </row>
    <row r="367" spans="1:39" ht="12.75" customHeight="1" x14ac:dyDescent="0.25">
      <c r="A367" s="395"/>
      <c r="J367" s="122"/>
      <c r="K367" s="122"/>
      <c r="L367" s="122"/>
      <c r="M367" s="122"/>
      <c r="N367" s="122"/>
      <c r="O367" s="122"/>
      <c r="P367" s="122"/>
      <c r="Q367" s="122"/>
      <c r="R367" s="122"/>
      <c r="AL367" s="360"/>
      <c r="AM367" s="499"/>
    </row>
    <row r="368" spans="1:39" ht="12.75" customHeight="1" x14ac:dyDescent="0.25">
      <c r="A368" s="395"/>
      <c r="J368" s="122"/>
      <c r="K368" s="122"/>
      <c r="L368" s="122"/>
      <c r="M368" s="122"/>
      <c r="N368" s="122"/>
      <c r="O368" s="122"/>
      <c r="P368" s="122"/>
      <c r="Q368" s="122"/>
      <c r="R368" s="122"/>
      <c r="AL368" s="360"/>
      <c r="AM368" s="499"/>
    </row>
    <row r="369" spans="1:39" ht="12.75" customHeight="1" x14ac:dyDescent="0.25">
      <c r="A369" s="395"/>
      <c r="J369" s="122"/>
      <c r="K369" s="122"/>
      <c r="L369" s="122"/>
      <c r="M369" s="122"/>
      <c r="N369" s="122"/>
      <c r="O369" s="122"/>
      <c r="P369" s="122"/>
      <c r="Q369" s="122"/>
      <c r="R369" s="122"/>
      <c r="AL369" s="360"/>
      <c r="AM369" s="499"/>
    </row>
    <row r="370" spans="1:39" ht="12.75" customHeight="1" x14ac:dyDescent="0.25">
      <c r="A370" s="395"/>
      <c r="J370" s="122"/>
      <c r="K370" s="122"/>
      <c r="L370" s="122"/>
      <c r="M370" s="122"/>
      <c r="N370" s="122"/>
      <c r="O370" s="122"/>
      <c r="P370" s="122"/>
      <c r="Q370" s="122"/>
      <c r="R370" s="122"/>
      <c r="AL370" s="360"/>
      <c r="AM370" s="499"/>
    </row>
    <row r="371" spans="1:39" ht="12.75" customHeight="1" x14ac:dyDescent="0.25">
      <c r="A371" s="395"/>
      <c r="J371" s="122"/>
      <c r="K371" s="122"/>
      <c r="L371" s="122"/>
      <c r="M371" s="122"/>
      <c r="N371" s="122"/>
      <c r="O371" s="122"/>
      <c r="P371" s="122"/>
      <c r="Q371" s="122"/>
      <c r="R371" s="122"/>
      <c r="AL371" s="360"/>
      <c r="AM371" s="499"/>
    </row>
    <row r="372" spans="1:39" ht="12.75" customHeight="1" x14ac:dyDescent="0.25">
      <c r="A372" s="395"/>
      <c r="J372" s="122"/>
      <c r="K372" s="122"/>
      <c r="L372" s="122"/>
      <c r="M372" s="122"/>
      <c r="N372" s="122"/>
      <c r="O372" s="122"/>
      <c r="P372" s="122"/>
      <c r="Q372" s="122"/>
      <c r="R372" s="122"/>
      <c r="AL372" s="360"/>
      <c r="AM372" s="499"/>
    </row>
    <row r="373" spans="1:39" ht="12.75" customHeight="1" x14ac:dyDescent="0.25">
      <c r="A373" s="395"/>
      <c r="J373" s="122"/>
      <c r="K373" s="122"/>
      <c r="L373" s="122"/>
      <c r="M373" s="122"/>
      <c r="N373" s="122"/>
      <c r="O373" s="122"/>
      <c r="P373" s="122"/>
      <c r="Q373" s="122"/>
      <c r="R373" s="122"/>
      <c r="AL373" s="360"/>
      <c r="AM373" s="499"/>
    </row>
    <row r="374" spans="1:39" ht="12.75" customHeight="1" x14ac:dyDescent="0.25">
      <c r="A374" s="395"/>
      <c r="J374" s="122"/>
      <c r="K374" s="122"/>
      <c r="L374" s="122"/>
      <c r="M374" s="122"/>
      <c r="N374" s="122"/>
      <c r="O374" s="122"/>
      <c r="P374" s="122"/>
      <c r="Q374" s="122"/>
      <c r="R374" s="122"/>
      <c r="AL374" s="360"/>
      <c r="AM374" s="499"/>
    </row>
    <row r="375" spans="1:39" ht="12.75" customHeight="1" x14ac:dyDescent="0.25">
      <c r="A375" s="395"/>
      <c r="J375" s="122"/>
      <c r="K375" s="122"/>
      <c r="L375" s="122"/>
      <c r="M375" s="122"/>
      <c r="N375" s="122"/>
      <c r="O375" s="122"/>
      <c r="P375" s="122"/>
      <c r="Q375" s="122"/>
      <c r="R375" s="122"/>
      <c r="AL375" s="360"/>
      <c r="AM375" s="499"/>
    </row>
    <row r="376" spans="1:39" ht="12.75" customHeight="1" x14ac:dyDescent="0.25">
      <c r="A376" s="395"/>
      <c r="J376" s="122"/>
      <c r="K376" s="122"/>
      <c r="L376" s="122"/>
      <c r="M376" s="122"/>
      <c r="N376" s="122"/>
      <c r="O376" s="122"/>
      <c r="P376" s="122"/>
      <c r="Q376" s="122"/>
      <c r="R376" s="122"/>
      <c r="AL376" s="360"/>
      <c r="AM376" s="499"/>
    </row>
    <row r="377" spans="1:39" ht="12.75" customHeight="1" x14ac:dyDescent="0.25">
      <c r="A377" s="395"/>
      <c r="J377" s="122"/>
      <c r="K377" s="122"/>
      <c r="L377" s="122"/>
      <c r="M377" s="122"/>
      <c r="N377" s="122"/>
      <c r="O377" s="122"/>
      <c r="P377" s="122"/>
      <c r="Q377" s="122"/>
      <c r="R377" s="122"/>
      <c r="AL377" s="360"/>
      <c r="AM377" s="499"/>
    </row>
    <row r="378" spans="1:39" ht="12.75" customHeight="1" x14ac:dyDescent="0.25">
      <c r="A378" s="395"/>
      <c r="J378" s="122"/>
      <c r="K378" s="122"/>
      <c r="L378" s="122"/>
      <c r="M378" s="122"/>
      <c r="N378" s="122"/>
      <c r="O378" s="122"/>
      <c r="P378" s="122"/>
      <c r="Q378" s="122"/>
      <c r="R378" s="122"/>
      <c r="AL378" s="360"/>
      <c r="AM378" s="499"/>
    </row>
    <row r="379" spans="1:39" ht="12.75" customHeight="1" x14ac:dyDescent="0.25">
      <c r="A379" s="395"/>
      <c r="J379" s="122"/>
      <c r="K379" s="122"/>
      <c r="L379" s="122"/>
      <c r="M379" s="122"/>
      <c r="N379" s="122"/>
      <c r="O379" s="122"/>
      <c r="P379" s="122"/>
      <c r="Q379" s="122"/>
      <c r="R379" s="122"/>
      <c r="AL379" s="360"/>
      <c r="AM379" s="499"/>
    </row>
    <row r="380" spans="1:39" ht="12.75" customHeight="1" x14ac:dyDescent="0.25">
      <c r="A380" s="395"/>
      <c r="J380" s="122"/>
      <c r="K380" s="122"/>
      <c r="L380" s="122"/>
      <c r="M380" s="122"/>
      <c r="N380" s="122"/>
      <c r="O380" s="122"/>
      <c r="P380" s="122"/>
      <c r="Q380" s="122"/>
      <c r="R380" s="122"/>
      <c r="AL380" s="360"/>
      <c r="AM380" s="499"/>
    </row>
    <row r="381" spans="1:39" ht="12.75" customHeight="1" x14ac:dyDescent="0.25">
      <c r="A381" s="395"/>
      <c r="J381" s="122"/>
      <c r="K381" s="122"/>
      <c r="L381" s="122"/>
      <c r="M381" s="122"/>
      <c r="N381" s="122"/>
      <c r="O381" s="122"/>
      <c r="P381" s="122"/>
      <c r="Q381" s="122"/>
      <c r="R381" s="122"/>
      <c r="AL381" s="360"/>
      <c r="AM381" s="499"/>
    </row>
    <row r="382" spans="1:39" ht="12.75" customHeight="1" x14ac:dyDescent="0.25">
      <c r="A382" s="395"/>
      <c r="J382" s="122"/>
      <c r="K382" s="122"/>
      <c r="L382" s="122"/>
      <c r="M382" s="122"/>
      <c r="N382" s="122"/>
      <c r="O382" s="122"/>
      <c r="P382" s="122"/>
      <c r="Q382" s="122"/>
      <c r="R382" s="122"/>
      <c r="AL382" s="360"/>
      <c r="AM382" s="499"/>
    </row>
    <row r="383" spans="1:39" ht="12.75" customHeight="1" x14ac:dyDescent="0.25">
      <c r="A383" s="395"/>
      <c r="J383" s="122"/>
      <c r="K383" s="122"/>
      <c r="L383" s="122"/>
      <c r="M383" s="122"/>
      <c r="N383" s="122"/>
      <c r="O383" s="122"/>
      <c r="P383" s="122"/>
      <c r="Q383" s="122"/>
      <c r="R383" s="122"/>
      <c r="AL383" s="360"/>
      <c r="AM383" s="499"/>
    </row>
    <row r="384" spans="1:39" ht="12.75" customHeight="1" x14ac:dyDescent="0.25">
      <c r="A384" s="395"/>
      <c r="J384" s="122"/>
      <c r="K384" s="122"/>
      <c r="L384" s="122"/>
      <c r="M384" s="122"/>
      <c r="N384" s="122"/>
      <c r="O384" s="122"/>
      <c r="P384" s="122"/>
      <c r="Q384" s="122"/>
      <c r="R384" s="122"/>
      <c r="AL384" s="360"/>
      <c r="AM384" s="499"/>
    </row>
    <row r="385" spans="1:39" ht="12.75" customHeight="1" x14ac:dyDescent="0.25">
      <c r="A385" s="395"/>
      <c r="J385" s="122"/>
      <c r="K385" s="122"/>
      <c r="L385" s="122"/>
      <c r="M385" s="122"/>
      <c r="N385" s="122"/>
      <c r="O385" s="122"/>
      <c r="P385" s="122"/>
      <c r="Q385" s="122"/>
      <c r="R385" s="122"/>
      <c r="AL385" s="360"/>
      <c r="AM385" s="499"/>
    </row>
    <row r="386" spans="1:39" ht="12.75" customHeight="1" x14ac:dyDescent="0.25">
      <c r="A386" s="395"/>
      <c r="J386" s="122"/>
      <c r="K386" s="122"/>
      <c r="L386" s="122"/>
      <c r="M386" s="122"/>
      <c r="N386" s="122"/>
      <c r="O386" s="122"/>
      <c r="P386" s="122"/>
      <c r="Q386" s="122"/>
      <c r="R386" s="122"/>
      <c r="AL386" s="360"/>
      <c r="AM386" s="499"/>
    </row>
    <row r="387" spans="1:39" ht="12.75" customHeight="1" x14ac:dyDescent="0.25">
      <c r="A387" s="395"/>
      <c r="J387" s="122"/>
      <c r="K387" s="122"/>
      <c r="L387" s="122"/>
      <c r="M387" s="122"/>
      <c r="N387" s="122"/>
      <c r="O387" s="122"/>
      <c r="P387" s="122"/>
      <c r="Q387" s="122"/>
      <c r="R387" s="122"/>
      <c r="AL387" s="360"/>
      <c r="AM387" s="499"/>
    </row>
    <row r="388" spans="1:39" ht="12.75" customHeight="1" x14ac:dyDescent="0.25">
      <c r="A388" s="395"/>
      <c r="J388" s="122"/>
      <c r="K388" s="122"/>
      <c r="L388" s="122"/>
      <c r="M388" s="122"/>
      <c r="N388" s="122"/>
      <c r="O388" s="122"/>
      <c r="P388" s="122"/>
      <c r="Q388" s="122"/>
      <c r="R388" s="122"/>
      <c r="AL388" s="360"/>
      <c r="AM388" s="499"/>
    </row>
    <row r="389" spans="1:39" ht="12.75" customHeight="1" x14ac:dyDescent="0.25">
      <c r="A389" s="395"/>
      <c r="J389" s="122"/>
      <c r="K389" s="122"/>
      <c r="L389" s="122"/>
      <c r="M389" s="122"/>
      <c r="N389" s="122"/>
      <c r="O389" s="122"/>
      <c r="P389" s="122"/>
      <c r="Q389" s="122"/>
      <c r="R389" s="122"/>
      <c r="AL389" s="360"/>
      <c r="AM389" s="499"/>
    </row>
    <row r="390" spans="1:39" ht="12.75" customHeight="1" x14ac:dyDescent="0.25">
      <c r="A390" s="395"/>
      <c r="J390" s="122"/>
      <c r="K390" s="122"/>
      <c r="L390" s="122"/>
      <c r="M390" s="122"/>
      <c r="N390" s="122"/>
      <c r="O390" s="122"/>
      <c r="P390" s="122"/>
      <c r="Q390" s="122"/>
      <c r="R390" s="122"/>
      <c r="AL390" s="360"/>
      <c r="AM390" s="499"/>
    </row>
    <row r="391" spans="1:39" ht="12.75" customHeight="1" x14ac:dyDescent="0.25">
      <c r="A391" s="395"/>
      <c r="J391" s="122"/>
      <c r="K391" s="122"/>
      <c r="L391" s="122"/>
      <c r="M391" s="122"/>
      <c r="N391" s="122"/>
      <c r="O391" s="122"/>
      <c r="P391" s="122"/>
      <c r="Q391" s="122"/>
      <c r="R391" s="122"/>
      <c r="AL391" s="360"/>
      <c r="AM391" s="499"/>
    </row>
    <row r="392" spans="1:39" ht="12.75" customHeight="1" x14ac:dyDescent="0.25">
      <c r="A392" s="395"/>
      <c r="J392" s="122"/>
      <c r="K392" s="122"/>
      <c r="L392" s="122"/>
      <c r="M392" s="122"/>
      <c r="N392" s="122"/>
      <c r="O392" s="122"/>
      <c r="P392" s="122"/>
      <c r="Q392" s="122"/>
      <c r="R392" s="122"/>
      <c r="AL392" s="360"/>
      <c r="AM392" s="499"/>
    </row>
    <row r="393" spans="1:39" ht="12.75" customHeight="1" x14ac:dyDescent="0.25">
      <c r="A393" s="395"/>
      <c r="J393" s="122"/>
      <c r="K393" s="122"/>
      <c r="L393" s="122"/>
      <c r="M393" s="122"/>
      <c r="N393" s="122"/>
      <c r="O393" s="122"/>
      <c r="P393" s="122"/>
      <c r="Q393" s="122"/>
      <c r="R393" s="122"/>
      <c r="AL393" s="360"/>
      <c r="AM393" s="499"/>
    </row>
    <row r="394" spans="1:39" ht="12.75" customHeight="1" x14ac:dyDescent="0.25">
      <c r="A394" s="395"/>
      <c r="J394" s="122"/>
      <c r="K394" s="122"/>
      <c r="L394" s="122"/>
      <c r="M394" s="122"/>
      <c r="N394" s="122"/>
      <c r="O394" s="122"/>
      <c r="P394" s="122"/>
      <c r="Q394" s="122"/>
      <c r="R394" s="122"/>
      <c r="AL394" s="360"/>
      <c r="AM394" s="499"/>
    </row>
    <row r="395" spans="1:39" ht="12.75" customHeight="1" x14ac:dyDescent="0.25">
      <c r="A395" s="395"/>
      <c r="J395" s="122"/>
      <c r="K395" s="122"/>
      <c r="L395" s="122"/>
      <c r="M395" s="122"/>
      <c r="N395" s="122"/>
      <c r="O395" s="122"/>
      <c r="P395" s="122"/>
      <c r="Q395" s="122"/>
      <c r="R395" s="122"/>
      <c r="AL395" s="360"/>
      <c r="AM395" s="499"/>
    </row>
    <row r="396" spans="1:39" ht="12.75" customHeight="1" x14ac:dyDescent="0.25">
      <c r="A396" s="395"/>
      <c r="J396" s="122"/>
      <c r="K396" s="122"/>
      <c r="L396" s="122"/>
      <c r="M396" s="122"/>
      <c r="N396" s="122"/>
      <c r="O396" s="122"/>
      <c r="P396" s="122"/>
      <c r="Q396" s="122"/>
      <c r="R396" s="122"/>
      <c r="AL396" s="360"/>
      <c r="AM396" s="499"/>
    </row>
    <row r="397" spans="1:39" ht="12.75" customHeight="1" x14ac:dyDescent="0.25">
      <c r="A397" s="395"/>
      <c r="J397" s="122"/>
      <c r="K397" s="122"/>
      <c r="L397" s="122"/>
      <c r="M397" s="122"/>
      <c r="N397" s="122"/>
      <c r="O397" s="122"/>
      <c r="P397" s="122"/>
      <c r="Q397" s="122"/>
      <c r="R397" s="122"/>
      <c r="AL397" s="360"/>
      <c r="AM397" s="499"/>
    </row>
    <row r="398" spans="1:39" ht="12.75" customHeight="1" x14ac:dyDescent="0.25">
      <c r="A398" s="395"/>
      <c r="J398" s="122"/>
      <c r="K398" s="122"/>
      <c r="L398" s="122"/>
      <c r="M398" s="122"/>
      <c r="N398" s="122"/>
      <c r="O398" s="122"/>
      <c r="P398" s="122"/>
      <c r="Q398" s="122"/>
      <c r="R398" s="122"/>
      <c r="AL398" s="360"/>
      <c r="AM398" s="499"/>
    </row>
    <row r="399" spans="1:39" ht="12.75" customHeight="1" x14ac:dyDescent="0.25">
      <c r="A399" s="395"/>
      <c r="J399" s="122"/>
      <c r="K399" s="122"/>
      <c r="L399" s="122"/>
      <c r="M399" s="122"/>
      <c r="N399" s="122"/>
      <c r="O399" s="122"/>
      <c r="P399" s="122"/>
      <c r="Q399" s="122"/>
      <c r="R399" s="122"/>
      <c r="AL399" s="360"/>
      <c r="AM399" s="499"/>
    </row>
    <row r="400" spans="1:39" ht="12.75" customHeight="1" x14ac:dyDescent="0.25">
      <c r="A400" s="395"/>
      <c r="J400" s="122"/>
      <c r="K400" s="122"/>
      <c r="L400" s="122"/>
      <c r="M400" s="122"/>
      <c r="N400" s="122"/>
      <c r="O400" s="122"/>
      <c r="P400" s="122"/>
      <c r="Q400" s="122"/>
      <c r="R400" s="122"/>
      <c r="AL400" s="360"/>
      <c r="AM400" s="499"/>
    </row>
    <row r="401" spans="1:39" ht="12.75" customHeight="1" x14ac:dyDescent="0.25">
      <c r="A401" s="395"/>
      <c r="J401" s="122"/>
      <c r="K401" s="122"/>
      <c r="L401" s="122"/>
      <c r="M401" s="122"/>
      <c r="N401" s="122"/>
      <c r="O401" s="122"/>
      <c r="P401" s="122"/>
      <c r="Q401" s="122"/>
      <c r="R401" s="122"/>
      <c r="AL401" s="360"/>
      <c r="AM401" s="499"/>
    </row>
    <row r="402" spans="1:39" ht="12.75" customHeight="1" x14ac:dyDescent="0.25">
      <c r="A402" s="395"/>
      <c r="J402" s="122"/>
      <c r="K402" s="122"/>
      <c r="L402" s="122"/>
      <c r="M402" s="122"/>
      <c r="N402" s="122"/>
      <c r="O402" s="122"/>
      <c r="P402" s="122"/>
      <c r="Q402" s="122"/>
      <c r="R402" s="122"/>
      <c r="AL402" s="360"/>
      <c r="AM402" s="499"/>
    </row>
    <row r="403" spans="1:39" ht="12.75" customHeight="1" x14ac:dyDescent="0.25">
      <c r="A403" s="395"/>
      <c r="J403" s="122"/>
      <c r="K403" s="122"/>
      <c r="L403" s="122"/>
      <c r="M403" s="122"/>
      <c r="N403" s="122"/>
      <c r="O403" s="122"/>
      <c r="P403" s="122"/>
      <c r="Q403" s="122"/>
      <c r="R403" s="122"/>
      <c r="AL403" s="360"/>
      <c r="AM403" s="499"/>
    </row>
    <row r="404" spans="1:39" ht="12.75" customHeight="1" x14ac:dyDescent="0.25">
      <c r="A404" s="395"/>
      <c r="J404" s="122"/>
      <c r="K404" s="122"/>
      <c r="L404" s="122"/>
      <c r="M404" s="122"/>
      <c r="N404" s="122"/>
      <c r="O404" s="122"/>
      <c r="P404" s="122"/>
      <c r="Q404" s="122"/>
      <c r="R404" s="122"/>
      <c r="AL404" s="360"/>
      <c r="AM404" s="499"/>
    </row>
    <row r="405" spans="1:39" ht="12.75" customHeight="1" x14ac:dyDescent="0.25">
      <c r="A405" s="395"/>
      <c r="J405" s="122"/>
      <c r="K405" s="122"/>
      <c r="L405" s="122"/>
      <c r="M405" s="122"/>
      <c r="N405" s="122"/>
      <c r="O405" s="122"/>
      <c r="P405" s="122"/>
      <c r="Q405" s="122"/>
      <c r="R405" s="122"/>
      <c r="AL405" s="360"/>
      <c r="AM405" s="499"/>
    </row>
    <row r="406" spans="1:39" ht="12.75" customHeight="1" x14ac:dyDescent="0.25">
      <c r="A406" s="395"/>
      <c r="J406" s="122"/>
      <c r="K406" s="122"/>
      <c r="L406" s="122"/>
      <c r="M406" s="122"/>
      <c r="N406" s="122"/>
      <c r="O406" s="122"/>
      <c r="P406" s="122"/>
      <c r="Q406" s="122"/>
      <c r="R406" s="122"/>
      <c r="AL406" s="360"/>
      <c r="AM406" s="499"/>
    </row>
    <row r="407" spans="1:39" ht="12.75" customHeight="1" x14ac:dyDescent="0.25">
      <c r="A407" s="395"/>
      <c r="J407" s="122"/>
      <c r="K407" s="122"/>
      <c r="L407" s="122"/>
      <c r="M407" s="122"/>
      <c r="N407" s="122"/>
      <c r="O407" s="122"/>
      <c r="P407" s="122"/>
      <c r="Q407" s="122"/>
      <c r="R407" s="122"/>
      <c r="AL407" s="360"/>
      <c r="AM407" s="499"/>
    </row>
    <row r="408" spans="1:39" ht="12.75" customHeight="1" x14ac:dyDescent="0.25">
      <c r="A408" s="395"/>
      <c r="J408" s="122"/>
      <c r="K408" s="122"/>
      <c r="L408" s="122"/>
      <c r="M408" s="122"/>
      <c r="N408" s="122"/>
      <c r="O408" s="122"/>
      <c r="P408" s="122"/>
      <c r="Q408" s="122"/>
      <c r="R408" s="122"/>
      <c r="AL408" s="360"/>
      <c r="AM408" s="499"/>
    </row>
    <row r="409" spans="1:39" ht="12.75" customHeight="1" x14ac:dyDescent="0.25">
      <c r="A409" s="395"/>
      <c r="J409" s="122"/>
      <c r="K409" s="122"/>
      <c r="L409" s="122"/>
      <c r="M409" s="122"/>
      <c r="N409" s="122"/>
      <c r="O409" s="122"/>
      <c r="P409" s="122"/>
      <c r="Q409" s="122"/>
      <c r="R409" s="122"/>
      <c r="AL409" s="360"/>
      <c r="AM409" s="499"/>
    </row>
    <row r="410" spans="1:39" ht="12.75" customHeight="1" x14ac:dyDescent="0.25">
      <c r="A410" s="395"/>
      <c r="J410" s="122"/>
      <c r="K410" s="122"/>
      <c r="L410" s="122"/>
      <c r="M410" s="122"/>
      <c r="N410" s="122"/>
      <c r="O410" s="122"/>
      <c r="P410" s="122"/>
      <c r="Q410" s="122"/>
      <c r="R410" s="122"/>
      <c r="AL410" s="360"/>
      <c r="AM410" s="499"/>
    </row>
    <row r="411" spans="1:39" ht="12.75" customHeight="1" x14ac:dyDescent="0.25">
      <c r="A411" s="395"/>
      <c r="J411" s="122"/>
      <c r="K411" s="122"/>
      <c r="L411" s="122"/>
      <c r="M411" s="122"/>
      <c r="N411" s="122"/>
      <c r="O411" s="122"/>
      <c r="P411" s="122"/>
      <c r="Q411" s="122"/>
      <c r="R411" s="122"/>
      <c r="AL411" s="360"/>
      <c r="AM411" s="499"/>
    </row>
    <row r="412" spans="1:39" ht="12.75" customHeight="1" x14ac:dyDescent="0.25">
      <c r="A412" s="395"/>
      <c r="J412" s="122"/>
      <c r="K412" s="122"/>
      <c r="L412" s="122"/>
      <c r="M412" s="122"/>
      <c r="N412" s="122"/>
      <c r="O412" s="122"/>
      <c r="P412" s="122"/>
      <c r="Q412" s="122"/>
      <c r="R412" s="122"/>
      <c r="AL412" s="360"/>
      <c r="AM412" s="499"/>
    </row>
    <row r="413" spans="1:39" ht="12.75" customHeight="1" x14ac:dyDescent="0.25">
      <c r="A413" s="395"/>
      <c r="J413" s="122"/>
      <c r="K413" s="122"/>
      <c r="L413" s="122"/>
      <c r="M413" s="122"/>
      <c r="N413" s="122"/>
      <c r="O413" s="122"/>
      <c r="P413" s="122"/>
      <c r="Q413" s="122"/>
      <c r="R413" s="122"/>
      <c r="AL413" s="360"/>
      <c r="AM413" s="499"/>
    </row>
    <row r="414" spans="1:39" ht="12.75" customHeight="1" x14ac:dyDescent="0.25">
      <c r="A414" s="395"/>
      <c r="J414" s="122"/>
      <c r="K414" s="122"/>
      <c r="L414" s="122"/>
      <c r="M414" s="122"/>
      <c r="N414" s="122"/>
      <c r="O414" s="122"/>
      <c r="P414" s="122"/>
      <c r="Q414" s="122"/>
      <c r="R414" s="122"/>
      <c r="AL414" s="360"/>
      <c r="AM414" s="499"/>
    </row>
    <row r="415" spans="1:39" ht="12.75" customHeight="1" x14ac:dyDescent="0.25">
      <c r="A415" s="395"/>
      <c r="J415" s="122"/>
      <c r="K415" s="122"/>
      <c r="L415" s="122"/>
      <c r="M415" s="122"/>
      <c r="N415" s="122"/>
      <c r="O415" s="122"/>
      <c r="P415" s="122"/>
      <c r="Q415" s="122"/>
      <c r="R415" s="122"/>
      <c r="AL415" s="360"/>
      <c r="AM415" s="499"/>
    </row>
    <row r="416" spans="1:39" ht="12.75" customHeight="1" x14ac:dyDescent="0.25">
      <c r="A416" s="395"/>
      <c r="J416" s="122"/>
      <c r="K416" s="122"/>
      <c r="L416" s="122"/>
      <c r="M416" s="122"/>
      <c r="N416" s="122"/>
      <c r="O416" s="122"/>
      <c r="P416" s="122"/>
      <c r="Q416" s="122"/>
      <c r="R416" s="122"/>
      <c r="AL416" s="360"/>
      <c r="AM416" s="499"/>
    </row>
    <row r="417" spans="1:39" ht="12.75" customHeight="1" x14ac:dyDescent="0.25">
      <c r="A417" s="395"/>
      <c r="J417" s="122"/>
      <c r="K417" s="122"/>
      <c r="L417" s="122"/>
      <c r="M417" s="122"/>
      <c r="N417" s="122"/>
      <c r="O417" s="122"/>
      <c r="P417" s="122"/>
      <c r="Q417" s="122"/>
      <c r="R417" s="122"/>
      <c r="AL417" s="360"/>
      <c r="AM417" s="499"/>
    </row>
    <row r="418" spans="1:39" ht="12.75" customHeight="1" x14ac:dyDescent="0.25">
      <c r="A418" s="395"/>
      <c r="J418" s="122"/>
      <c r="K418" s="122"/>
      <c r="L418" s="122"/>
      <c r="M418" s="122"/>
      <c r="N418" s="122"/>
      <c r="O418" s="122"/>
      <c r="P418" s="122"/>
      <c r="Q418" s="122"/>
      <c r="R418" s="122"/>
      <c r="AL418" s="360"/>
      <c r="AM418" s="499"/>
    </row>
    <row r="419" spans="1:39" ht="12.75" customHeight="1" x14ac:dyDescent="0.25">
      <c r="A419" s="395"/>
      <c r="J419" s="122"/>
      <c r="K419" s="122"/>
      <c r="L419" s="122"/>
      <c r="M419" s="122"/>
      <c r="N419" s="122"/>
      <c r="O419" s="122"/>
      <c r="P419" s="122"/>
      <c r="Q419" s="122"/>
      <c r="R419" s="122"/>
      <c r="AL419" s="360"/>
      <c r="AM419" s="499"/>
    </row>
    <row r="420" spans="1:39" ht="12.75" customHeight="1" x14ac:dyDescent="0.25">
      <c r="A420" s="395"/>
      <c r="J420" s="122"/>
      <c r="K420" s="122"/>
      <c r="L420" s="122"/>
      <c r="M420" s="122"/>
      <c r="N420" s="122"/>
      <c r="O420" s="122"/>
      <c r="P420" s="122"/>
      <c r="Q420" s="122"/>
      <c r="R420" s="122"/>
      <c r="AL420" s="360"/>
      <c r="AM420" s="499"/>
    </row>
    <row r="421" spans="1:39" ht="12.75" customHeight="1" x14ac:dyDescent="0.25">
      <c r="A421" s="395"/>
      <c r="J421" s="122"/>
      <c r="K421" s="122"/>
      <c r="L421" s="122"/>
      <c r="M421" s="122"/>
      <c r="N421" s="122"/>
      <c r="O421" s="122"/>
      <c r="P421" s="122"/>
      <c r="Q421" s="122"/>
      <c r="R421" s="122"/>
      <c r="AL421" s="360"/>
      <c r="AM421" s="499"/>
    </row>
    <row r="422" spans="1:39" ht="12.75" customHeight="1" x14ac:dyDescent="0.25">
      <c r="A422" s="395"/>
      <c r="J422" s="122"/>
      <c r="K422" s="122"/>
      <c r="L422" s="122"/>
      <c r="M422" s="122"/>
      <c r="N422" s="122"/>
      <c r="O422" s="122"/>
      <c r="P422" s="122"/>
      <c r="Q422" s="122"/>
      <c r="R422" s="122"/>
      <c r="AL422" s="360"/>
      <c r="AM422" s="499"/>
    </row>
    <row r="423" spans="1:39" ht="12.75" customHeight="1" x14ac:dyDescent="0.25">
      <c r="A423" s="395"/>
      <c r="J423" s="122"/>
      <c r="K423" s="122"/>
      <c r="L423" s="122"/>
      <c r="M423" s="122"/>
      <c r="N423" s="122"/>
      <c r="O423" s="122"/>
      <c r="P423" s="122"/>
      <c r="Q423" s="122"/>
      <c r="R423" s="122"/>
      <c r="AL423" s="360"/>
      <c r="AM423" s="499"/>
    </row>
    <row r="424" spans="1:39" ht="12.75" customHeight="1" x14ac:dyDescent="0.25">
      <c r="A424" s="395"/>
      <c r="J424" s="122"/>
      <c r="K424" s="122"/>
      <c r="L424" s="122"/>
      <c r="M424" s="122"/>
      <c r="N424" s="122"/>
      <c r="O424" s="122"/>
      <c r="P424" s="122"/>
      <c r="Q424" s="122"/>
      <c r="R424" s="122"/>
      <c r="AL424" s="360"/>
      <c r="AM424" s="499"/>
    </row>
    <row r="425" spans="1:39" ht="12.75" customHeight="1" x14ac:dyDescent="0.25">
      <c r="A425" s="395"/>
      <c r="J425" s="122"/>
      <c r="K425" s="122"/>
      <c r="L425" s="122"/>
      <c r="M425" s="122"/>
      <c r="N425" s="122"/>
      <c r="O425" s="122"/>
      <c r="P425" s="122"/>
      <c r="Q425" s="122"/>
      <c r="R425" s="122"/>
      <c r="AL425" s="360"/>
      <c r="AM425" s="499"/>
    </row>
    <row r="426" spans="1:39" ht="12.75" customHeight="1" x14ac:dyDescent="0.25">
      <c r="A426" s="395"/>
      <c r="J426" s="122"/>
      <c r="K426" s="122"/>
      <c r="L426" s="122"/>
      <c r="M426" s="122"/>
      <c r="N426" s="122"/>
      <c r="O426" s="122"/>
      <c r="P426" s="122"/>
      <c r="Q426" s="122"/>
      <c r="R426" s="122"/>
      <c r="AL426" s="360"/>
      <c r="AM426" s="499"/>
    </row>
    <row r="427" spans="1:39" ht="12.75" customHeight="1" x14ac:dyDescent="0.25">
      <c r="A427" s="395"/>
      <c r="J427" s="122"/>
      <c r="K427" s="122"/>
      <c r="L427" s="122"/>
      <c r="M427" s="122"/>
      <c r="N427" s="122"/>
      <c r="O427" s="122"/>
      <c r="P427" s="122"/>
      <c r="Q427" s="122"/>
      <c r="R427" s="122"/>
      <c r="AL427" s="360"/>
      <c r="AM427" s="499"/>
    </row>
    <row r="428" spans="1:39" ht="12.75" customHeight="1" x14ac:dyDescent="0.25">
      <c r="A428" s="395"/>
      <c r="J428" s="122"/>
      <c r="K428" s="122"/>
      <c r="L428" s="122"/>
      <c r="M428" s="122"/>
      <c r="N428" s="122"/>
      <c r="O428" s="122"/>
      <c r="P428" s="122"/>
      <c r="Q428" s="122"/>
      <c r="R428" s="122"/>
      <c r="AL428" s="360"/>
      <c r="AM428" s="499"/>
    </row>
    <row r="429" spans="1:39" ht="12.75" customHeight="1" x14ac:dyDescent="0.25">
      <c r="A429" s="395"/>
      <c r="J429" s="122"/>
      <c r="K429" s="122"/>
      <c r="L429" s="122"/>
      <c r="M429" s="122"/>
      <c r="N429" s="122"/>
      <c r="O429" s="122"/>
      <c r="P429" s="122"/>
      <c r="Q429" s="122"/>
      <c r="R429" s="122"/>
      <c r="AL429" s="360"/>
      <c r="AM429" s="499"/>
    </row>
    <row r="430" spans="1:39" ht="12.75" customHeight="1" x14ac:dyDescent="0.25">
      <c r="A430" s="395"/>
      <c r="J430" s="122"/>
      <c r="K430" s="122"/>
      <c r="L430" s="122"/>
      <c r="M430" s="122"/>
      <c r="N430" s="122"/>
      <c r="O430" s="122"/>
      <c r="P430" s="122"/>
      <c r="Q430" s="122"/>
      <c r="R430" s="122"/>
      <c r="AL430" s="360"/>
      <c r="AM430" s="499"/>
    </row>
    <row r="431" spans="1:39" ht="12.75" customHeight="1" x14ac:dyDescent="0.25">
      <c r="A431" s="395"/>
      <c r="J431" s="122"/>
      <c r="K431" s="122"/>
      <c r="L431" s="122"/>
      <c r="M431" s="122"/>
      <c r="N431" s="122"/>
      <c r="O431" s="122"/>
      <c r="P431" s="122"/>
      <c r="Q431" s="122"/>
      <c r="R431" s="122"/>
      <c r="AL431" s="360"/>
      <c r="AM431" s="499"/>
    </row>
    <row r="432" spans="1:39" ht="12.75" customHeight="1" x14ac:dyDescent="0.25">
      <c r="A432" s="395"/>
      <c r="J432" s="122"/>
      <c r="K432" s="122"/>
      <c r="L432" s="122"/>
      <c r="M432" s="122"/>
      <c r="N432" s="122"/>
      <c r="O432" s="122"/>
      <c r="P432" s="122"/>
      <c r="Q432" s="122"/>
      <c r="R432" s="122"/>
      <c r="AL432" s="360"/>
      <c r="AM432" s="499"/>
    </row>
    <row r="433" spans="1:39" ht="12.75" customHeight="1" x14ac:dyDescent="0.25">
      <c r="A433" s="395"/>
      <c r="J433" s="122"/>
      <c r="K433" s="122"/>
      <c r="L433" s="122"/>
      <c r="M433" s="122"/>
      <c r="N433" s="122"/>
      <c r="O433" s="122"/>
      <c r="P433" s="122"/>
      <c r="Q433" s="122"/>
      <c r="R433" s="122"/>
      <c r="AL433" s="360"/>
      <c r="AM433" s="499"/>
    </row>
    <row r="434" spans="1:39" ht="12.75" customHeight="1" x14ac:dyDescent="0.25">
      <c r="A434" s="395"/>
      <c r="J434" s="122"/>
      <c r="K434" s="122"/>
      <c r="L434" s="122"/>
      <c r="M434" s="122"/>
      <c r="N434" s="122"/>
      <c r="O434" s="122"/>
      <c r="P434" s="122"/>
      <c r="Q434" s="122"/>
      <c r="R434" s="122"/>
      <c r="AL434" s="360"/>
      <c r="AM434" s="499"/>
    </row>
    <row r="435" spans="1:39" ht="12.75" customHeight="1" x14ac:dyDescent="0.25">
      <c r="A435" s="395"/>
      <c r="J435" s="122"/>
      <c r="K435" s="122"/>
      <c r="L435" s="122"/>
      <c r="M435" s="122"/>
      <c r="N435" s="122"/>
      <c r="O435" s="122"/>
      <c r="P435" s="122"/>
      <c r="Q435" s="122"/>
      <c r="R435" s="122"/>
      <c r="AL435" s="360"/>
      <c r="AM435" s="499"/>
    </row>
    <row r="436" spans="1:39" ht="12.75" customHeight="1" x14ac:dyDescent="0.25">
      <c r="A436" s="395"/>
      <c r="J436" s="122"/>
      <c r="K436" s="122"/>
      <c r="L436" s="122"/>
      <c r="M436" s="122"/>
      <c r="N436" s="122"/>
      <c r="O436" s="122"/>
      <c r="P436" s="122"/>
      <c r="Q436" s="122"/>
      <c r="R436" s="122"/>
      <c r="AL436" s="360"/>
      <c r="AM436" s="499"/>
    </row>
    <row r="437" spans="1:39" ht="12.75" customHeight="1" x14ac:dyDescent="0.25">
      <c r="A437" s="395"/>
      <c r="J437" s="122"/>
      <c r="K437" s="122"/>
      <c r="L437" s="122"/>
      <c r="M437" s="122"/>
      <c r="N437" s="122"/>
      <c r="O437" s="122"/>
      <c r="P437" s="122"/>
      <c r="Q437" s="122"/>
      <c r="R437" s="122"/>
      <c r="AL437" s="360"/>
      <c r="AM437" s="499"/>
    </row>
    <row r="438" spans="1:39" ht="12.75" customHeight="1" x14ac:dyDescent="0.25">
      <c r="A438" s="395"/>
      <c r="J438" s="122"/>
      <c r="K438" s="122"/>
      <c r="L438" s="122"/>
      <c r="M438" s="122"/>
      <c r="N438" s="122"/>
      <c r="O438" s="122"/>
      <c r="P438" s="122"/>
      <c r="Q438" s="122"/>
      <c r="R438" s="122"/>
      <c r="AL438" s="360"/>
      <c r="AM438" s="499"/>
    </row>
    <row r="439" spans="1:39" ht="12.75" customHeight="1" x14ac:dyDescent="0.25">
      <c r="A439" s="395"/>
      <c r="J439" s="122"/>
      <c r="K439" s="122"/>
      <c r="L439" s="122"/>
      <c r="M439" s="122"/>
      <c r="N439" s="122"/>
      <c r="O439" s="122"/>
      <c r="P439" s="122"/>
      <c r="Q439" s="122"/>
      <c r="R439" s="122"/>
      <c r="AL439" s="360"/>
      <c r="AM439" s="499"/>
    </row>
    <row r="440" spans="1:39" ht="12.75" customHeight="1" x14ac:dyDescent="0.25">
      <c r="A440" s="395"/>
      <c r="J440" s="122"/>
      <c r="K440" s="122"/>
      <c r="L440" s="122"/>
      <c r="M440" s="122"/>
      <c r="N440" s="122"/>
      <c r="O440" s="122"/>
      <c r="P440" s="122"/>
      <c r="Q440" s="122"/>
      <c r="R440" s="122"/>
      <c r="AL440" s="360"/>
      <c r="AM440" s="499"/>
    </row>
    <row r="441" spans="1:39" ht="12.75" customHeight="1" x14ac:dyDescent="0.25">
      <c r="A441" s="395"/>
      <c r="J441" s="122"/>
      <c r="K441" s="122"/>
      <c r="L441" s="122"/>
      <c r="M441" s="122"/>
      <c r="N441" s="122"/>
      <c r="O441" s="122"/>
      <c r="P441" s="122"/>
      <c r="Q441" s="122"/>
      <c r="R441" s="122"/>
      <c r="AL441" s="360"/>
      <c r="AM441" s="499"/>
    </row>
    <row r="442" spans="1:39" ht="12.75" customHeight="1" x14ac:dyDescent="0.25">
      <c r="A442" s="395"/>
      <c r="J442" s="122"/>
      <c r="K442" s="122"/>
      <c r="L442" s="122"/>
      <c r="M442" s="122"/>
      <c r="N442" s="122"/>
      <c r="O442" s="122"/>
      <c r="P442" s="122"/>
      <c r="Q442" s="122"/>
      <c r="R442" s="122"/>
      <c r="AL442" s="360"/>
      <c r="AM442" s="499"/>
    </row>
    <row r="443" spans="1:39" ht="12.75" customHeight="1" x14ac:dyDescent="0.25">
      <c r="A443" s="395"/>
      <c r="J443" s="122"/>
      <c r="K443" s="122"/>
      <c r="L443" s="122"/>
      <c r="M443" s="122"/>
      <c r="N443" s="122"/>
      <c r="O443" s="122"/>
      <c r="P443" s="122"/>
      <c r="Q443" s="122"/>
      <c r="R443" s="122"/>
      <c r="AL443" s="360"/>
      <c r="AM443" s="499"/>
    </row>
    <row r="444" spans="1:39" ht="12.75" customHeight="1" x14ac:dyDescent="0.25">
      <c r="A444" s="395"/>
      <c r="J444" s="122"/>
      <c r="K444" s="122"/>
      <c r="L444" s="122"/>
      <c r="M444" s="122"/>
      <c r="N444" s="122"/>
      <c r="O444" s="122"/>
      <c r="P444" s="122"/>
      <c r="Q444" s="122"/>
      <c r="R444" s="122"/>
      <c r="AL444" s="360"/>
      <c r="AM444" s="499"/>
    </row>
    <row r="445" spans="1:39" ht="12.75" customHeight="1" x14ac:dyDescent="0.25">
      <c r="A445" s="395"/>
      <c r="J445" s="122"/>
      <c r="K445" s="122"/>
      <c r="L445" s="122"/>
      <c r="M445" s="122"/>
      <c r="N445" s="122"/>
      <c r="O445" s="122"/>
      <c r="P445" s="122"/>
      <c r="Q445" s="122"/>
      <c r="R445" s="122"/>
      <c r="AL445" s="360"/>
      <c r="AM445" s="499"/>
    </row>
    <row r="446" spans="1:39" ht="12.75" customHeight="1" x14ac:dyDescent="0.25">
      <c r="A446" s="395"/>
      <c r="J446" s="122"/>
      <c r="K446" s="122"/>
      <c r="L446" s="122"/>
      <c r="M446" s="122"/>
      <c r="N446" s="122"/>
      <c r="O446" s="122"/>
      <c r="P446" s="122"/>
      <c r="Q446" s="122"/>
      <c r="R446" s="122"/>
      <c r="AL446" s="360"/>
      <c r="AM446" s="499"/>
    </row>
    <row r="447" spans="1:39" ht="12.75" customHeight="1" x14ac:dyDescent="0.25">
      <c r="A447" s="395"/>
      <c r="J447" s="122"/>
      <c r="K447" s="122"/>
      <c r="L447" s="122"/>
      <c r="M447" s="122"/>
      <c r="N447" s="122"/>
      <c r="O447" s="122"/>
      <c r="P447" s="122"/>
      <c r="Q447" s="122"/>
      <c r="R447" s="122"/>
      <c r="AL447" s="360"/>
      <c r="AM447" s="499"/>
    </row>
    <row r="448" spans="1:39" ht="12.75" customHeight="1" x14ac:dyDescent="0.25">
      <c r="A448" s="395"/>
      <c r="J448" s="122"/>
      <c r="K448" s="122"/>
      <c r="L448" s="122"/>
      <c r="M448" s="122"/>
      <c r="N448" s="122"/>
      <c r="O448" s="122"/>
      <c r="P448" s="122"/>
      <c r="Q448" s="122"/>
      <c r="R448" s="122"/>
      <c r="AL448" s="360"/>
      <c r="AM448" s="499"/>
    </row>
    <row r="449" spans="1:39" ht="12.75" customHeight="1" x14ac:dyDescent="0.25">
      <c r="A449" s="395"/>
      <c r="J449" s="122"/>
      <c r="K449" s="122"/>
      <c r="L449" s="122"/>
      <c r="M449" s="122"/>
      <c r="N449" s="122"/>
      <c r="O449" s="122"/>
      <c r="P449" s="122"/>
      <c r="Q449" s="122"/>
      <c r="R449" s="122"/>
      <c r="AL449" s="360"/>
      <c r="AM449" s="499"/>
    </row>
    <row r="450" spans="1:39" ht="12.75" customHeight="1" x14ac:dyDescent="0.25">
      <c r="A450" s="395"/>
      <c r="J450" s="122"/>
      <c r="K450" s="122"/>
      <c r="L450" s="122"/>
      <c r="M450" s="122"/>
      <c r="N450" s="122"/>
      <c r="O450" s="122"/>
      <c r="P450" s="122"/>
      <c r="Q450" s="122"/>
      <c r="R450" s="122"/>
      <c r="AL450" s="360"/>
      <c r="AM450" s="499"/>
    </row>
    <row r="451" spans="1:39" ht="12.75" customHeight="1" x14ac:dyDescent="0.25">
      <c r="A451" s="395"/>
      <c r="J451" s="122"/>
      <c r="K451" s="122"/>
      <c r="L451" s="122"/>
      <c r="M451" s="122"/>
      <c r="N451" s="122"/>
      <c r="O451" s="122"/>
      <c r="P451" s="122"/>
      <c r="Q451" s="122"/>
      <c r="R451" s="122"/>
      <c r="AL451" s="360"/>
      <c r="AM451" s="499"/>
    </row>
    <row r="452" spans="1:39" ht="12.75" customHeight="1" x14ac:dyDescent="0.25">
      <c r="A452" s="395"/>
      <c r="J452" s="122"/>
      <c r="K452" s="122"/>
      <c r="L452" s="122"/>
      <c r="M452" s="122"/>
      <c r="N452" s="122"/>
      <c r="O452" s="122"/>
      <c r="P452" s="122"/>
      <c r="Q452" s="122"/>
      <c r="R452" s="122"/>
      <c r="AL452" s="360"/>
      <c r="AM452" s="499"/>
    </row>
    <row r="453" spans="1:39" ht="12.75" customHeight="1" x14ac:dyDescent="0.25">
      <c r="A453" s="395"/>
      <c r="J453" s="122"/>
      <c r="K453" s="122"/>
      <c r="L453" s="122"/>
      <c r="M453" s="122"/>
      <c r="N453" s="122"/>
      <c r="O453" s="122"/>
      <c r="P453" s="122"/>
      <c r="Q453" s="122"/>
      <c r="R453" s="122"/>
      <c r="AL453" s="360"/>
      <c r="AM453" s="499"/>
    </row>
    <row r="454" spans="1:39" ht="12.75" customHeight="1" x14ac:dyDescent="0.25">
      <c r="A454" s="395"/>
      <c r="J454" s="122"/>
      <c r="K454" s="122"/>
      <c r="L454" s="122"/>
      <c r="M454" s="122"/>
      <c r="N454" s="122"/>
      <c r="O454" s="122"/>
      <c r="P454" s="122"/>
      <c r="Q454" s="122"/>
      <c r="R454" s="122"/>
      <c r="AL454" s="360"/>
      <c r="AM454" s="499"/>
    </row>
    <row r="455" spans="1:39" ht="12.75" customHeight="1" x14ac:dyDescent="0.25">
      <c r="A455" s="395"/>
      <c r="J455" s="122"/>
      <c r="K455" s="122"/>
      <c r="L455" s="122"/>
      <c r="M455" s="122"/>
      <c r="N455" s="122"/>
      <c r="O455" s="122"/>
      <c r="P455" s="122"/>
      <c r="Q455" s="122"/>
      <c r="R455" s="122"/>
      <c r="AL455" s="360"/>
      <c r="AM455" s="499"/>
    </row>
    <row r="456" spans="1:39" ht="12.75" customHeight="1" x14ac:dyDescent="0.25">
      <c r="A456" s="395"/>
      <c r="J456" s="122"/>
      <c r="K456" s="122"/>
      <c r="L456" s="122"/>
      <c r="M456" s="122"/>
      <c r="N456" s="122"/>
      <c r="O456" s="122"/>
      <c r="P456" s="122"/>
      <c r="Q456" s="122"/>
      <c r="R456" s="122"/>
      <c r="AL456" s="360"/>
      <c r="AM456" s="499"/>
    </row>
    <row r="457" spans="1:39" ht="12.75" customHeight="1" x14ac:dyDescent="0.25">
      <c r="A457" s="395"/>
      <c r="J457" s="122"/>
      <c r="K457" s="122"/>
      <c r="L457" s="122"/>
      <c r="M457" s="122"/>
      <c r="N457" s="122"/>
      <c r="O457" s="122"/>
      <c r="P457" s="122"/>
      <c r="Q457" s="122"/>
      <c r="R457" s="122"/>
      <c r="AL457" s="360"/>
      <c r="AM457" s="499"/>
    </row>
    <row r="458" spans="1:39" ht="12.75" customHeight="1" x14ac:dyDescent="0.25">
      <c r="A458" s="395"/>
      <c r="J458" s="122"/>
      <c r="K458" s="122"/>
      <c r="L458" s="122"/>
      <c r="M458" s="122"/>
      <c r="N458" s="122"/>
      <c r="O458" s="122"/>
      <c r="P458" s="122"/>
      <c r="Q458" s="122"/>
      <c r="R458" s="122"/>
      <c r="AL458" s="360"/>
      <c r="AM458" s="499"/>
    </row>
    <row r="459" spans="1:39" ht="12.75" customHeight="1" x14ac:dyDescent="0.25">
      <c r="A459" s="395"/>
      <c r="J459" s="122"/>
      <c r="K459" s="122"/>
      <c r="L459" s="122"/>
      <c r="M459" s="122"/>
      <c r="N459" s="122"/>
      <c r="O459" s="122"/>
      <c r="P459" s="122"/>
      <c r="Q459" s="122"/>
      <c r="R459" s="122"/>
      <c r="AL459" s="360"/>
      <c r="AM459" s="499"/>
    </row>
    <row r="460" spans="1:39" ht="12.75" customHeight="1" x14ac:dyDescent="0.25">
      <c r="A460" s="395"/>
      <c r="J460" s="122"/>
      <c r="K460" s="122"/>
      <c r="L460" s="122"/>
      <c r="M460" s="122"/>
      <c r="N460" s="122"/>
      <c r="O460" s="122"/>
      <c r="P460" s="122"/>
      <c r="Q460" s="122"/>
      <c r="R460" s="122"/>
      <c r="AL460" s="360"/>
      <c r="AM460" s="499"/>
    </row>
    <row r="461" spans="1:39" ht="12.75" customHeight="1" x14ac:dyDescent="0.25">
      <c r="A461" s="395"/>
      <c r="J461" s="122"/>
      <c r="K461" s="122"/>
      <c r="L461" s="122"/>
      <c r="M461" s="122"/>
      <c r="N461" s="122"/>
      <c r="O461" s="122"/>
      <c r="P461" s="122"/>
      <c r="Q461" s="122"/>
      <c r="R461" s="122"/>
      <c r="AL461" s="360"/>
      <c r="AM461" s="499"/>
    </row>
    <row r="462" spans="1:39" ht="12.75" customHeight="1" x14ac:dyDescent="0.25">
      <c r="A462" s="395"/>
      <c r="J462" s="122"/>
      <c r="K462" s="122"/>
      <c r="L462" s="122"/>
      <c r="M462" s="122"/>
      <c r="N462" s="122"/>
      <c r="O462" s="122"/>
      <c r="P462" s="122"/>
      <c r="Q462" s="122"/>
      <c r="R462" s="122"/>
      <c r="AL462" s="360"/>
      <c r="AM462" s="499"/>
    </row>
    <row r="463" spans="1:39" ht="12.75" customHeight="1" x14ac:dyDescent="0.25">
      <c r="A463" s="395"/>
      <c r="J463" s="122"/>
      <c r="K463" s="122"/>
      <c r="L463" s="122"/>
      <c r="M463" s="122"/>
      <c r="N463" s="122"/>
      <c r="O463" s="122"/>
      <c r="P463" s="122"/>
      <c r="Q463" s="122"/>
      <c r="R463" s="122"/>
      <c r="AL463" s="360"/>
      <c r="AM463" s="499"/>
    </row>
    <row r="464" spans="1:39" ht="12.75" customHeight="1" x14ac:dyDescent="0.25">
      <c r="A464" s="395"/>
      <c r="J464" s="122"/>
      <c r="K464" s="122"/>
      <c r="L464" s="122"/>
      <c r="M464" s="122"/>
      <c r="N464" s="122"/>
      <c r="O464" s="122"/>
      <c r="P464" s="122"/>
      <c r="Q464" s="122"/>
      <c r="R464" s="122"/>
      <c r="AL464" s="360"/>
      <c r="AM464" s="499"/>
    </row>
    <row r="465" spans="1:39" ht="12.75" customHeight="1" x14ac:dyDescent="0.25">
      <c r="A465" s="395"/>
      <c r="J465" s="122"/>
      <c r="K465" s="122"/>
      <c r="L465" s="122"/>
      <c r="M465" s="122"/>
      <c r="N465" s="122"/>
      <c r="O465" s="122"/>
      <c r="P465" s="122"/>
      <c r="Q465" s="122"/>
      <c r="R465" s="122"/>
      <c r="AL465" s="360"/>
      <c r="AM465" s="499"/>
    </row>
    <row r="466" spans="1:39" ht="12.75" customHeight="1" x14ac:dyDescent="0.25">
      <c r="A466" s="395"/>
      <c r="J466" s="122"/>
      <c r="K466" s="122"/>
      <c r="L466" s="122"/>
      <c r="M466" s="122"/>
      <c r="N466" s="122"/>
      <c r="O466" s="122"/>
      <c r="P466" s="122"/>
      <c r="Q466" s="122"/>
      <c r="R466" s="122"/>
      <c r="AL466" s="360"/>
      <c r="AM466" s="499"/>
    </row>
    <row r="467" spans="1:39" ht="12.75" customHeight="1" x14ac:dyDescent="0.25">
      <c r="A467" s="395"/>
      <c r="J467" s="122"/>
      <c r="K467" s="122"/>
      <c r="L467" s="122"/>
      <c r="M467" s="122"/>
      <c r="N467" s="122"/>
      <c r="O467" s="122"/>
      <c r="P467" s="122"/>
      <c r="Q467" s="122"/>
      <c r="R467" s="122"/>
      <c r="AL467" s="360"/>
      <c r="AM467" s="499"/>
    </row>
    <row r="468" spans="1:39" ht="12.75" customHeight="1" x14ac:dyDescent="0.25">
      <c r="A468" s="395"/>
      <c r="J468" s="122"/>
      <c r="K468" s="122"/>
      <c r="L468" s="122"/>
      <c r="M468" s="122"/>
      <c r="N468" s="122"/>
      <c r="O468" s="122"/>
      <c r="P468" s="122"/>
      <c r="Q468" s="122"/>
      <c r="R468" s="122"/>
      <c r="AL468" s="360"/>
      <c r="AM468" s="499"/>
    </row>
    <row r="469" spans="1:39" ht="12.75" customHeight="1" x14ac:dyDescent="0.25">
      <c r="A469" s="395"/>
      <c r="J469" s="122"/>
      <c r="K469" s="122"/>
      <c r="L469" s="122"/>
      <c r="M469" s="122"/>
      <c r="N469" s="122"/>
      <c r="O469" s="122"/>
      <c r="P469" s="122"/>
      <c r="Q469" s="122"/>
      <c r="R469" s="122"/>
      <c r="AL469" s="360"/>
      <c r="AM469" s="499"/>
    </row>
    <row r="470" spans="1:39" ht="12.75" customHeight="1" x14ac:dyDescent="0.25">
      <c r="A470" s="395"/>
      <c r="J470" s="122"/>
      <c r="K470" s="122"/>
      <c r="L470" s="122"/>
      <c r="M470" s="122"/>
      <c r="N470" s="122"/>
      <c r="O470" s="122"/>
      <c r="P470" s="122"/>
      <c r="Q470" s="122"/>
      <c r="R470" s="122"/>
      <c r="AL470" s="360"/>
      <c r="AM470" s="499"/>
    </row>
    <row r="471" spans="1:39" ht="12.75" customHeight="1" x14ac:dyDescent="0.25">
      <c r="A471" s="395"/>
      <c r="J471" s="122"/>
      <c r="K471" s="122"/>
      <c r="L471" s="122"/>
      <c r="M471" s="122"/>
      <c r="N471" s="122"/>
      <c r="O471" s="122"/>
      <c r="P471" s="122"/>
      <c r="Q471" s="122"/>
      <c r="R471" s="122"/>
      <c r="AL471" s="360"/>
      <c r="AM471" s="499"/>
    </row>
    <row r="472" spans="1:39" ht="12.75" customHeight="1" x14ac:dyDescent="0.25">
      <c r="A472" s="395"/>
      <c r="J472" s="122"/>
      <c r="K472" s="122"/>
      <c r="L472" s="122"/>
      <c r="M472" s="122"/>
      <c r="N472" s="122"/>
      <c r="O472" s="122"/>
      <c r="P472" s="122"/>
      <c r="Q472" s="122"/>
      <c r="R472" s="122"/>
      <c r="AL472" s="360"/>
      <c r="AM472" s="499"/>
    </row>
    <row r="473" spans="1:39" ht="12.75" customHeight="1" x14ac:dyDescent="0.25">
      <c r="A473" s="395"/>
      <c r="J473" s="122"/>
      <c r="K473" s="122"/>
      <c r="L473" s="122"/>
      <c r="M473" s="122"/>
      <c r="N473" s="122"/>
      <c r="O473" s="122"/>
      <c r="P473" s="122"/>
      <c r="Q473" s="122"/>
      <c r="R473" s="122"/>
      <c r="AL473" s="360"/>
      <c r="AM473" s="499"/>
    </row>
    <row r="474" spans="1:39" ht="12.75" customHeight="1" x14ac:dyDescent="0.25">
      <c r="A474" s="395"/>
      <c r="J474" s="122"/>
      <c r="K474" s="122"/>
      <c r="L474" s="122"/>
      <c r="M474" s="122"/>
      <c r="N474" s="122"/>
      <c r="O474" s="122"/>
      <c r="P474" s="122"/>
      <c r="Q474" s="122"/>
      <c r="R474" s="122"/>
      <c r="AL474" s="360"/>
      <c r="AM474" s="499"/>
    </row>
    <row r="475" spans="1:39" ht="12.75" customHeight="1" x14ac:dyDescent="0.25">
      <c r="A475" s="395"/>
      <c r="J475" s="122"/>
      <c r="K475" s="122"/>
      <c r="L475" s="122"/>
      <c r="M475" s="122"/>
      <c r="N475" s="122"/>
      <c r="O475" s="122"/>
      <c r="P475" s="122"/>
      <c r="Q475" s="122"/>
      <c r="R475" s="122"/>
      <c r="AL475" s="360"/>
      <c r="AM475" s="499"/>
    </row>
    <row r="476" spans="1:39" ht="12.75" customHeight="1" x14ac:dyDescent="0.25">
      <c r="A476" s="395"/>
      <c r="J476" s="122"/>
      <c r="K476" s="122"/>
      <c r="L476" s="122"/>
      <c r="M476" s="122"/>
      <c r="N476" s="122"/>
      <c r="O476" s="122"/>
      <c r="P476" s="122"/>
      <c r="Q476" s="122"/>
      <c r="R476" s="122"/>
      <c r="AL476" s="360"/>
      <c r="AM476" s="499"/>
    </row>
    <row r="477" spans="1:39" ht="12.75" customHeight="1" x14ac:dyDescent="0.25">
      <c r="A477" s="395"/>
      <c r="J477" s="122"/>
      <c r="K477" s="122"/>
      <c r="L477" s="122"/>
      <c r="M477" s="122"/>
      <c r="N477" s="122"/>
      <c r="O477" s="122"/>
      <c r="P477" s="122"/>
      <c r="Q477" s="122"/>
      <c r="R477" s="122"/>
      <c r="AL477" s="360"/>
      <c r="AM477" s="499"/>
    </row>
    <row r="478" spans="1:39" ht="12.75" customHeight="1" x14ac:dyDescent="0.25">
      <c r="A478" s="395"/>
      <c r="J478" s="122"/>
      <c r="K478" s="122"/>
      <c r="L478" s="122"/>
      <c r="M478" s="122"/>
      <c r="N478" s="122"/>
      <c r="O478" s="122"/>
      <c r="P478" s="122"/>
      <c r="Q478" s="122"/>
      <c r="R478" s="122"/>
      <c r="AL478" s="360"/>
      <c r="AM478" s="499"/>
    </row>
    <row r="479" spans="1:39" ht="12.75" customHeight="1" x14ac:dyDescent="0.25">
      <c r="A479" s="395"/>
      <c r="J479" s="122"/>
      <c r="K479" s="122"/>
      <c r="L479" s="122"/>
      <c r="M479" s="122"/>
      <c r="N479" s="122"/>
      <c r="O479" s="122"/>
      <c r="P479" s="122"/>
      <c r="Q479" s="122"/>
      <c r="R479" s="122"/>
      <c r="AL479" s="360"/>
      <c r="AM479" s="499"/>
    </row>
    <row r="480" spans="1:39" ht="12.75" customHeight="1" x14ac:dyDescent="0.25">
      <c r="A480" s="395"/>
      <c r="J480" s="122"/>
      <c r="K480" s="122"/>
      <c r="L480" s="122"/>
      <c r="M480" s="122"/>
      <c r="N480" s="122"/>
      <c r="O480" s="122"/>
      <c r="P480" s="122"/>
      <c r="Q480" s="122"/>
      <c r="R480" s="122"/>
      <c r="AL480" s="360"/>
      <c r="AM480" s="499"/>
    </row>
    <row r="481" spans="1:39" ht="12.75" customHeight="1" x14ac:dyDescent="0.25">
      <c r="A481" s="395"/>
      <c r="J481" s="122"/>
      <c r="K481" s="122"/>
      <c r="L481" s="122"/>
      <c r="M481" s="122"/>
      <c r="N481" s="122"/>
      <c r="O481" s="122"/>
      <c r="P481" s="122"/>
      <c r="Q481" s="122"/>
      <c r="R481" s="122"/>
      <c r="AL481" s="360"/>
      <c r="AM481" s="499"/>
    </row>
    <row r="482" spans="1:39" ht="12.75" customHeight="1" x14ac:dyDescent="0.25">
      <c r="A482" s="395"/>
      <c r="J482" s="122"/>
      <c r="K482" s="122"/>
      <c r="L482" s="122"/>
      <c r="M482" s="122"/>
      <c r="N482" s="122"/>
      <c r="O482" s="122"/>
      <c r="P482" s="122"/>
      <c r="Q482" s="122"/>
      <c r="R482" s="122"/>
      <c r="AL482" s="360"/>
      <c r="AM482" s="499"/>
    </row>
    <row r="483" spans="1:39" ht="12.75" customHeight="1" x14ac:dyDescent="0.25">
      <c r="A483" s="395"/>
      <c r="J483" s="122"/>
      <c r="K483" s="122"/>
      <c r="L483" s="122"/>
      <c r="M483" s="122"/>
      <c r="N483" s="122"/>
      <c r="O483" s="122"/>
      <c r="P483" s="122"/>
      <c r="Q483" s="122"/>
      <c r="R483" s="122"/>
      <c r="AL483" s="360"/>
      <c r="AM483" s="499"/>
    </row>
    <row r="484" spans="1:39" ht="12.75" customHeight="1" x14ac:dyDescent="0.25">
      <c r="A484" s="395"/>
      <c r="J484" s="122"/>
      <c r="K484" s="122"/>
      <c r="L484" s="122"/>
      <c r="M484" s="122"/>
      <c r="N484" s="122"/>
      <c r="O484" s="122"/>
      <c r="P484" s="122"/>
      <c r="Q484" s="122"/>
      <c r="R484" s="122"/>
      <c r="AL484" s="360"/>
      <c r="AM484" s="499"/>
    </row>
    <row r="485" spans="1:39" ht="12.75" customHeight="1" x14ac:dyDescent="0.25">
      <c r="A485" s="395"/>
      <c r="J485" s="122"/>
      <c r="K485" s="122"/>
      <c r="L485" s="122"/>
      <c r="M485" s="122"/>
      <c r="N485" s="122"/>
      <c r="O485" s="122"/>
      <c r="P485" s="122"/>
      <c r="Q485" s="122"/>
      <c r="R485" s="122"/>
      <c r="AL485" s="360"/>
      <c r="AM485" s="499"/>
    </row>
    <row r="486" spans="1:39" ht="12.75" customHeight="1" x14ac:dyDescent="0.25">
      <c r="A486" s="395"/>
      <c r="J486" s="122"/>
      <c r="K486" s="122"/>
      <c r="L486" s="122"/>
      <c r="M486" s="122"/>
      <c r="N486" s="122"/>
      <c r="O486" s="122"/>
      <c r="P486" s="122"/>
      <c r="Q486" s="122"/>
      <c r="R486" s="122"/>
      <c r="AL486" s="360"/>
      <c r="AM486" s="499"/>
    </row>
    <row r="487" spans="1:39" ht="12.75" customHeight="1" x14ac:dyDescent="0.25">
      <c r="A487" s="395"/>
      <c r="J487" s="122"/>
      <c r="K487" s="122"/>
      <c r="L487" s="122"/>
      <c r="M487" s="122"/>
      <c r="N487" s="122"/>
      <c r="O487" s="122"/>
      <c r="P487" s="122"/>
      <c r="Q487" s="122"/>
      <c r="R487" s="122"/>
      <c r="AL487" s="360"/>
      <c r="AM487" s="499"/>
    </row>
    <row r="488" spans="1:39" ht="12.75" customHeight="1" x14ac:dyDescent="0.25">
      <c r="A488" s="395"/>
      <c r="J488" s="122"/>
      <c r="K488" s="122"/>
      <c r="L488" s="122"/>
      <c r="M488" s="122"/>
      <c r="N488" s="122"/>
      <c r="O488" s="122"/>
      <c r="P488" s="122"/>
      <c r="Q488" s="122"/>
      <c r="R488" s="122"/>
      <c r="AL488" s="360"/>
      <c r="AM488" s="499"/>
    </row>
    <row r="489" spans="1:39" ht="12.75" customHeight="1" x14ac:dyDescent="0.25">
      <c r="A489" s="395"/>
      <c r="J489" s="122"/>
      <c r="K489" s="122"/>
      <c r="L489" s="122"/>
      <c r="M489" s="122"/>
      <c r="N489" s="122"/>
      <c r="O489" s="122"/>
      <c r="P489" s="122"/>
      <c r="Q489" s="122"/>
      <c r="R489" s="122"/>
      <c r="AL489" s="360"/>
      <c r="AM489" s="499"/>
    </row>
    <row r="490" spans="1:39" ht="12.75" customHeight="1" x14ac:dyDescent="0.25">
      <c r="A490" s="395"/>
      <c r="J490" s="122"/>
      <c r="K490" s="122"/>
      <c r="L490" s="122"/>
      <c r="M490" s="122"/>
      <c r="N490" s="122"/>
      <c r="O490" s="122"/>
      <c r="P490" s="122"/>
      <c r="Q490" s="122"/>
      <c r="R490" s="122"/>
      <c r="AL490" s="360"/>
      <c r="AM490" s="499"/>
    </row>
    <row r="491" spans="1:39" ht="12.75" customHeight="1" x14ac:dyDescent="0.25">
      <c r="A491" s="395"/>
      <c r="J491" s="122"/>
      <c r="K491" s="122"/>
      <c r="L491" s="122"/>
      <c r="M491" s="122"/>
      <c r="N491" s="122"/>
      <c r="O491" s="122"/>
      <c r="P491" s="122"/>
      <c r="Q491" s="122"/>
      <c r="R491" s="122"/>
      <c r="AL491" s="360"/>
      <c r="AM491" s="499"/>
    </row>
    <row r="492" spans="1:39" ht="12.75" customHeight="1" x14ac:dyDescent="0.25">
      <c r="A492" s="395"/>
      <c r="J492" s="122"/>
      <c r="K492" s="122"/>
      <c r="L492" s="122"/>
      <c r="M492" s="122"/>
      <c r="N492" s="122"/>
      <c r="O492" s="122"/>
      <c r="P492" s="122"/>
      <c r="Q492" s="122"/>
      <c r="R492" s="122"/>
      <c r="AL492" s="360"/>
      <c r="AM492" s="499"/>
    </row>
    <row r="493" spans="1:39" ht="12.75" customHeight="1" x14ac:dyDescent="0.25">
      <c r="A493" s="395"/>
      <c r="J493" s="122"/>
      <c r="K493" s="122"/>
      <c r="L493" s="122"/>
      <c r="M493" s="122"/>
      <c r="N493" s="122"/>
      <c r="O493" s="122"/>
      <c r="P493" s="122"/>
      <c r="Q493" s="122"/>
      <c r="R493" s="122"/>
      <c r="AL493" s="360"/>
      <c r="AM493" s="499"/>
    </row>
    <row r="494" spans="1:39" ht="12.75" customHeight="1" x14ac:dyDescent="0.25">
      <c r="A494" s="395"/>
      <c r="J494" s="122"/>
      <c r="K494" s="122"/>
      <c r="L494" s="122"/>
      <c r="M494" s="122"/>
      <c r="N494" s="122"/>
      <c r="O494" s="122"/>
      <c r="P494" s="122"/>
      <c r="Q494" s="122"/>
      <c r="R494" s="122"/>
      <c r="AL494" s="360"/>
      <c r="AM494" s="499"/>
    </row>
    <row r="495" spans="1:39" ht="12.75" customHeight="1" x14ac:dyDescent="0.25">
      <c r="A495" s="395"/>
      <c r="J495" s="122"/>
      <c r="K495" s="122"/>
      <c r="L495" s="122"/>
      <c r="M495" s="122"/>
      <c r="N495" s="122"/>
      <c r="O495" s="122"/>
      <c r="P495" s="122"/>
      <c r="Q495" s="122"/>
      <c r="R495" s="122"/>
      <c r="AL495" s="360"/>
      <c r="AM495" s="499"/>
    </row>
    <row r="496" spans="1:39" ht="12.75" customHeight="1" x14ac:dyDescent="0.25">
      <c r="A496" s="395"/>
      <c r="J496" s="122"/>
      <c r="K496" s="122"/>
      <c r="L496" s="122"/>
      <c r="M496" s="122"/>
      <c r="N496" s="122"/>
      <c r="O496" s="122"/>
      <c r="P496" s="122"/>
      <c r="Q496" s="122"/>
      <c r="R496" s="122"/>
      <c r="AL496" s="360"/>
      <c r="AM496" s="499"/>
    </row>
    <row r="497" spans="1:39" ht="12.75" customHeight="1" x14ac:dyDescent="0.25">
      <c r="A497" s="395"/>
      <c r="J497" s="122"/>
      <c r="K497" s="122"/>
      <c r="L497" s="122"/>
      <c r="M497" s="122"/>
      <c r="N497" s="122"/>
      <c r="O497" s="122"/>
      <c r="P497" s="122"/>
      <c r="Q497" s="122"/>
      <c r="R497" s="122"/>
      <c r="AL497" s="360"/>
      <c r="AM497" s="499"/>
    </row>
    <row r="498" spans="1:39" ht="12.75" customHeight="1" x14ac:dyDescent="0.25">
      <c r="A498" s="395"/>
      <c r="J498" s="122"/>
      <c r="K498" s="122"/>
      <c r="L498" s="122"/>
      <c r="M498" s="122"/>
      <c r="N498" s="122"/>
      <c r="O498" s="122"/>
      <c r="P498" s="122"/>
      <c r="Q498" s="122"/>
      <c r="R498" s="122"/>
      <c r="AL498" s="360"/>
      <c r="AM498" s="499"/>
    </row>
    <row r="499" spans="1:39" ht="12.75" customHeight="1" x14ac:dyDescent="0.25">
      <c r="A499" s="395"/>
      <c r="J499" s="122"/>
      <c r="K499" s="122"/>
      <c r="L499" s="122"/>
      <c r="M499" s="122"/>
      <c r="N499" s="122"/>
      <c r="O499" s="122"/>
      <c r="P499" s="122"/>
      <c r="Q499" s="122"/>
      <c r="R499" s="122"/>
      <c r="AL499" s="360"/>
      <c r="AM499" s="499"/>
    </row>
    <row r="500" spans="1:39" ht="12.75" customHeight="1" x14ac:dyDescent="0.25">
      <c r="A500" s="395"/>
      <c r="J500" s="122"/>
      <c r="K500" s="122"/>
      <c r="L500" s="122"/>
      <c r="M500" s="122"/>
      <c r="N500" s="122"/>
      <c r="O500" s="122"/>
      <c r="P500" s="122"/>
      <c r="Q500" s="122"/>
      <c r="R500" s="122"/>
      <c r="AL500" s="360"/>
      <c r="AM500" s="499"/>
    </row>
    <row r="501" spans="1:39" ht="12.75" customHeight="1" x14ac:dyDescent="0.25">
      <c r="A501" s="395"/>
      <c r="J501" s="122"/>
      <c r="K501" s="122"/>
      <c r="L501" s="122"/>
      <c r="M501" s="122"/>
      <c r="N501" s="122"/>
      <c r="O501" s="122"/>
      <c r="P501" s="122"/>
      <c r="Q501" s="122"/>
      <c r="R501" s="122"/>
      <c r="AL501" s="360"/>
      <c r="AM501" s="499"/>
    </row>
    <row r="502" spans="1:39" ht="12.75" customHeight="1" x14ac:dyDescent="0.25">
      <c r="A502" s="395"/>
      <c r="J502" s="122"/>
      <c r="K502" s="122"/>
      <c r="L502" s="122"/>
      <c r="M502" s="122"/>
      <c r="N502" s="122"/>
      <c r="O502" s="122"/>
      <c r="P502" s="122"/>
      <c r="Q502" s="122"/>
      <c r="R502" s="122"/>
      <c r="AL502" s="360"/>
      <c r="AM502" s="499"/>
    </row>
    <row r="503" spans="1:39" ht="12.75" customHeight="1" x14ac:dyDescent="0.25">
      <c r="A503" s="395"/>
      <c r="J503" s="122"/>
      <c r="K503" s="122"/>
      <c r="L503" s="122"/>
      <c r="M503" s="122"/>
      <c r="N503" s="122"/>
      <c r="O503" s="122"/>
      <c r="P503" s="122"/>
      <c r="Q503" s="122"/>
      <c r="R503" s="122"/>
      <c r="AL503" s="360"/>
      <c r="AM503" s="499"/>
    </row>
    <row r="504" spans="1:39" ht="12.75" customHeight="1" x14ac:dyDescent="0.25">
      <c r="A504" s="395"/>
      <c r="J504" s="122"/>
      <c r="K504" s="122"/>
      <c r="L504" s="122"/>
      <c r="M504" s="122"/>
      <c r="N504" s="122"/>
      <c r="O504" s="122"/>
      <c r="P504" s="122"/>
      <c r="Q504" s="122"/>
      <c r="R504" s="122"/>
      <c r="AL504" s="360"/>
      <c r="AM504" s="499"/>
    </row>
    <row r="505" spans="1:39" ht="12.75" customHeight="1" x14ac:dyDescent="0.25">
      <c r="A505" s="395"/>
      <c r="J505" s="122"/>
      <c r="K505" s="122"/>
      <c r="L505" s="122"/>
      <c r="M505" s="122"/>
      <c r="N505" s="122"/>
      <c r="O505" s="122"/>
      <c r="P505" s="122"/>
      <c r="Q505" s="122"/>
      <c r="R505" s="122"/>
      <c r="AL505" s="360"/>
      <c r="AM505" s="499"/>
    </row>
    <row r="506" spans="1:39" ht="12.75" customHeight="1" x14ac:dyDescent="0.25">
      <c r="A506" s="395"/>
      <c r="J506" s="122"/>
      <c r="K506" s="122"/>
      <c r="L506" s="122"/>
      <c r="M506" s="122"/>
      <c r="N506" s="122"/>
      <c r="O506" s="122"/>
      <c r="P506" s="122"/>
      <c r="Q506" s="122"/>
      <c r="R506" s="122"/>
      <c r="AL506" s="360"/>
      <c r="AM506" s="499"/>
    </row>
    <row r="507" spans="1:39" ht="12.75" customHeight="1" x14ac:dyDescent="0.25">
      <c r="A507" s="395"/>
      <c r="J507" s="122"/>
      <c r="K507" s="122"/>
      <c r="L507" s="122"/>
      <c r="M507" s="122"/>
      <c r="N507" s="122"/>
      <c r="O507" s="122"/>
      <c r="P507" s="122"/>
      <c r="Q507" s="122"/>
      <c r="R507" s="122"/>
      <c r="AL507" s="360"/>
      <c r="AM507" s="499"/>
    </row>
    <row r="508" spans="1:39" ht="12.75" customHeight="1" x14ac:dyDescent="0.25">
      <c r="A508" s="395"/>
      <c r="J508" s="122"/>
      <c r="K508" s="122"/>
      <c r="L508" s="122"/>
      <c r="M508" s="122"/>
      <c r="N508" s="122"/>
      <c r="O508" s="122"/>
      <c r="P508" s="122"/>
      <c r="Q508" s="122"/>
      <c r="R508" s="122"/>
      <c r="AL508" s="360"/>
      <c r="AM508" s="499"/>
    </row>
    <row r="509" spans="1:39" ht="12.75" customHeight="1" x14ac:dyDescent="0.25">
      <c r="A509" s="395"/>
      <c r="J509" s="122"/>
      <c r="K509" s="122"/>
      <c r="L509" s="122"/>
      <c r="M509" s="122"/>
      <c r="N509" s="122"/>
      <c r="O509" s="122"/>
      <c r="P509" s="122"/>
      <c r="Q509" s="122"/>
      <c r="R509" s="122"/>
      <c r="AL509" s="360"/>
      <c r="AM509" s="499"/>
    </row>
    <row r="510" spans="1:39" ht="12.75" customHeight="1" x14ac:dyDescent="0.25">
      <c r="A510" s="395"/>
      <c r="J510" s="122"/>
      <c r="K510" s="122"/>
      <c r="L510" s="122"/>
      <c r="M510" s="122"/>
      <c r="N510" s="122"/>
      <c r="O510" s="122"/>
      <c r="P510" s="122"/>
      <c r="Q510" s="122"/>
      <c r="R510" s="122"/>
      <c r="AL510" s="360"/>
      <c r="AM510" s="499"/>
    </row>
    <row r="511" spans="1:39" ht="12.75" customHeight="1" x14ac:dyDescent="0.25">
      <c r="A511" s="395"/>
      <c r="J511" s="122"/>
      <c r="K511" s="122"/>
      <c r="L511" s="122"/>
      <c r="M511" s="122"/>
      <c r="N511" s="122"/>
      <c r="O511" s="122"/>
      <c r="P511" s="122"/>
      <c r="Q511" s="122"/>
      <c r="R511" s="122"/>
      <c r="AL511" s="360"/>
      <c r="AM511" s="499"/>
    </row>
    <row r="512" spans="1:39" ht="12.75" customHeight="1" x14ac:dyDescent="0.25">
      <c r="A512" s="395"/>
      <c r="J512" s="122"/>
      <c r="K512" s="122"/>
      <c r="L512" s="122"/>
      <c r="M512" s="122"/>
      <c r="N512" s="122"/>
      <c r="O512" s="122"/>
      <c r="P512" s="122"/>
      <c r="Q512" s="122"/>
      <c r="R512" s="122"/>
      <c r="AL512" s="360"/>
      <c r="AM512" s="499"/>
    </row>
    <row r="513" spans="1:39" ht="12.75" customHeight="1" x14ac:dyDescent="0.25">
      <c r="A513" s="395"/>
      <c r="J513" s="122"/>
      <c r="K513" s="122"/>
      <c r="L513" s="122"/>
      <c r="M513" s="122"/>
      <c r="N513" s="122"/>
      <c r="O513" s="122"/>
      <c r="P513" s="122"/>
      <c r="Q513" s="122"/>
      <c r="R513" s="122"/>
      <c r="AL513" s="360"/>
      <c r="AM513" s="499"/>
    </row>
    <row r="514" spans="1:39" ht="12.75" customHeight="1" x14ac:dyDescent="0.25">
      <c r="A514" s="395"/>
      <c r="J514" s="122"/>
      <c r="K514" s="122"/>
      <c r="L514" s="122"/>
      <c r="M514" s="122"/>
      <c r="N514" s="122"/>
      <c r="O514" s="122"/>
      <c r="P514" s="122"/>
      <c r="Q514" s="122"/>
      <c r="R514" s="122"/>
      <c r="AL514" s="360"/>
      <c r="AM514" s="499"/>
    </row>
    <row r="515" spans="1:39" ht="12.75" customHeight="1" x14ac:dyDescent="0.25">
      <c r="A515" s="395"/>
      <c r="J515" s="122"/>
      <c r="K515" s="122"/>
      <c r="L515" s="122"/>
      <c r="M515" s="122"/>
      <c r="N515" s="122"/>
      <c r="O515" s="122"/>
      <c r="P515" s="122"/>
      <c r="Q515" s="122"/>
      <c r="R515" s="122"/>
      <c r="AL515" s="360"/>
      <c r="AM515" s="499"/>
    </row>
    <row r="516" spans="1:39" ht="12.75" customHeight="1" x14ac:dyDescent="0.25">
      <c r="A516" s="395"/>
      <c r="J516" s="122"/>
      <c r="K516" s="122"/>
      <c r="L516" s="122"/>
      <c r="M516" s="122"/>
      <c r="N516" s="122"/>
      <c r="O516" s="122"/>
      <c r="P516" s="122"/>
      <c r="Q516" s="122"/>
      <c r="R516" s="122"/>
      <c r="AL516" s="360"/>
      <c r="AM516" s="499"/>
    </row>
    <row r="517" spans="1:39" ht="12.75" customHeight="1" x14ac:dyDescent="0.25">
      <c r="A517" s="395"/>
      <c r="J517" s="122"/>
      <c r="K517" s="122"/>
      <c r="L517" s="122"/>
      <c r="M517" s="122"/>
      <c r="N517" s="122"/>
      <c r="O517" s="122"/>
      <c r="P517" s="122"/>
      <c r="Q517" s="122"/>
      <c r="R517" s="122"/>
      <c r="AL517" s="360"/>
      <c r="AM517" s="499"/>
    </row>
    <row r="518" spans="1:39" ht="12.75" customHeight="1" x14ac:dyDescent="0.25">
      <c r="A518" s="395"/>
      <c r="J518" s="122"/>
      <c r="K518" s="122"/>
      <c r="L518" s="122"/>
      <c r="M518" s="122"/>
      <c r="N518" s="122"/>
      <c r="O518" s="122"/>
      <c r="P518" s="122"/>
      <c r="Q518" s="122"/>
      <c r="R518" s="122"/>
      <c r="AL518" s="360"/>
      <c r="AM518" s="499"/>
    </row>
    <row r="519" spans="1:39" ht="12.75" customHeight="1" x14ac:dyDescent="0.25">
      <c r="A519" s="395"/>
      <c r="J519" s="122"/>
      <c r="K519" s="122"/>
      <c r="L519" s="122"/>
      <c r="M519" s="122"/>
      <c r="N519" s="122"/>
      <c r="O519" s="122"/>
      <c r="P519" s="122"/>
      <c r="Q519" s="122"/>
      <c r="R519" s="122"/>
      <c r="AL519" s="360"/>
      <c r="AM519" s="499"/>
    </row>
    <row r="520" spans="1:39" ht="12.75" customHeight="1" x14ac:dyDescent="0.25">
      <c r="A520" s="395"/>
      <c r="J520" s="122"/>
      <c r="K520" s="122"/>
      <c r="L520" s="122"/>
      <c r="M520" s="122"/>
      <c r="N520" s="122"/>
      <c r="O520" s="122"/>
      <c r="P520" s="122"/>
      <c r="Q520" s="122"/>
      <c r="R520" s="122"/>
      <c r="AL520" s="360"/>
      <c r="AM520" s="499"/>
    </row>
    <row r="521" spans="1:39" ht="12.75" customHeight="1" x14ac:dyDescent="0.25">
      <c r="A521" s="395"/>
      <c r="J521" s="122"/>
      <c r="K521" s="122"/>
      <c r="L521" s="122"/>
      <c r="M521" s="122"/>
      <c r="N521" s="122"/>
      <c r="O521" s="122"/>
      <c r="P521" s="122"/>
      <c r="Q521" s="122"/>
      <c r="R521" s="122"/>
      <c r="AL521" s="360"/>
      <c r="AM521" s="499"/>
    </row>
    <row r="522" spans="1:39" ht="12.75" customHeight="1" x14ac:dyDescent="0.25">
      <c r="A522" s="395"/>
      <c r="J522" s="122"/>
      <c r="K522" s="122"/>
      <c r="L522" s="122"/>
      <c r="M522" s="122"/>
      <c r="N522" s="122"/>
      <c r="O522" s="122"/>
      <c r="P522" s="122"/>
      <c r="Q522" s="122"/>
      <c r="R522" s="122"/>
      <c r="AL522" s="360"/>
      <c r="AM522" s="499"/>
    </row>
    <row r="523" spans="1:39" ht="12.75" customHeight="1" x14ac:dyDescent="0.25">
      <c r="A523" s="395"/>
      <c r="J523" s="122"/>
      <c r="K523" s="122"/>
      <c r="L523" s="122"/>
      <c r="M523" s="122"/>
      <c r="N523" s="122"/>
      <c r="O523" s="122"/>
      <c r="P523" s="122"/>
      <c r="Q523" s="122"/>
      <c r="R523" s="122"/>
      <c r="AL523" s="360"/>
      <c r="AM523" s="499"/>
    </row>
    <row r="524" spans="1:39" ht="12.75" customHeight="1" x14ac:dyDescent="0.25">
      <c r="A524" s="395"/>
      <c r="J524" s="122"/>
      <c r="K524" s="122"/>
      <c r="L524" s="122"/>
      <c r="M524" s="122"/>
      <c r="N524" s="122"/>
      <c r="O524" s="122"/>
      <c r="P524" s="122"/>
      <c r="Q524" s="122"/>
      <c r="R524" s="122"/>
      <c r="AL524" s="360"/>
      <c r="AM524" s="499"/>
    </row>
    <row r="525" spans="1:39" ht="12.75" customHeight="1" x14ac:dyDescent="0.25">
      <c r="A525" s="395"/>
      <c r="J525" s="122"/>
      <c r="K525" s="122"/>
      <c r="L525" s="122"/>
      <c r="M525" s="122"/>
      <c r="N525" s="122"/>
      <c r="O525" s="122"/>
      <c r="P525" s="122"/>
      <c r="Q525" s="122"/>
      <c r="R525" s="122"/>
      <c r="AL525" s="360"/>
      <c r="AM525" s="499"/>
    </row>
    <row r="526" spans="1:39" ht="12.75" customHeight="1" x14ac:dyDescent="0.25">
      <c r="A526" s="395"/>
      <c r="J526" s="122"/>
      <c r="K526" s="122"/>
      <c r="L526" s="122"/>
      <c r="M526" s="122"/>
      <c r="N526" s="122"/>
      <c r="O526" s="122"/>
      <c r="P526" s="122"/>
      <c r="Q526" s="122"/>
      <c r="R526" s="122"/>
      <c r="AL526" s="360"/>
      <c r="AM526" s="499"/>
    </row>
    <row r="527" spans="1:39" ht="12.75" customHeight="1" x14ac:dyDescent="0.25">
      <c r="A527" s="395"/>
      <c r="J527" s="122"/>
      <c r="K527" s="122"/>
      <c r="L527" s="122"/>
      <c r="M527" s="122"/>
      <c r="N527" s="122"/>
      <c r="O527" s="122"/>
      <c r="P527" s="122"/>
      <c r="Q527" s="122"/>
      <c r="R527" s="122"/>
      <c r="AL527" s="360"/>
      <c r="AM527" s="499"/>
    </row>
    <row r="528" spans="1:39" ht="12.75" customHeight="1" x14ac:dyDescent="0.25">
      <c r="A528" s="395"/>
      <c r="J528" s="122"/>
      <c r="K528" s="122"/>
      <c r="L528" s="122"/>
      <c r="M528" s="122"/>
      <c r="N528" s="122"/>
      <c r="O528" s="122"/>
      <c r="P528" s="122"/>
      <c r="Q528" s="122"/>
      <c r="R528" s="122"/>
      <c r="AL528" s="360"/>
      <c r="AM528" s="499"/>
    </row>
    <row r="529" spans="1:39" ht="12.75" customHeight="1" x14ac:dyDescent="0.25">
      <c r="A529" s="395"/>
      <c r="J529" s="122"/>
      <c r="K529" s="122"/>
      <c r="L529" s="122"/>
      <c r="M529" s="122"/>
      <c r="N529" s="122"/>
      <c r="O529" s="122"/>
      <c r="P529" s="122"/>
      <c r="Q529" s="122"/>
      <c r="R529" s="122"/>
      <c r="AL529" s="360"/>
      <c r="AM529" s="499"/>
    </row>
    <row r="530" spans="1:39" ht="12.75" customHeight="1" x14ac:dyDescent="0.25">
      <c r="A530" s="395"/>
      <c r="J530" s="122"/>
      <c r="K530" s="122"/>
      <c r="L530" s="122"/>
      <c r="M530" s="122"/>
      <c r="N530" s="122"/>
      <c r="O530" s="122"/>
      <c r="P530" s="122"/>
      <c r="Q530" s="122"/>
      <c r="R530" s="122"/>
      <c r="AL530" s="360"/>
      <c r="AM530" s="499"/>
    </row>
    <row r="531" spans="1:39" ht="12.75" customHeight="1" x14ac:dyDescent="0.25">
      <c r="A531" s="395"/>
      <c r="J531" s="122"/>
      <c r="K531" s="122"/>
      <c r="L531" s="122"/>
      <c r="M531" s="122"/>
      <c r="N531" s="122"/>
      <c r="O531" s="122"/>
      <c r="P531" s="122"/>
      <c r="Q531" s="122"/>
      <c r="R531" s="122"/>
      <c r="AL531" s="360"/>
      <c r="AM531" s="499"/>
    </row>
    <row r="532" spans="1:39" ht="12.75" customHeight="1" x14ac:dyDescent="0.25">
      <c r="A532" s="395"/>
      <c r="J532" s="122"/>
      <c r="K532" s="122"/>
      <c r="L532" s="122"/>
      <c r="M532" s="122"/>
      <c r="N532" s="122"/>
      <c r="O532" s="122"/>
      <c r="P532" s="122"/>
      <c r="Q532" s="122"/>
      <c r="R532" s="122"/>
      <c r="AL532" s="360"/>
      <c r="AM532" s="499"/>
    </row>
    <row r="533" spans="1:39" ht="12.75" customHeight="1" x14ac:dyDescent="0.25">
      <c r="A533" s="395"/>
      <c r="J533" s="122"/>
      <c r="K533" s="122"/>
      <c r="L533" s="122"/>
      <c r="M533" s="122"/>
      <c r="N533" s="122"/>
      <c r="O533" s="122"/>
      <c r="P533" s="122"/>
      <c r="Q533" s="122"/>
      <c r="R533" s="122"/>
      <c r="AL533" s="360"/>
      <c r="AM533" s="499"/>
    </row>
    <row r="534" spans="1:39" ht="12.75" customHeight="1" x14ac:dyDescent="0.25">
      <c r="A534" s="395"/>
      <c r="J534" s="122"/>
      <c r="K534" s="122"/>
      <c r="L534" s="122"/>
      <c r="M534" s="122"/>
      <c r="N534" s="122"/>
      <c r="O534" s="122"/>
      <c r="P534" s="122"/>
      <c r="Q534" s="122"/>
      <c r="R534" s="122"/>
      <c r="AL534" s="360"/>
      <c r="AM534" s="499"/>
    </row>
    <row r="535" spans="1:39" ht="12.75" customHeight="1" x14ac:dyDescent="0.25">
      <c r="A535" s="395"/>
      <c r="J535" s="122"/>
      <c r="K535" s="122"/>
      <c r="L535" s="122"/>
      <c r="M535" s="122"/>
      <c r="N535" s="122"/>
      <c r="O535" s="122"/>
      <c r="P535" s="122"/>
      <c r="Q535" s="122"/>
      <c r="R535" s="122"/>
      <c r="AL535" s="360"/>
      <c r="AM535" s="499"/>
    </row>
    <row r="536" spans="1:39" ht="12.75" customHeight="1" x14ac:dyDescent="0.25">
      <c r="A536" s="395"/>
      <c r="J536" s="122"/>
      <c r="K536" s="122"/>
      <c r="L536" s="122"/>
      <c r="M536" s="122"/>
      <c r="N536" s="122"/>
      <c r="O536" s="122"/>
      <c r="P536" s="122"/>
      <c r="Q536" s="122"/>
      <c r="R536" s="122"/>
      <c r="AL536" s="360"/>
      <c r="AM536" s="499"/>
    </row>
    <row r="537" spans="1:39" ht="12.75" customHeight="1" x14ac:dyDescent="0.25">
      <c r="A537" s="395"/>
      <c r="J537" s="122"/>
      <c r="K537" s="122"/>
      <c r="L537" s="122"/>
      <c r="M537" s="122"/>
      <c r="N537" s="122"/>
      <c r="O537" s="122"/>
      <c r="P537" s="122"/>
      <c r="Q537" s="122"/>
      <c r="R537" s="122"/>
      <c r="AL537" s="360"/>
      <c r="AM537" s="499"/>
    </row>
    <row r="538" spans="1:39" ht="12.75" customHeight="1" x14ac:dyDescent="0.25">
      <c r="A538" s="395"/>
      <c r="J538" s="122"/>
      <c r="K538" s="122"/>
      <c r="L538" s="122"/>
      <c r="M538" s="122"/>
      <c r="N538" s="122"/>
      <c r="O538" s="122"/>
      <c r="P538" s="122"/>
      <c r="Q538" s="122"/>
      <c r="R538" s="122"/>
      <c r="AL538" s="360"/>
      <c r="AM538" s="499"/>
    </row>
    <row r="539" spans="1:39" ht="12.75" customHeight="1" x14ac:dyDescent="0.25">
      <c r="A539" s="395"/>
      <c r="J539" s="122"/>
      <c r="K539" s="122"/>
      <c r="L539" s="122"/>
      <c r="M539" s="122"/>
      <c r="N539" s="122"/>
      <c r="O539" s="122"/>
      <c r="P539" s="122"/>
      <c r="Q539" s="122"/>
      <c r="R539" s="122"/>
      <c r="AL539" s="360"/>
      <c r="AM539" s="499"/>
    </row>
    <row r="540" spans="1:39" ht="12.75" customHeight="1" x14ac:dyDescent="0.25">
      <c r="A540" s="395"/>
      <c r="J540" s="122"/>
      <c r="K540" s="122"/>
      <c r="L540" s="122"/>
      <c r="M540" s="122"/>
      <c r="N540" s="122"/>
      <c r="O540" s="122"/>
      <c r="P540" s="122"/>
      <c r="Q540" s="122"/>
      <c r="R540" s="122"/>
      <c r="AL540" s="360"/>
      <c r="AM540" s="499"/>
    </row>
    <row r="541" spans="1:39" ht="12.75" customHeight="1" x14ac:dyDescent="0.25">
      <c r="A541" s="395"/>
      <c r="J541" s="122"/>
      <c r="K541" s="122"/>
      <c r="L541" s="122"/>
      <c r="M541" s="122"/>
      <c r="N541" s="122"/>
      <c r="O541" s="122"/>
      <c r="P541" s="122"/>
      <c r="Q541" s="122"/>
      <c r="R541" s="122"/>
      <c r="AL541" s="360"/>
      <c r="AM541" s="499"/>
    </row>
    <row r="542" spans="1:39" ht="12.75" customHeight="1" x14ac:dyDescent="0.25">
      <c r="A542" s="395"/>
      <c r="J542" s="122"/>
      <c r="K542" s="122"/>
      <c r="L542" s="122"/>
      <c r="M542" s="122"/>
      <c r="N542" s="122"/>
      <c r="O542" s="122"/>
      <c r="P542" s="122"/>
      <c r="Q542" s="122"/>
      <c r="R542" s="122"/>
      <c r="AL542" s="360"/>
      <c r="AM542" s="499"/>
    </row>
    <row r="543" spans="1:39" ht="12.75" customHeight="1" x14ac:dyDescent="0.25">
      <c r="A543" s="395"/>
      <c r="J543" s="122"/>
      <c r="K543" s="122"/>
      <c r="L543" s="122"/>
      <c r="M543" s="122"/>
      <c r="N543" s="122"/>
      <c r="O543" s="122"/>
      <c r="P543" s="122"/>
      <c r="Q543" s="122"/>
      <c r="R543" s="122"/>
      <c r="AL543" s="360"/>
      <c r="AM543" s="499"/>
    </row>
    <row r="544" spans="1:39" ht="12.75" customHeight="1" x14ac:dyDescent="0.25">
      <c r="A544" s="395"/>
      <c r="J544" s="122"/>
      <c r="K544" s="122"/>
      <c r="L544" s="122"/>
      <c r="M544" s="122"/>
      <c r="N544" s="122"/>
      <c r="O544" s="122"/>
      <c r="P544" s="122"/>
      <c r="Q544" s="122"/>
      <c r="R544" s="122"/>
      <c r="AL544" s="360"/>
      <c r="AM544" s="499"/>
    </row>
    <row r="545" spans="1:39" ht="12.75" customHeight="1" x14ac:dyDescent="0.25">
      <c r="A545" s="395"/>
      <c r="J545" s="122"/>
      <c r="K545" s="122"/>
      <c r="L545" s="122"/>
      <c r="M545" s="122"/>
      <c r="N545" s="122"/>
      <c r="O545" s="122"/>
      <c r="P545" s="122"/>
      <c r="Q545" s="122"/>
      <c r="R545" s="122"/>
      <c r="AL545" s="360"/>
      <c r="AM545" s="499"/>
    </row>
    <row r="546" spans="1:39" ht="12.75" customHeight="1" x14ac:dyDescent="0.25">
      <c r="A546" s="395"/>
      <c r="J546" s="122"/>
      <c r="K546" s="122"/>
      <c r="L546" s="122"/>
      <c r="M546" s="122"/>
      <c r="N546" s="122"/>
      <c r="O546" s="122"/>
      <c r="P546" s="122"/>
      <c r="Q546" s="122"/>
      <c r="R546" s="122"/>
      <c r="AL546" s="360"/>
      <c r="AM546" s="499"/>
    </row>
    <row r="547" spans="1:39" ht="12.75" customHeight="1" x14ac:dyDescent="0.25">
      <c r="A547" s="395"/>
      <c r="J547" s="122"/>
      <c r="K547" s="122"/>
      <c r="L547" s="122"/>
      <c r="M547" s="122"/>
      <c r="N547" s="122"/>
      <c r="O547" s="122"/>
      <c r="P547" s="122"/>
      <c r="Q547" s="122"/>
      <c r="R547" s="122"/>
      <c r="AL547" s="360"/>
      <c r="AM547" s="499"/>
    </row>
    <row r="548" spans="1:39" ht="12.75" customHeight="1" x14ac:dyDescent="0.25">
      <c r="A548" s="395"/>
      <c r="J548" s="122"/>
      <c r="K548" s="122"/>
      <c r="L548" s="122"/>
      <c r="M548" s="122"/>
      <c r="N548" s="122"/>
      <c r="O548" s="122"/>
      <c r="P548" s="122"/>
      <c r="Q548" s="122"/>
      <c r="R548" s="122"/>
      <c r="AL548" s="360"/>
      <c r="AM548" s="499"/>
    </row>
    <row r="549" spans="1:39" ht="12.75" customHeight="1" x14ac:dyDescent="0.25">
      <c r="A549" s="395"/>
      <c r="J549" s="122"/>
      <c r="K549" s="122"/>
      <c r="L549" s="122"/>
      <c r="M549" s="122"/>
      <c r="N549" s="122"/>
      <c r="O549" s="122"/>
      <c r="P549" s="122"/>
      <c r="Q549" s="122"/>
      <c r="R549" s="122"/>
      <c r="AL549" s="360"/>
      <c r="AM549" s="499"/>
    </row>
    <row r="550" spans="1:39" ht="12.75" customHeight="1" x14ac:dyDescent="0.25">
      <c r="A550" s="395"/>
      <c r="J550" s="122"/>
      <c r="K550" s="122"/>
      <c r="L550" s="122"/>
      <c r="M550" s="122"/>
      <c r="N550" s="122"/>
      <c r="O550" s="122"/>
      <c r="P550" s="122"/>
      <c r="Q550" s="122"/>
      <c r="R550" s="122"/>
      <c r="AL550" s="360"/>
      <c r="AM550" s="499"/>
    </row>
    <row r="551" spans="1:39" ht="12.75" customHeight="1" x14ac:dyDescent="0.25">
      <c r="A551" s="395"/>
      <c r="J551" s="122"/>
      <c r="K551" s="122"/>
      <c r="L551" s="122"/>
      <c r="M551" s="122"/>
      <c r="N551" s="122"/>
      <c r="O551" s="122"/>
      <c r="P551" s="122"/>
      <c r="Q551" s="122"/>
      <c r="R551" s="122"/>
      <c r="AL551" s="360"/>
      <c r="AM551" s="499"/>
    </row>
    <row r="552" spans="1:39" ht="12.75" customHeight="1" x14ac:dyDescent="0.25">
      <c r="A552" s="395"/>
      <c r="J552" s="122"/>
      <c r="K552" s="122"/>
      <c r="L552" s="122"/>
      <c r="M552" s="122"/>
      <c r="N552" s="122"/>
      <c r="O552" s="122"/>
      <c r="P552" s="122"/>
      <c r="Q552" s="122"/>
      <c r="R552" s="122"/>
      <c r="AL552" s="360"/>
      <c r="AM552" s="499"/>
    </row>
    <row r="553" spans="1:39" ht="12.75" customHeight="1" x14ac:dyDescent="0.25">
      <c r="A553" s="395"/>
      <c r="J553" s="122"/>
      <c r="K553" s="122"/>
      <c r="L553" s="122"/>
      <c r="M553" s="122"/>
      <c r="N553" s="122"/>
      <c r="O553" s="122"/>
      <c r="P553" s="122"/>
      <c r="Q553" s="122"/>
      <c r="R553" s="122"/>
      <c r="AL553" s="360"/>
      <c r="AM553" s="499"/>
    </row>
    <row r="554" spans="1:39" ht="12.75" customHeight="1" x14ac:dyDescent="0.25">
      <c r="A554" s="395"/>
      <c r="J554" s="122"/>
      <c r="K554" s="122"/>
      <c r="L554" s="122"/>
      <c r="M554" s="122"/>
      <c r="N554" s="122"/>
      <c r="O554" s="122"/>
      <c r="P554" s="122"/>
      <c r="Q554" s="122"/>
      <c r="R554" s="122"/>
      <c r="AL554" s="360"/>
      <c r="AM554" s="499"/>
    </row>
    <row r="555" spans="1:39" ht="12.75" customHeight="1" x14ac:dyDescent="0.25">
      <c r="A555" s="395"/>
      <c r="J555" s="122"/>
      <c r="K555" s="122"/>
      <c r="L555" s="122"/>
      <c r="M555" s="122"/>
      <c r="N555" s="122"/>
      <c r="O555" s="122"/>
      <c r="P555" s="122"/>
      <c r="Q555" s="122"/>
      <c r="R555" s="122"/>
      <c r="AL555" s="360"/>
      <c r="AM555" s="499"/>
    </row>
    <row r="556" spans="1:39" ht="12.75" customHeight="1" x14ac:dyDescent="0.25">
      <c r="A556" s="395"/>
      <c r="J556" s="122"/>
      <c r="K556" s="122"/>
      <c r="L556" s="122"/>
      <c r="M556" s="122"/>
      <c r="N556" s="122"/>
      <c r="O556" s="122"/>
      <c r="P556" s="122"/>
      <c r="Q556" s="122"/>
      <c r="R556" s="122"/>
      <c r="AL556" s="360"/>
      <c r="AM556" s="499"/>
    </row>
    <row r="557" spans="1:39" ht="12.75" customHeight="1" x14ac:dyDescent="0.25">
      <c r="A557" s="395"/>
      <c r="J557" s="122"/>
      <c r="K557" s="122"/>
      <c r="L557" s="122"/>
      <c r="M557" s="122"/>
      <c r="N557" s="122"/>
      <c r="O557" s="122"/>
      <c r="P557" s="122"/>
      <c r="Q557" s="122"/>
      <c r="R557" s="122"/>
      <c r="AL557" s="360"/>
      <c r="AM557" s="499"/>
    </row>
    <row r="558" spans="1:39" ht="12.75" customHeight="1" x14ac:dyDescent="0.25">
      <c r="A558" s="395"/>
      <c r="J558" s="122"/>
      <c r="K558" s="122"/>
      <c r="L558" s="122"/>
      <c r="M558" s="122"/>
      <c r="N558" s="122"/>
      <c r="O558" s="122"/>
      <c r="P558" s="122"/>
      <c r="Q558" s="122"/>
      <c r="R558" s="122"/>
      <c r="AL558" s="360"/>
      <c r="AM558" s="499"/>
    </row>
    <row r="559" spans="1:39" ht="12.75" customHeight="1" x14ac:dyDescent="0.25">
      <c r="A559" s="395"/>
      <c r="J559" s="122"/>
      <c r="K559" s="122"/>
      <c r="L559" s="122"/>
      <c r="M559" s="122"/>
      <c r="N559" s="122"/>
      <c r="O559" s="122"/>
      <c r="P559" s="122"/>
      <c r="Q559" s="122"/>
      <c r="R559" s="122"/>
      <c r="AL559" s="360"/>
      <c r="AM559" s="499"/>
    </row>
    <row r="560" spans="1:39" ht="12.75" customHeight="1" x14ac:dyDescent="0.25">
      <c r="A560" s="395"/>
      <c r="J560" s="122"/>
      <c r="K560" s="122"/>
      <c r="L560" s="122"/>
      <c r="M560" s="122"/>
      <c r="N560" s="122"/>
      <c r="O560" s="122"/>
      <c r="P560" s="122"/>
      <c r="Q560" s="122"/>
      <c r="R560" s="122"/>
      <c r="AL560" s="360"/>
      <c r="AM560" s="499"/>
    </row>
    <row r="561" spans="1:39" ht="12.75" customHeight="1" x14ac:dyDescent="0.25">
      <c r="A561" s="395"/>
      <c r="J561" s="122"/>
      <c r="K561" s="122"/>
      <c r="L561" s="122"/>
      <c r="M561" s="122"/>
      <c r="N561" s="122"/>
      <c r="O561" s="122"/>
      <c r="P561" s="122"/>
      <c r="Q561" s="122"/>
      <c r="R561" s="122"/>
      <c r="AL561" s="360"/>
      <c r="AM561" s="499"/>
    </row>
    <row r="562" spans="1:39" ht="12.75" customHeight="1" x14ac:dyDescent="0.25">
      <c r="A562" s="395"/>
      <c r="J562" s="122"/>
      <c r="K562" s="122"/>
      <c r="L562" s="122"/>
      <c r="M562" s="122"/>
      <c r="N562" s="122"/>
      <c r="O562" s="122"/>
      <c r="P562" s="122"/>
      <c r="Q562" s="122"/>
      <c r="R562" s="122"/>
      <c r="AL562" s="360"/>
      <c r="AM562" s="499"/>
    </row>
    <row r="563" spans="1:39" ht="12.75" customHeight="1" x14ac:dyDescent="0.25">
      <c r="A563" s="395"/>
      <c r="J563" s="122"/>
      <c r="K563" s="122"/>
      <c r="L563" s="122"/>
      <c r="M563" s="122"/>
      <c r="N563" s="122"/>
      <c r="O563" s="122"/>
      <c r="P563" s="122"/>
      <c r="Q563" s="122"/>
      <c r="R563" s="122"/>
      <c r="AL563" s="360"/>
      <c r="AM563" s="499"/>
    </row>
    <row r="564" spans="1:39" ht="12.75" customHeight="1" x14ac:dyDescent="0.25">
      <c r="A564" s="395"/>
      <c r="J564" s="122"/>
      <c r="K564" s="122"/>
      <c r="L564" s="122"/>
      <c r="M564" s="122"/>
      <c r="N564" s="122"/>
      <c r="O564" s="122"/>
      <c r="P564" s="122"/>
      <c r="Q564" s="122"/>
      <c r="R564" s="122"/>
      <c r="AL564" s="360"/>
      <c r="AM564" s="499"/>
    </row>
    <row r="565" spans="1:39" ht="12.75" customHeight="1" x14ac:dyDescent="0.25">
      <c r="A565" s="395"/>
      <c r="J565" s="122"/>
      <c r="K565" s="122"/>
      <c r="L565" s="122"/>
      <c r="M565" s="122"/>
      <c r="N565" s="122"/>
      <c r="O565" s="122"/>
      <c r="P565" s="122"/>
      <c r="Q565" s="122"/>
      <c r="R565" s="122"/>
      <c r="AL565" s="360"/>
      <c r="AM565" s="499"/>
    </row>
    <row r="566" spans="1:39" ht="12.75" customHeight="1" x14ac:dyDescent="0.25">
      <c r="A566" s="395"/>
      <c r="J566" s="122"/>
      <c r="K566" s="122"/>
      <c r="L566" s="122"/>
      <c r="M566" s="122"/>
      <c r="N566" s="122"/>
      <c r="O566" s="122"/>
      <c r="P566" s="122"/>
      <c r="Q566" s="122"/>
      <c r="R566" s="122"/>
      <c r="AL566" s="360"/>
      <c r="AM566" s="499"/>
    </row>
    <row r="567" spans="1:39" ht="12.75" customHeight="1" x14ac:dyDescent="0.25">
      <c r="A567" s="395"/>
      <c r="J567" s="122"/>
      <c r="K567" s="122"/>
      <c r="L567" s="122"/>
      <c r="M567" s="122"/>
      <c r="N567" s="122"/>
      <c r="O567" s="122"/>
      <c r="P567" s="122"/>
      <c r="Q567" s="122"/>
      <c r="R567" s="122"/>
      <c r="AL567" s="360"/>
      <c r="AM567" s="499"/>
    </row>
    <row r="568" spans="1:39" ht="12.75" customHeight="1" x14ac:dyDescent="0.25">
      <c r="A568" s="395"/>
      <c r="J568" s="122"/>
      <c r="K568" s="122"/>
      <c r="L568" s="122"/>
      <c r="M568" s="122"/>
      <c r="N568" s="122"/>
      <c r="O568" s="122"/>
      <c r="P568" s="122"/>
      <c r="Q568" s="122"/>
      <c r="R568" s="122"/>
      <c r="AL568" s="360"/>
      <c r="AM568" s="499"/>
    </row>
    <row r="569" spans="1:39" ht="12.75" customHeight="1" x14ac:dyDescent="0.25">
      <c r="A569" s="395"/>
      <c r="J569" s="122"/>
      <c r="K569" s="122"/>
      <c r="L569" s="122"/>
      <c r="M569" s="122"/>
      <c r="N569" s="122"/>
      <c r="O569" s="122"/>
      <c r="P569" s="122"/>
      <c r="Q569" s="122"/>
      <c r="R569" s="122"/>
      <c r="AL569" s="360"/>
      <c r="AM569" s="499"/>
    </row>
    <row r="570" spans="1:39" ht="12.75" customHeight="1" x14ac:dyDescent="0.25">
      <c r="A570" s="395"/>
      <c r="J570" s="122"/>
      <c r="K570" s="122"/>
      <c r="L570" s="122"/>
      <c r="M570" s="122"/>
      <c r="N570" s="122"/>
      <c r="O570" s="122"/>
      <c r="P570" s="122"/>
      <c r="Q570" s="122"/>
      <c r="R570" s="122"/>
      <c r="AL570" s="360"/>
      <c r="AM570" s="499"/>
    </row>
    <row r="571" spans="1:39" ht="12.75" customHeight="1" x14ac:dyDescent="0.25">
      <c r="A571" s="395"/>
      <c r="J571" s="122"/>
      <c r="K571" s="122"/>
      <c r="L571" s="122"/>
      <c r="M571" s="122"/>
      <c r="N571" s="122"/>
      <c r="O571" s="122"/>
      <c r="P571" s="122"/>
      <c r="Q571" s="122"/>
      <c r="R571" s="122"/>
      <c r="AL571" s="360"/>
      <c r="AM571" s="499"/>
    </row>
    <row r="572" spans="1:39" ht="12.75" customHeight="1" x14ac:dyDescent="0.25">
      <c r="A572" s="395"/>
      <c r="J572" s="122"/>
      <c r="K572" s="122"/>
      <c r="L572" s="122"/>
      <c r="M572" s="122"/>
      <c r="N572" s="122"/>
      <c r="O572" s="122"/>
      <c r="P572" s="122"/>
      <c r="Q572" s="122"/>
      <c r="R572" s="122"/>
      <c r="AL572" s="360"/>
      <c r="AM572" s="499"/>
    </row>
    <row r="573" spans="1:39" ht="12.75" customHeight="1" x14ac:dyDescent="0.25">
      <c r="A573" s="395"/>
      <c r="J573" s="122"/>
      <c r="K573" s="122"/>
      <c r="L573" s="122"/>
      <c r="M573" s="122"/>
      <c r="N573" s="122"/>
      <c r="O573" s="122"/>
      <c r="P573" s="122"/>
      <c r="Q573" s="122"/>
      <c r="R573" s="122"/>
      <c r="AL573" s="360"/>
      <c r="AM573" s="499"/>
    </row>
    <row r="574" spans="1:39" ht="12.75" customHeight="1" x14ac:dyDescent="0.25">
      <c r="A574" s="395"/>
      <c r="J574" s="122"/>
      <c r="K574" s="122"/>
      <c r="L574" s="122"/>
      <c r="M574" s="122"/>
      <c r="N574" s="122"/>
      <c r="O574" s="122"/>
      <c r="P574" s="122"/>
      <c r="Q574" s="122"/>
      <c r="R574" s="122"/>
      <c r="AL574" s="360"/>
      <c r="AM574" s="499"/>
    </row>
    <row r="575" spans="1:39" ht="12.75" customHeight="1" x14ac:dyDescent="0.25">
      <c r="A575" s="395"/>
      <c r="J575" s="122"/>
      <c r="K575" s="122"/>
      <c r="L575" s="122"/>
      <c r="M575" s="122"/>
      <c r="N575" s="122"/>
      <c r="O575" s="122"/>
      <c r="P575" s="122"/>
      <c r="Q575" s="122"/>
      <c r="R575" s="122"/>
      <c r="AL575" s="360"/>
      <c r="AM575" s="499"/>
    </row>
    <row r="576" spans="1:39" ht="12.75" customHeight="1" x14ac:dyDescent="0.25">
      <c r="A576" s="395"/>
      <c r="J576" s="122"/>
      <c r="K576" s="122"/>
      <c r="L576" s="122"/>
      <c r="M576" s="122"/>
      <c r="N576" s="122"/>
      <c r="O576" s="122"/>
      <c r="P576" s="122"/>
      <c r="Q576" s="122"/>
      <c r="R576" s="122"/>
      <c r="AL576" s="360"/>
      <c r="AM576" s="499"/>
    </row>
    <row r="577" spans="1:39" ht="12.75" customHeight="1" x14ac:dyDescent="0.25">
      <c r="A577" s="395"/>
      <c r="J577" s="122"/>
      <c r="K577" s="122"/>
      <c r="L577" s="122"/>
      <c r="M577" s="122"/>
      <c r="N577" s="122"/>
      <c r="O577" s="122"/>
      <c r="P577" s="122"/>
      <c r="Q577" s="122"/>
      <c r="R577" s="122"/>
      <c r="AL577" s="360"/>
      <c r="AM577" s="499"/>
    </row>
    <row r="578" spans="1:39" ht="12.75" customHeight="1" x14ac:dyDescent="0.25">
      <c r="A578" s="395"/>
      <c r="J578" s="122"/>
      <c r="K578" s="122"/>
      <c r="L578" s="122"/>
      <c r="M578" s="122"/>
      <c r="N578" s="122"/>
      <c r="O578" s="122"/>
      <c r="P578" s="122"/>
      <c r="Q578" s="122"/>
      <c r="R578" s="122"/>
      <c r="AL578" s="360"/>
      <c r="AM578" s="499"/>
    </row>
    <row r="579" spans="1:39" ht="12.75" customHeight="1" x14ac:dyDescent="0.25">
      <c r="A579" s="395"/>
      <c r="J579" s="122"/>
      <c r="K579" s="122"/>
      <c r="L579" s="122"/>
      <c r="M579" s="122"/>
      <c r="N579" s="122"/>
      <c r="O579" s="122"/>
      <c r="P579" s="122"/>
      <c r="Q579" s="122"/>
      <c r="R579" s="122"/>
      <c r="AL579" s="360"/>
      <c r="AM579" s="499"/>
    </row>
    <row r="580" spans="1:39" ht="12.75" customHeight="1" x14ac:dyDescent="0.25">
      <c r="A580" s="395"/>
      <c r="J580" s="122"/>
      <c r="K580" s="122"/>
      <c r="L580" s="122"/>
      <c r="M580" s="122"/>
      <c r="N580" s="122"/>
      <c r="O580" s="122"/>
      <c r="P580" s="122"/>
      <c r="Q580" s="122"/>
      <c r="R580" s="122"/>
      <c r="AL580" s="360"/>
      <c r="AM580" s="499"/>
    </row>
    <row r="581" spans="1:39" ht="12.75" customHeight="1" x14ac:dyDescent="0.25">
      <c r="A581" s="395"/>
      <c r="J581" s="122"/>
      <c r="K581" s="122"/>
      <c r="L581" s="122"/>
      <c r="M581" s="122"/>
      <c r="N581" s="122"/>
      <c r="O581" s="122"/>
      <c r="P581" s="122"/>
      <c r="Q581" s="122"/>
      <c r="R581" s="122"/>
      <c r="AL581" s="360"/>
      <c r="AM581" s="499"/>
    </row>
    <row r="582" spans="1:39" ht="12.75" customHeight="1" x14ac:dyDescent="0.25">
      <c r="A582" s="395"/>
      <c r="J582" s="122"/>
      <c r="K582" s="122"/>
      <c r="L582" s="122"/>
      <c r="M582" s="122"/>
      <c r="N582" s="122"/>
      <c r="O582" s="122"/>
      <c r="P582" s="122"/>
      <c r="Q582" s="122"/>
      <c r="R582" s="122"/>
      <c r="AL582" s="360"/>
      <c r="AM582" s="499"/>
    </row>
    <row r="583" spans="1:39" ht="12.75" customHeight="1" x14ac:dyDescent="0.25">
      <c r="A583" s="395"/>
      <c r="J583" s="122"/>
      <c r="K583" s="122"/>
      <c r="L583" s="122"/>
      <c r="M583" s="122"/>
      <c r="N583" s="122"/>
      <c r="O583" s="122"/>
      <c r="P583" s="122"/>
      <c r="Q583" s="122"/>
      <c r="R583" s="122"/>
      <c r="AL583" s="360"/>
      <c r="AM583" s="499"/>
    </row>
    <row r="584" spans="1:39" ht="12.75" customHeight="1" x14ac:dyDescent="0.25">
      <c r="A584" s="395"/>
      <c r="J584" s="122"/>
      <c r="K584" s="122"/>
      <c r="L584" s="122"/>
      <c r="M584" s="122"/>
      <c r="N584" s="122"/>
      <c r="O584" s="122"/>
      <c r="P584" s="122"/>
      <c r="Q584" s="122"/>
      <c r="R584" s="122"/>
      <c r="AL584" s="360"/>
      <c r="AM584" s="499"/>
    </row>
    <row r="585" spans="1:39" ht="12.75" customHeight="1" x14ac:dyDescent="0.25">
      <c r="A585" s="395"/>
      <c r="J585" s="122"/>
      <c r="K585" s="122"/>
      <c r="L585" s="122"/>
      <c r="M585" s="122"/>
      <c r="N585" s="122"/>
      <c r="O585" s="122"/>
      <c r="P585" s="122"/>
      <c r="Q585" s="122"/>
      <c r="R585" s="122"/>
      <c r="AL585" s="360"/>
      <c r="AM585" s="499"/>
    </row>
    <row r="586" spans="1:39" ht="12.75" customHeight="1" x14ac:dyDescent="0.25">
      <c r="A586" s="395"/>
      <c r="J586" s="122"/>
      <c r="K586" s="122"/>
      <c r="L586" s="122"/>
      <c r="M586" s="122"/>
      <c r="N586" s="122"/>
      <c r="O586" s="122"/>
      <c r="P586" s="122"/>
      <c r="Q586" s="122"/>
      <c r="R586" s="122"/>
      <c r="AL586" s="360"/>
      <c r="AM586" s="499"/>
    </row>
    <row r="587" spans="1:39" ht="12.75" customHeight="1" x14ac:dyDescent="0.25">
      <c r="A587" s="395"/>
      <c r="J587" s="122"/>
      <c r="K587" s="122"/>
      <c r="L587" s="122"/>
      <c r="M587" s="122"/>
      <c r="N587" s="122"/>
      <c r="O587" s="122"/>
      <c r="P587" s="122"/>
      <c r="Q587" s="122"/>
      <c r="R587" s="122"/>
      <c r="AL587" s="360"/>
      <c r="AM587" s="499"/>
    </row>
    <row r="588" spans="1:39" ht="12.75" customHeight="1" x14ac:dyDescent="0.25">
      <c r="A588" s="395"/>
      <c r="J588" s="122"/>
      <c r="K588" s="122"/>
      <c r="L588" s="122"/>
      <c r="M588" s="122"/>
      <c r="N588" s="122"/>
      <c r="O588" s="122"/>
      <c r="P588" s="122"/>
      <c r="Q588" s="122"/>
      <c r="R588" s="122"/>
      <c r="AL588" s="360"/>
      <c r="AM588" s="499"/>
    </row>
    <row r="589" spans="1:39" ht="12.75" customHeight="1" x14ac:dyDescent="0.25">
      <c r="A589" s="395"/>
      <c r="J589" s="122"/>
      <c r="K589" s="122"/>
      <c r="L589" s="122"/>
      <c r="M589" s="122"/>
      <c r="N589" s="122"/>
      <c r="O589" s="122"/>
      <c r="P589" s="122"/>
      <c r="Q589" s="122"/>
      <c r="R589" s="122"/>
      <c r="AL589" s="360"/>
      <c r="AM589" s="499"/>
    </row>
    <row r="590" spans="1:39" ht="12.75" customHeight="1" x14ac:dyDescent="0.25">
      <c r="A590" s="395"/>
      <c r="J590" s="122"/>
      <c r="K590" s="122"/>
      <c r="L590" s="122"/>
      <c r="M590" s="122"/>
      <c r="N590" s="122"/>
      <c r="O590" s="122"/>
      <c r="P590" s="122"/>
      <c r="Q590" s="122"/>
      <c r="R590" s="122"/>
      <c r="AL590" s="360"/>
      <c r="AM590" s="499"/>
    </row>
    <row r="591" spans="1:39" ht="12.75" customHeight="1" x14ac:dyDescent="0.25">
      <c r="A591" s="395"/>
      <c r="J591" s="122"/>
      <c r="K591" s="122"/>
      <c r="L591" s="122"/>
      <c r="M591" s="122"/>
      <c r="N591" s="122"/>
      <c r="O591" s="122"/>
      <c r="P591" s="122"/>
      <c r="Q591" s="122"/>
      <c r="R591" s="122"/>
      <c r="AL591" s="360"/>
      <c r="AM591" s="499"/>
    </row>
    <row r="592" spans="1:39" ht="12.75" customHeight="1" x14ac:dyDescent="0.25">
      <c r="A592" s="395"/>
      <c r="J592" s="122"/>
      <c r="K592" s="122"/>
      <c r="L592" s="122"/>
      <c r="M592" s="122"/>
      <c r="N592" s="122"/>
      <c r="O592" s="122"/>
      <c r="P592" s="122"/>
      <c r="Q592" s="122"/>
      <c r="R592" s="122"/>
      <c r="AL592" s="360"/>
      <c r="AM592" s="499"/>
    </row>
    <row r="593" spans="1:39" ht="12.75" customHeight="1" x14ac:dyDescent="0.25">
      <c r="A593" s="395"/>
      <c r="J593" s="122"/>
      <c r="K593" s="122"/>
      <c r="L593" s="122"/>
      <c r="M593" s="122"/>
      <c r="N593" s="122"/>
      <c r="O593" s="122"/>
      <c r="P593" s="122"/>
      <c r="Q593" s="122"/>
      <c r="R593" s="122"/>
      <c r="AL593" s="360"/>
      <c r="AM593" s="499"/>
    </row>
    <row r="594" spans="1:39" ht="12.75" customHeight="1" x14ac:dyDescent="0.25">
      <c r="A594" s="395"/>
      <c r="J594" s="122"/>
      <c r="K594" s="122"/>
      <c r="L594" s="122"/>
      <c r="M594" s="122"/>
      <c r="N594" s="122"/>
      <c r="O594" s="122"/>
      <c r="P594" s="122"/>
      <c r="Q594" s="122"/>
      <c r="R594" s="122"/>
      <c r="AL594" s="360"/>
      <c r="AM594" s="499"/>
    </row>
    <row r="595" spans="1:39" ht="12.75" customHeight="1" x14ac:dyDescent="0.25">
      <c r="A595" s="395"/>
      <c r="J595" s="122"/>
      <c r="K595" s="122"/>
      <c r="L595" s="122"/>
      <c r="M595" s="122"/>
      <c r="N595" s="122"/>
      <c r="O595" s="122"/>
      <c r="P595" s="122"/>
      <c r="Q595" s="122"/>
      <c r="R595" s="122"/>
      <c r="AL595" s="360"/>
      <c r="AM595" s="499"/>
    </row>
    <row r="596" spans="1:39" ht="12.75" customHeight="1" x14ac:dyDescent="0.25">
      <c r="A596" s="395"/>
      <c r="J596" s="122"/>
      <c r="K596" s="122"/>
      <c r="L596" s="122"/>
      <c r="M596" s="122"/>
      <c r="N596" s="122"/>
      <c r="O596" s="122"/>
      <c r="P596" s="122"/>
      <c r="Q596" s="122"/>
      <c r="R596" s="122"/>
      <c r="AL596" s="360"/>
      <c r="AM596" s="499"/>
    </row>
    <row r="597" spans="1:39" ht="12.75" customHeight="1" x14ac:dyDescent="0.25">
      <c r="A597" s="395"/>
      <c r="J597" s="122"/>
      <c r="K597" s="122"/>
      <c r="L597" s="122"/>
      <c r="M597" s="122"/>
      <c r="N597" s="122"/>
      <c r="O597" s="122"/>
      <c r="P597" s="122"/>
      <c r="Q597" s="122"/>
      <c r="R597" s="122"/>
      <c r="AL597" s="360"/>
      <c r="AM597" s="499"/>
    </row>
    <row r="598" spans="1:39" ht="12.75" customHeight="1" x14ac:dyDescent="0.25">
      <c r="A598" s="395"/>
      <c r="J598" s="122"/>
      <c r="K598" s="122"/>
      <c r="L598" s="122"/>
      <c r="M598" s="122"/>
      <c r="N598" s="122"/>
      <c r="O598" s="122"/>
      <c r="P598" s="122"/>
      <c r="Q598" s="122"/>
      <c r="R598" s="122"/>
      <c r="AL598" s="360"/>
      <c r="AM598" s="499"/>
    </row>
    <row r="599" spans="1:39" ht="12.75" customHeight="1" x14ac:dyDescent="0.25">
      <c r="A599" s="395"/>
      <c r="J599" s="122"/>
      <c r="K599" s="122"/>
      <c r="L599" s="122"/>
      <c r="M599" s="122"/>
      <c r="N599" s="122"/>
      <c r="O599" s="122"/>
      <c r="P599" s="122"/>
      <c r="Q599" s="122"/>
      <c r="R599" s="122"/>
      <c r="AL599" s="360"/>
      <c r="AM599" s="499"/>
    </row>
    <row r="600" spans="1:39" ht="12.75" customHeight="1" x14ac:dyDescent="0.25">
      <c r="A600" s="395"/>
      <c r="J600" s="122"/>
      <c r="K600" s="122"/>
      <c r="L600" s="122"/>
      <c r="M600" s="122"/>
      <c r="N600" s="122"/>
      <c r="O600" s="122"/>
      <c r="P600" s="122"/>
      <c r="Q600" s="122"/>
      <c r="R600" s="122"/>
      <c r="AL600" s="360"/>
      <c r="AM600" s="499"/>
    </row>
    <row r="601" spans="1:39" ht="12.75" customHeight="1" x14ac:dyDescent="0.25">
      <c r="A601" s="395"/>
      <c r="J601" s="122"/>
      <c r="K601" s="122"/>
      <c r="L601" s="122"/>
      <c r="M601" s="122"/>
      <c r="N601" s="122"/>
      <c r="O601" s="122"/>
      <c r="P601" s="122"/>
      <c r="Q601" s="122"/>
      <c r="R601" s="122"/>
      <c r="AL601" s="360"/>
      <c r="AM601" s="499"/>
    </row>
    <row r="602" spans="1:39" ht="12.75" customHeight="1" x14ac:dyDescent="0.25">
      <c r="A602" s="395"/>
      <c r="J602" s="122"/>
      <c r="K602" s="122"/>
      <c r="L602" s="122"/>
      <c r="M602" s="122"/>
      <c r="N602" s="122"/>
      <c r="O602" s="122"/>
      <c r="P602" s="122"/>
      <c r="Q602" s="122"/>
      <c r="R602" s="122"/>
      <c r="AL602" s="360"/>
      <c r="AM602" s="499"/>
    </row>
    <row r="603" spans="1:39" ht="12.75" customHeight="1" x14ac:dyDescent="0.25">
      <c r="A603" s="395"/>
      <c r="J603" s="122"/>
      <c r="K603" s="122"/>
      <c r="L603" s="122"/>
      <c r="M603" s="122"/>
      <c r="N603" s="122"/>
      <c r="O603" s="122"/>
      <c r="P603" s="122"/>
      <c r="Q603" s="122"/>
      <c r="R603" s="122"/>
      <c r="AL603" s="360"/>
      <c r="AM603" s="499"/>
    </row>
    <row r="604" spans="1:39" ht="12.75" customHeight="1" x14ac:dyDescent="0.25">
      <c r="A604" s="395"/>
      <c r="J604" s="122"/>
      <c r="K604" s="122"/>
      <c r="L604" s="122"/>
      <c r="M604" s="122"/>
      <c r="N604" s="122"/>
      <c r="O604" s="122"/>
      <c r="P604" s="122"/>
      <c r="Q604" s="122"/>
      <c r="R604" s="122"/>
      <c r="AL604" s="360"/>
      <c r="AM604" s="499"/>
    </row>
    <row r="605" spans="1:39" ht="12.75" customHeight="1" x14ac:dyDescent="0.25">
      <c r="A605" s="395"/>
      <c r="J605" s="122"/>
      <c r="K605" s="122"/>
      <c r="L605" s="122"/>
      <c r="M605" s="122"/>
      <c r="N605" s="122"/>
      <c r="O605" s="122"/>
      <c r="P605" s="122"/>
      <c r="Q605" s="122"/>
      <c r="R605" s="122"/>
      <c r="AL605" s="360"/>
      <c r="AM605" s="499"/>
    </row>
    <row r="606" spans="1:39" ht="12.75" customHeight="1" x14ac:dyDescent="0.25">
      <c r="A606" s="395"/>
      <c r="J606" s="122"/>
      <c r="K606" s="122"/>
      <c r="L606" s="122"/>
      <c r="M606" s="122"/>
      <c r="N606" s="122"/>
      <c r="O606" s="122"/>
      <c r="P606" s="122"/>
      <c r="Q606" s="122"/>
      <c r="R606" s="122"/>
      <c r="AL606" s="360"/>
      <c r="AM606" s="499"/>
    </row>
    <row r="607" spans="1:39" ht="12.75" customHeight="1" x14ac:dyDescent="0.25">
      <c r="A607" s="395"/>
      <c r="J607" s="122"/>
      <c r="K607" s="122"/>
      <c r="L607" s="122"/>
      <c r="M607" s="122"/>
      <c r="N607" s="122"/>
      <c r="O607" s="122"/>
      <c r="P607" s="122"/>
      <c r="Q607" s="122"/>
      <c r="R607" s="122"/>
      <c r="AL607" s="360"/>
      <c r="AM607" s="499"/>
    </row>
    <row r="608" spans="1:39" ht="12.75" customHeight="1" x14ac:dyDescent="0.25">
      <c r="A608" s="395"/>
      <c r="J608" s="122"/>
      <c r="K608" s="122"/>
      <c r="L608" s="122"/>
      <c r="M608" s="122"/>
      <c r="N608" s="122"/>
      <c r="O608" s="122"/>
      <c r="P608" s="122"/>
      <c r="Q608" s="122"/>
      <c r="R608" s="122"/>
      <c r="AL608" s="360"/>
      <c r="AM608" s="499"/>
    </row>
    <row r="609" spans="1:39" ht="12.75" customHeight="1" x14ac:dyDescent="0.25">
      <c r="A609" s="395"/>
      <c r="J609" s="122"/>
      <c r="K609" s="122"/>
      <c r="L609" s="122"/>
      <c r="M609" s="122"/>
      <c r="N609" s="122"/>
      <c r="O609" s="122"/>
      <c r="P609" s="122"/>
      <c r="Q609" s="122"/>
      <c r="R609" s="122"/>
      <c r="AL609" s="360"/>
      <c r="AM609" s="499"/>
    </row>
    <row r="610" spans="1:39" ht="12.75" customHeight="1" x14ac:dyDescent="0.25">
      <c r="A610" s="395"/>
      <c r="J610" s="122"/>
      <c r="K610" s="122"/>
      <c r="L610" s="122"/>
      <c r="M610" s="122"/>
      <c r="N610" s="122"/>
      <c r="O610" s="122"/>
      <c r="P610" s="122"/>
      <c r="Q610" s="122"/>
      <c r="R610" s="122"/>
      <c r="AL610" s="360"/>
      <c r="AM610" s="499"/>
    </row>
    <row r="611" spans="1:39" ht="12.75" customHeight="1" x14ac:dyDescent="0.25">
      <c r="A611" s="395"/>
      <c r="J611" s="122"/>
      <c r="K611" s="122"/>
      <c r="L611" s="122"/>
      <c r="M611" s="122"/>
      <c r="N611" s="122"/>
      <c r="O611" s="122"/>
      <c r="P611" s="122"/>
      <c r="Q611" s="122"/>
      <c r="R611" s="122"/>
      <c r="AL611" s="360"/>
      <c r="AM611" s="499"/>
    </row>
    <row r="612" spans="1:39" ht="12.75" customHeight="1" x14ac:dyDescent="0.25">
      <c r="A612" s="395"/>
      <c r="J612" s="122"/>
      <c r="K612" s="122"/>
      <c r="L612" s="122"/>
      <c r="M612" s="122"/>
      <c r="N612" s="122"/>
      <c r="O612" s="122"/>
      <c r="P612" s="122"/>
      <c r="Q612" s="122"/>
      <c r="R612" s="122"/>
      <c r="AL612" s="360"/>
      <c r="AM612" s="499"/>
    </row>
    <row r="613" spans="1:39" ht="12.75" customHeight="1" x14ac:dyDescent="0.25">
      <c r="A613" s="395"/>
      <c r="J613" s="122"/>
      <c r="K613" s="122"/>
      <c r="L613" s="122"/>
      <c r="M613" s="122"/>
      <c r="N613" s="122"/>
      <c r="O613" s="122"/>
      <c r="P613" s="122"/>
      <c r="Q613" s="122"/>
      <c r="R613" s="122"/>
      <c r="AL613" s="360"/>
      <c r="AM613" s="499"/>
    </row>
    <row r="614" spans="1:39" ht="12.75" customHeight="1" x14ac:dyDescent="0.25">
      <c r="A614" s="395"/>
      <c r="J614" s="122"/>
      <c r="K614" s="122"/>
      <c r="L614" s="122"/>
      <c r="M614" s="122"/>
      <c r="N614" s="122"/>
      <c r="O614" s="122"/>
      <c r="P614" s="122"/>
      <c r="Q614" s="122"/>
      <c r="R614" s="122"/>
      <c r="AL614" s="360"/>
      <c r="AM614" s="499"/>
    </row>
    <row r="615" spans="1:39" ht="12.75" customHeight="1" x14ac:dyDescent="0.25">
      <c r="A615" s="395"/>
      <c r="J615" s="122"/>
      <c r="K615" s="122"/>
      <c r="L615" s="122"/>
      <c r="M615" s="122"/>
      <c r="N615" s="122"/>
      <c r="O615" s="122"/>
      <c r="P615" s="122"/>
      <c r="Q615" s="122"/>
      <c r="R615" s="122"/>
      <c r="AL615" s="360"/>
      <c r="AM615" s="499"/>
    </row>
    <row r="616" spans="1:39" ht="12.75" customHeight="1" x14ac:dyDescent="0.25">
      <c r="A616" s="395"/>
      <c r="J616" s="122"/>
      <c r="K616" s="122"/>
      <c r="L616" s="122"/>
      <c r="M616" s="122"/>
      <c r="N616" s="122"/>
      <c r="O616" s="122"/>
      <c r="P616" s="122"/>
      <c r="Q616" s="122"/>
      <c r="R616" s="122"/>
      <c r="AL616" s="360"/>
      <c r="AM616" s="499"/>
    </row>
    <row r="617" spans="1:39" ht="12.75" customHeight="1" x14ac:dyDescent="0.25">
      <c r="A617" s="395"/>
      <c r="J617" s="122"/>
      <c r="K617" s="122"/>
      <c r="L617" s="122"/>
      <c r="M617" s="122"/>
      <c r="N617" s="122"/>
      <c r="O617" s="122"/>
      <c r="P617" s="122"/>
      <c r="Q617" s="122"/>
      <c r="R617" s="122"/>
      <c r="AL617" s="360"/>
      <c r="AM617" s="499"/>
    </row>
    <row r="618" spans="1:39" ht="12.75" customHeight="1" x14ac:dyDescent="0.25">
      <c r="A618" s="395"/>
      <c r="J618" s="122"/>
      <c r="K618" s="122"/>
      <c r="L618" s="122"/>
      <c r="M618" s="122"/>
      <c r="N618" s="122"/>
      <c r="O618" s="122"/>
      <c r="P618" s="122"/>
      <c r="Q618" s="122"/>
      <c r="R618" s="122"/>
      <c r="AL618" s="360"/>
      <c r="AM618" s="499"/>
    </row>
    <row r="619" spans="1:39" ht="12.75" customHeight="1" x14ac:dyDescent="0.25">
      <c r="A619" s="395"/>
      <c r="J619" s="122"/>
      <c r="K619" s="122"/>
      <c r="L619" s="122"/>
      <c r="M619" s="122"/>
      <c r="N619" s="122"/>
      <c r="O619" s="122"/>
      <c r="P619" s="122"/>
      <c r="Q619" s="122"/>
      <c r="R619" s="122"/>
      <c r="AL619" s="360"/>
      <c r="AM619" s="499"/>
    </row>
    <row r="620" spans="1:39" ht="12.75" customHeight="1" x14ac:dyDescent="0.25">
      <c r="A620" s="395"/>
      <c r="J620" s="122"/>
      <c r="K620" s="122"/>
      <c r="L620" s="122"/>
      <c r="M620" s="122"/>
      <c r="N620" s="122"/>
      <c r="O620" s="122"/>
      <c r="P620" s="122"/>
      <c r="Q620" s="122"/>
      <c r="R620" s="122"/>
      <c r="AL620" s="360"/>
      <c r="AM620" s="499"/>
    </row>
    <row r="621" spans="1:39" ht="12.75" customHeight="1" x14ac:dyDescent="0.25">
      <c r="A621" s="395"/>
      <c r="J621" s="122"/>
      <c r="K621" s="122"/>
      <c r="L621" s="122"/>
      <c r="M621" s="122"/>
      <c r="N621" s="122"/>
      <c r="O621" s="122"/>
      <c r="P621" s="122"/>
      <c r="Q621" s="122"/>
      <c r="R621" s="122"/>
      <c r="AL621" s="360"/>
      <c r="AM621" s="499"/>
    </row>
    <row r="622" spans="1:39" ht="12.75" customHeight="1" x14ac:dyDescent="0.25">
      <c r="A622" s="395"/>
      <c r="J622" s="122"/>
      <c r="K622" s="122"/>
      <c r="L622" s="122"/>
      <c r="M622" s="122"/>
      <c r="N622" s="122"/>
      <c r="O622" s="122"/>
      <c r="P622" s="122"/>
      <c r="Q622" s="122"/>
      <c r="R622" s="122"/>
      <c r="AL622" s="360"/>
      <c r="AM622" s="499"/>
    </row>
    <row r="623" spans="1:39" ht="12.75" customHeight="1" x14ac:dyDescent="0.25">
      <c r="A623" s="395"/>
      <c r="J623" s="122"/>
      <c r="K623" s="122"/>
      <c r="L623" s="122"/>
      <c r="M623" s="122"/>
      <c r="N623" s="122"/>
      <c r="O623" s="122"/>
      <c r="P623" s="122"/>
      <c r="Q623" s="122"/>
      <c r="R623" s="122"/>
      <c r="AL623" s="360"/>
      <c r="AM623" s="499"/>
    </row>
    <row r="624" spans="1:39" ht="12.75" customHeight="1" x14ac:dyDescent="0.25">
      <c r="A624" s="395"/>
      <c r="J624" s="122"/>
      <c r="K624" s="122"/>
      <c r="L624" s="122"/>
      <c r="M624" s="122"/>
      <c r="N624" s="122"/>
      <c r="O624" s="122"/>
      <c r="P624" s="122"/>
      <c r="Q624" s="122"/>
      <c r="R624" s="122"/>
      <c r="AL624" s="360"/>
      <c r="AM624" s="499"/>
    </row>
    <row r="625" spans="1:39" ht="12.75" customHeight="1" x14ac:dyDescent="0.25">
      <c r="A625" s="395"/>
      <c r="J625" s="122"/>
      <c r="K625" s="122"/>
      <c r="L625" s="122"/>
      <c r="M625" s="122"/>
      <c r="N625" s="122"/>
      <c r="O625" s="122"/>
      <c r="P625" s="122"/>
      <c r="Q625" s="122"/>
      <c r="R625" s="122"/>
      <c r="AL625" s="360"/>
      <c r="AM625" s="499"/>
    </row>
    <row r="626" spans="1:39" ht="12.75" customHeight="1" x14ac:dyDescent="0.25">
      <c r="A626" s="395"/>
      <c r="J626" s="122"/>
      <c r="K626" s="122"/>
      <c r="L626" s="122"/>
      <c r="M626" s="122"/>
      <c r="N626" s="122"/>
      <c r="O626" s="122"/>
      <c r="P626" s="122"/>
      <c r="Q626" s="122"/>
      <c r="R626" s="122"/>
      <c r="AL626" s="360"/>
      <c r="AM626" s="499"/>
    </row>
    <row r="627" spans="1:39" ht="12.75" customHeight="1" x14ac:dyDescent="0.25">
      <c r="A627" s="395"/>
      <c r="J627" s="122"/>
      <c r="K627" s="122"/>
      <c r="L627" s="122"/>
      <c r="M627" s="122"/>
      <c r="N627" s="122"/>
      <c r="O627" s="122"/>
      <c r="P627" s="122"/>
      <c r="Q627" s="122"/>
      <c r="R627" s="122"/>
      <c r="AL627" s="360"/>
      <c r="AM627" s="499"/>
    </row>
    <row r="628" spans="1:39" ht="12.75" customHeight="1" x14ac:dyDescent="0.25">
      <c r="A628" s="395"/>
      <c r="J628" s="122"/>
      <c r="K628" s="122"/>
      <c r="L628" s="122"/>
      <c r="M628" s="122"/>
      <c r="N628" s="122"/>
      <c r="O628" s="122"/>
      <c r="P628" s="122"/>
      <c r="Q628" s="122"/>
      <c r="R628" s="122"/>
      <c r="AL628" s="360"/>
      <c r="AM628" s="499"/>
    </row>
    <row r="629" spans="1:39" ht="12.75" customHeight="1" x14ac:dyDescent="0.25">
      <c r="A629" s="395"/>
      <c r="J629" s="122"/>
      <c r="K629" s="122"/>
      <c r="L629" s="122"/>
      <c r="M629" s="122"/>
      <c r="N629" s="122"/>
      <c r="O629" s="122"/>
      <c r="P629" s="122"/>
      <c r="Q629" s="122"/>
      <c r="R629" s="122"/>
      <c r="AL629" s="360"/>
      <c r="AM629" s="499"/>
    </row>
    <row r="630" spans="1:39" ht="12.75" customHeight="1" x14ac:dyDescent="0.25">
      <c r="A630" s="395"/>
      <c r="J630" s="122"/>
      <c r="K630" s="122"/>
      <c r="L630" s="122"/>
      <c r="M630" s="122"/>
      <c r="N630" s="122"/>
      <c r="O630" s="122"/>
      <c r="P630" s="122"/>
      <c r="Q630" s="122"/>
      <c r="R630" s="122"/>
      <c r="AL630" s="360"/>
      <c r="AM630" s="499"/>
    </row>
    <row r="631" spans="1:39" ht="12.75" customHeight="1" x14ac:dyDescent="0.25">
      <c r="A631" s="395"/>
      <c r="J631" s="122"/>
      <c r="K631" s="122"/>
      <c r="L631" s="122"/>
      <c r="M631" s="122"/>
      <c r="N631" s="122"/>
      <c r="O631" s="122"/>
      <c r="P631" s="122"/>
      <c r="Q631" s="122"/>
      <c r="R631" s="122"/>
      <c r="AL631" s="360"/>
      <c r="AM631" s="499"/>
    </row>
    <row r="632" spans="1:39" ht="12.75" customHeight="1" x14ac:dyDescent="0.25">
      <c r="A632" s="395"/>
      <c r="J632" s="122"/>
      <c r="K632" s="122"/>
      <c r="L632" s="122"/>
      <c r="M632" s="122"/>
      <c r="N632" s="122"/>
      <c r="O632" s="122"/>
      <c r="P632" s="122"/>
      <c r="Q632" s="122"/>
      <c r="R632" s="122"/>
      <c r="AL632" s="360"/>
      <c r="AM632" s="499"/>
    </row>
    <row r="633" spans="1:39" ht="12.75" customHeight="1" x14ac:dyDescent="0.25">
      <c r="A633" s="395"/>
      <c r="J633" s="122"/>
      <c r="K633" s="122"/>
      <c r="L633" s="122"/>
      <c r="M633" s="122"/>
      <c r="N633" s="122"/>
      <c r="O633" s="122"/>
      <c r="P633" s="122"/>
      <c r="Q633" s="122"/>
      <c r="R633" s="122"/>
      <c r="AL633" s="360"/>
      <c r="AM633" s="499"/>
    </row>
    <row r="634" spans="1:39" ht="12.75" customHeight="1" x14ac:dyDescent="0.25">
      <c r="A634" s="395"/>
      <c r="J634" s="122"/>
      <c r="K634" s="122"/>
      <c r="L634" s="122"/>
      <c r="M634" s="122"/>
      <c r="N634" s="122"/>
      <c r="O634" s="122"/>
      <c r="P634" s="122"/>
      <c r="Q634" s="122"/>
      <c r="R634" s="122"/>
      <c r="AL634" s="360"/>
      <c r="AM634" s="499"/>
    </row>
    <row r="635" spans="1:39" ht="12.75" customHeight="1" x14ac:dyDescent="0.25">
      <c r="A635" s="395"/>
      <c r="J635" s="122"/>
      <c r="K635" s="122"/>
      <c r="L635" s="122"/>
      <c r="M635" s="122"/>
      <c r="N635" s="122"/>
      <c r="O635" s="122"/>
      <c r="P635" s="122"/>
      <c r="Q635" s="122"/>
      <c r="R635" s="122"/>
      <c r="AL635" s="360"/>
      <c r="AM635" s="499"/>
    </row>
    <row r="636" spans="1:39" ht="12.75" customHeight="1" x14ac:dyDescent="0.25">
      <c r="A636" s="395"/>
      <c r="J636" s="122"/>
      <c r="K636" s="122"/>
      <c r="L636" s="122"/>
      <c r="M636" s="122"/>
      <c r="N636" s="122"/>
      <c r="O636" s="122"/>
      <c r="P636" s="122"/>
      <c r="Q636" s="122"/>
      <c r="R636" s="122"/>
      <c r="AL636" s="360"/>
      <c r="AM636" s="499"/>
    </row>
    <row r="637" spans="1:39" ht="12.75" customHeight="1" x14ac:dyDescent="0.25">
      <c r="A637" s="395"/>
      <c r="J637" s="122"/>
      <c r="K637" s="122"/>
      <c r="L637" s="122"/>
      <c r="M637" s="122"/>
      <c r="N637" s="122"/>
      <c r="O637" s="122"/>
      <c r="P637" s="122"/>
      <c r="Q637" s="122"/>
      <c r="R637" s="122"/>
      <c r="AL637" s="360"/>
      <c r="AM637" s="499"/>
    </row>
    <row r="638" spans="1:39" ht="12.75" customHeight="1" x14ac:dyDescent="0.25">
      <c r="A638" s="395"/>
      <c r="J638" s="122"/>
      <c r="K638" s="122"/>
      <c r="L638" s="122"/>
      <c r="M638" s="122"/>
      <c r="N638" s="122"/>
      <c r="O638" s="122"/>
      <c r="P638" s="122"/>
      <c r="Q638" s="122"/>
      <c r="R638" s="122"/>
      <c r="AL638" s="360"/>
      <c r="AM638" s="499"/>
    </row>
    <row r="639" spans="1:39" ht="12.75" customHeight="1" x14ac:dyDescent="0.25">
      <c r="A639" s="395"/>
      <c r="J639" s="122"/>
      <c r="K639" s="122"/>
      <c r="L639" s="122"/>
      <c r="M639" s="122"/>
      <c r="N639" s="122"/>
      <c r="O639" s="122"/>
      <c r="P639" s="122"/>
      <c r="Q639" s="122"/>
      <c r="R639" s="122"/>
      <c r="AL639" s="360"/>
      <c r="AM639" s="499"/>
    </row>
    <row r="640" spans="1:39" ht="12.75" customHeight="1" x14ac:dyDescent="0.25">
      <c r="A640" s="395"/>
      <c r="J640" s="122"/>
      <c r="K640" s="122"/>
      <c r="L640" s="122"/>
      <c r="M640" s="122"/>
      <c r="N640" s="122"/>
      <c r="O640" s="122"/>
      <c r="P640" s="122"/>
      <c r="Q640" s="122"/>
      <c r="R640" s="122"/>
      <c r="AL640" s="360"/>
      <c r="AM640" s="499"/>
    </row>
    <row r="641" spans="1:39" ht="12.75" customHeight="1" x14ac:dyDescent="0.25">
      <c r="A641" s="395"/>
      <c r="J641" s="122"/>
      <c r="K641" s="122"/>
      <c r="L641" s="122"/>
      <c r="M641" s="122"/>
      <c r="N641" s="122"/>
      <c r="O641" s="122"/>
      <c r="P641" s="122"/>
      <c r="Q641" s="122"/>
      <c r="R641" s="122"/>
      <c r="AL641" s="360"/>
      <c r="AM641" s="499"/>
    </row>
    <row r="642" spans="1:39" ht="12.75" customHeight="1" x14ac:dyDescent="0.25">
      <c r="A642" s="395"/>
      <c r="J642" s="122"/>
      <c r="K642" s="122"/>
      <c r="L642" s="122"/>
      <c r="M642" s="122"/>
      <c r="N642" s="122"/>
      <c r="O642" s="122"/>
      <c r="P642" s="122"/>
      <c r="Q642" s="122"/>
      <c r="R642" s="122"/>
      <c r="AL642" s="360"/>
      <c r="AM642" s="499"/>
    </row>
    <row r="643" spans="1:39" ht="12.75" customHeight="1" x14ac:dyDescent="0.25">
      <c r="A643" s="395"/>
      <c r="J643" s="122"/>
      <c r="K643" s="122"/>
      <c r="L643" s="122"/>
      <c r="M643" s="122"/>
      <c r="N643" s="122"/>
      <c r="O643" s="122"/>
      <c r="P643" s="122"/>
      <c r="Q643" s="122"/>
      <c r="R643" s="122"/>
      <c r="AL643" s="360"/>
      <c r="AM643" s="499"/>
    </row>
    <row r="644" spans="1:39" ht="12.75" customHeight="1" x14ac:dyDescent="0.25">
      <c r="A644" s="395"/>
      <c r="J644" s="122"/>
      <c r="K644" s="122"/>
      <c r="L644" s="122"/>
      <c r="M644" s="122"/>
      <c r="N644" s="122"/>
      <c r="O644" s="122"/>
      <c r="P644" s="122"/>
      <c r="Q644" s="122"/>
      <c r="R644" s="122"/>
      <c r="AL644" s="360"/>
      <c r="AM644" s="499"/>
    </row>
    <row r="645" spans="1:39" ht="12.75" customHeight="1" x14ac:dyDescent="0.25">
      <c r="A645" s="395"/>
      <c r="J645" s="122"/>
      <c r="K645" s="122"/>
      <c r="L645" s="122"/>
      <c r="M645" s="122"/>
      <c r="N645" s="122"/>
      <c r="O645" s="122"/>
      <c r="P645" s="122"/>
      <c r="Q645" s="122"/>
      <c r="R645" s="122"/>
      <c r="AL645" s="360"/>
      <c r="AM645" s="499"/>
    </row>
    <row r="646" spans="1:39" ht="12.75" customHeight="1" x14ac:dyDescent="0.25">
      <c r="A646" s="395"/>
      <c r="J646" s="122"/>
      <c r="K646" s="122"/>
      <c r="L646" s="122"/>
      <c r="M646" s="122"/>
      <c r="N646" s="122"/>
      <c r="O646" s="122"/>
      <c r="P646" s="122"/>
      <c r="Q646" s="122"/>
      <c r="R646" s="122"/>
      <c r="AL646" s="360"/>
      <c r="AM646" s="499"/>
    </row>
    <row r="647" spans="1:39" ht="12.75" customHeight="1" x14ac:dyDescent="0.25">
      <c r="A647" s="395"/>
      <c r="J647" s="122"/>
      <c r="K647" s="122"/>
      <c r="L647" s="122"/>
      <c r="M647" s="122"/>
      <c r="N647" s="122"/>
      <c r="O647" s="122"/>
      <c r="P647" s="122"/>
      <c r="Q647" s="122"/>
      <c r="R647" s="122"/>
      <c r="AL647" s="360"/>
      <c r="AM647" s="499"/>
    </row>
    <row r="648" spans="1:39" ht="12.75" customHeight="1" x14ac:dyDescent="0.25">
      <c r="A648" s="395"/>
      <c r="J648" s="122"/>
      <c r="K648" s="122"/>
      <c r="L648" s="122"/>
      <c r="M648" s="122"/>
      <c r="N648" s="122"/>
      <c r="O648" s="122"/>
      <c r="P648" s="122"/>
      <c r="Q648" s="122"/>
      <c r="R648" s="122"/>
      <c r="AL648" s="360"/>
      <c r="AM648" s="499"/>
    </row>
    <row r="649" spans="1:39" ht="12.75" customHeight="1" x14ac:dyDescent="0.25">
      <c r="A649" s="395"/>
      <c r="J649" s="122"/>
      <c r="K649" s="122"/>
      <c r="L649" s="122"/>
      <c r="M649" s="122"/>
      <c r="N649" s="122"/>
      <c r="O649" s="122"/>
      <c r="P649" s="122"/>
      <c r="Q649" s="122"/>
      <c r="R649" s="122"/>
      <c r="AL649" s="360"/>
      <c r="AM649" s="499"/>
    </row>
    <row r="650" spans="1:39" ht="12.75" customHeight="1" x14ac:dyDescent="0.25">
      <c r="A650" s="395"/>
      <c r="J650" s="122"/>
      <c r="K650" s="122"/>
      <c r="L650" s="122"/>
      <c r="M650" s="122"/>
      <c r="N650" s="122"/>
      <c r="O650" s="122"/>
      <c r="P650" s="122"/>
      <c r="Q650" s="122"/>
      <c r="R650" s="122"/>
      <c r="AL650" s="360"/>
      <c r="AM650" s="499"/>
    </row>
    <row r="651" spans="1:39" ht="12.75" customHeight="1" x14ac:dyDescent="0.25">
      <c r="A651" s="395"/>
      <c r="J651" s="122"/>
      <c r="K651" s="122"/>
      <c r="L651" s="122"/>
      <c r="M651" s="122"/>
      <c r="N651" s="122"/>
      <c r="O651" s="122"/>
      <c r="P651" s="122"/>
      <c r="Q651" s="122"/>
      <c r="R651" s="122"/>
      <c r="AL651" s="360"/>
      <c r="AM651" s="499"/>
    </row>
    <row r="652" spans="1:39" ht="12.75" customHeight="1" x14ac:dyDescent="0.25">
      <c r="A652" s="395"/>
      <c r="J652" s="122"/>
      <c r="K652" s="122"/>
      <c r="L652" s="122"/>
      <c r="M652" s="122"/>
      <c r="N652" s="122"/>
      <c r="O652" s="122"/>
      <c r="P652" s="122"/>
      <c r="Q652" s="122"/>
      <c r="R652" s="122"/>
      <c r="AL652" s="360"/>
      <c r="AM652" s="499"/>
    </row>
    <row r="653" spans="1:39" ht="12.75" customHeight="1" x14ac:dyDescent="0.25">
      <c r="A653" s="395"/>
      <c r="J653" s="122"/>
      <c r="K653" s="122"/>
      <c r="L653" s="122"/>
      <c r="M653" s="122"/>
      <c r="N653" s="122"/>
      <c r="O653" s="122"/>
      <c r="P653" s="122"/>
      <c r="Q653" s="122"/>
      <c r="R653" s="122"/>
      <c r="AL653" s="360"/>
      <c r="AM653" s="499"/>
    </row>
    <row r="654" spans="1:39" ht="12.75" customHeight="1" x14ac:dyDescent="0.25">
      <c r="A654" s="395"/>
      <c r="J654" s="122"/>
      <c r="K654" s="122"/>
      <c r="L654" s="122"/>
      <c r="M654" s="122"/>
      <c r="N654" s="122"/>
      <c r="O654" s="122"/>
      <c r="P654" s="122"/>
      <c r="Q654" s="122"/>
      <c r="R654" s="122"/>
      <c r="AL654" s="360"/>
      <c r="AM654" s="499"/>
    </row>
    <row r="655" spans="1:39" ht="12.75" customHeight="1" x14ac:dyDescent="0.25">
      <c r="A655" s="395"/>
      <c r="J655" s="122"/>
      <c r="K655" s="122"/>
      <c r="L655" s="122"/>
      <c r="M655" s="122"/>
      <c r="N655" s="122"/>
      <c r="O655" s="122"/>
      <c r="P655" s="122"/>
      <c r="Q655" s="122"/>
      <c r="R655" s="122"/>
      <c r="AL655" s="360"/>
      <c r="AM655" s="499"/>
    </row>
    <row r="656" spans="1:39" ht="12.75" customHeight="1" x14ac:dyDescent="0.25">
      <c r="A656" s="395"/>
      <c r="J656" s="122"/>
      <c r="K656" s="122"/>
      <c r="L656" s="122"/>
      <c r="M656" s="122"/>
      <c r="N656" s="122"/>
      <c r="O656" s="122"/>
      <c r="P656" s="122"/>
      <c r="Q656" s="122"/>
      <c r="R656" s="122"/>
      <c r="AL656" s="360"/>
      <c r="AM656" s="499"/>
    </row>
    <row r="657" spans="1:39" ht="12.75" customHeight="1" x14ac:dyDescent="0.25">
      <c r="A657" s="395"/>
      <c r="J657" s="122"/>
      <c r="K657" s="122"/>
      <c r="L657" s="122"/>
      <c r="M657" s="122"/>
      <c r="N657" s="122"/>
      <c r="O657" s="122"/>
      <c r="P657" s="122"/>
      <c r="Q657" s="122"/>
      <c r="R657" s="122"/>
      <c r="AL657" s="360"/>
      <c r="AM657" s="499"/>
    </row>
    <row r="658" spans="1:39" ht="12.75" customHeight="1" x14ac:dyDescent="0.25">
      <c r="A658" s="395"/>
      <c r="J658" s="122"/>
      <c r="K658" s="122"/>
      <c r="L658" s="122"/>
      <c r="M658" s="122"/>
      <c r="N658" s="122"/>
      <c r="O658" s="122"/>
      <c r="P658" s="122"/>
      <c r="Q658" s="122"/>
      <c r="R658" s="122"/>
      <c r="AL658" s="360"/>
      <c r="AM658" s="499"/>
    </row>
    <row r="659" spans="1:39" ht="12.75" customHeight="1" x14ac:dyDescent="0.25">
      <c r="A659" s="395"/>
      <c r="J659" s="122"/>
      <c r="K659" s="122"/>
      <c r="L659" s="122"/>
      <c r="M659" s="122"/>
      <c r="N659" s="122"/>
      <c r="O659" s="122"/>
      <c r="P659" s="122"/>
      <c r="Q659" s="122"/>
      <c r="R659" s="122"/>
      <c r="AL659" s="360"/>
      <c r="AM659" s="499"/>
    </row>
    <row r="660" spans="1:39" ht="12.75" customHeight="1" x14ac:dyDescent="0.25">
      <c r="A660" s="395"/>
      <c r="J660" s="122"/>
      <c r="K660" s="122"/>
      <c r="L660" s="122"/>
      <c r="M660" s="122"/>
      <c r="N660" s="122"/>
      <c r="O660" s="122"/>
      <c r="P660" s="122"/>
      <c r="Q660" s="122"/>
      <c r="R660" s="122"/>
      <c r="AL660" s="360"/>
      <c r="AM660" s="499"/>
    </row>
    <row r="661" spans="1:39" ht="12.75" customHeight="1" x14ac:dyDescent="0.25">
      <c r="A661" s="395"/>
      <c r="J661" s="122"/>
      <c r="K661" s="122"/>
      <c r="L661" s="122"/>
      <c r="M661" s="122"/>
      <c r="N661" s="122"/>
      <c r="O661" s="122"/>
      <c r="P661" s="122"/>
      <c r="Q661" s="122"/>
      <c r="R661" s="122"/>
      <c r="AL661" s="360"/>
      <c r="AM661" s="499"/>
    </row>
    <row r="662" spans="1:39" ht="12.75" customHeight="1" x14ac:dyDescent="0.25">
      <c r="A662" s="395"/>
      <c r="J662" s="122"/>
      <c r="K662" s="122"/>
      <c r="L662" s="122"/>
      <c r="M662" s="122"/>
      <c r="N662" s="122"/>
      <c r="O662" s="122"/>
      <c r="P662" s="122"/>
      <c r="Q662" s="122"/>
      <c r="R662" s="122"/>
      <c r="AL662" s="360"/>
      <c r="AM662" s="499"/>
    </row>
    <row r="663" spans="1:39" ht="12.75" customHeight="1" x14ac:dyDescent="0.25">
      <c r="A663" s="395"/>
      <c r="J663" s="122"/>
      <c r="K663" s="122"/>
      <c r="L663" s="122"/>
      <c r="M663" s="122"/>
      <c r="N663" s="122"/>
      <c r="O663" s="122"/>
      <c r="P663" s="122"/>
      <c r="Q663" s="122"/>
      <c r="R663" s="122"/>
      <c r="AL663" s="360"/>
      <c r="AM663" s="499"/>
    </row>
    <row r="664" spans="1:39" ht="12.75" customHeight="1" x14ac:dyDescent="0.25">
      <c r="A664" s="395"/>
      <c r="J664" s="122"/>
      <c r="K664" s="122"/>
      <c r="L664" s="122"/>
      <c r="M664" s="122"/>
      <c r="N664" s="122"/>
      <c r="O664" s="122"/>
      <c r="P664" s="122"/>
      <c r="Q664" s="122"/>
      <c r="R664" s="122"/>
      <c r="AL664" s="360"/>
      <c r="AM664" s="499"/>
    </row>
    <row r="665" spans="1:39" ht="12.75" customHeight="1" x14ac:dyDescent="0.25">
      <c r="A665" s="395"/>
      <c r="J665" s="122"/>
      <c r="K665" s="122"/>
      <c r="L665" s="122"/>
      <c r="M665" s="122"/>
      <c r="N665" s="122"/>
      <c r="O665" s="122"/>
      <c r="P665" s="122"/>
      <c r="Q665" s="122"/>
      <c r="R665" s="122"/>
      <c r="AL665" s="360"/>
      <c r="AM665" s="499"/>
    </row>
    <row r="666" spans="1:39" ht="12.75" customHeight="1" x14ac:dyDescent="0.25">
      <c r="A666" s="395"/>
      <c r="J666" s="122"/>
      <c r="K666" s="122"/>
      <c r="L666" s="122"/>
      <c r="M666" s="122"/>
      <c r="N666" s="122"/>
      <c r="O666" s="122"/>
      <c r="P666" s="122"/>
      <c r="Q666" s="122"/>
      <c r="R666" s="122"/>
      <c r="AL666" s="360"/>
      <c r="AM666" s="499"/>
    </row>
    <row r="667" spans="1:39" ht="12.75" customHeight="1" x14ac:dyDescent="0.25">
      <c r="A667" s="395"/>
      <c r="J667" s="122"/>
      <c r="K667" s="122"/>
      <c r="L667" s="122"/>
      <c r="M667" s="122"/>
      <c r="N667" s="122"/>
      <c r="O667" s="122"/>
      <c r="P667" s="122"/>
      <c r="Q667" s="122"/>
      <c r="R667" s="122"/>
      <c r="AL667" s="360"/>
      <c r="AM667" s="499"/>
    </row>
    <row r="668" spans="1:39" ht="12.75" customHeight="1" x14ac:dyDescent="0.25">
      <c r="A668" s="395"/>
      <c r="J668" s="122"/>
      <c r="K668" s="122"/>
      <c r="L668" s="122"/>
      <c r="M668" s="122"/>
      <c r="N668" s="122"/>
      <c r="O668" s="122"/>
      <c r="P668" s="122"/>
      <c r="Q668" s="122"/>
      <c r="R668" s="122"/>
      <c r="AL668" s="360"/>
      <c r="AM668" s="499"/>
    </row>
    <row r="669" spans="1:39" ht="12.75" customHeight="1" x14ac:dyDescent="0.25">
      <c r="A669" s="395"/>
      <c r="J669" s="122"/>
      <c r="K669" s="122"/>
      <c r="L669" s="122"/>
      <c r="M669" s="122"/>
      <c r="N669" s="122"/>
      <c r="O669" s="122"/>
      <c r="P669" s="122"/>
      <c r="Q669" s="122"/>
      <c r="R669" s="122"/>
      <c r="AL669" s="360"/>
      <c r="AM669" s="499"/>
    </row>
    <row r="670" spans="1:39" ht="12.75" customHeight="1" x14ac:dyDescent="0.25">
      <c r="A670" s="395"/>
      <c r="J670" s="122"/>
      <c r="K670" s="122"/>
      <c r="L670" s="122"/>
      <c r="M670" s="122"/>
      <c r="N670" s="122"/>
      <c r="O670" s="122"/>
      <c r="P670" s="122"/>
      <c r="Q670" s="122"/>
      <c r="R670" s="122"/>
      <c r="AL670" s="360"/>
      <c r="AM670" s="499"/>
    </row>
    <row r="671" spans="1:39" ht="12.75" customHeight="1" x14ac:dyDescent="0.25">
      <c r="A671" s="395"/>
      <c r="J671" s="122"/>
      <c r="K671" s="122"/>
      <c r="L671" s="122"/>
      <c r="M671" s="122"/>
      <c r="N671" s="122"/>
      <c r="O671" s="122"/>
      <c r="P671" s="122"/>
      <c r="Q671" s="122"/>
      <c r="R671" s="122"/>
      <c r="AL671" s="360"/>
      <c r="AM671" s="499"/>
    </row>
    <row r="672" spans="1:39" ht="12.75" customHeight="1" x14ac:dyDescent="0.25">
      <c r="A672" s="395"/>
      <c r="J672" s="122"/>
      <c r="K672" s="122"/>
      <c r="L672" s="122"/>
      <c r="M672" s="122"/>
      <c r="N672" s="122"/>
      <c r="O672" s="122"/>
      <c r="P672" s="122"/>
      <c r="Q672" s="122"/>
      <c r="R672" s="122"/>
      <c r="AL672" s="360"/>
      <c r="AM672" s="499"/>
    </row>
    <row r="673" spans="1:39" ht="12.75" customHeight="1" x14ac:dyDescent="0.25">
      <c r="A673" s="395"/>
      <c r="J673" s="122"/>
      <c r="K673" s="122"/>
      <c r="L673" s="122"/>
      <c r="M673" s="122"/>
      <c r="N673" s="122"/>
      <c r="O673" s="122"/>
      <c r="P673" s="122"/>
      <c r="Q673" s="122"/>
      <c r="R673" s="122"/>
      <c r="AL673" s="360"/>
      <c r="AM673" s="499"/>
    </row>
    <row r="674" spans="1:39" ht="12.75" customHeight="1" x14ac:dyDescent="0.25">
      <c r="A674" s="395"/>
      <c r="J674" s="122"/>
      <c r="K674" s="122"/>
      <c r="L674" s="122"/>
      <c r="M674" s="122"/>
      <c r="N674" s="122"/>
      <c r="O674" s="122"/>
      <c r="P674" s="122"/>
      <c r="Q674" s="122"/>
      <c r="R674" s="122"/>
      <c r="AL674" s="360"/>
      <c r="AM674" s="499"/>
    </row>
    <row r="675" spans="1:39" ht="12.75" customHeight="1" x14ac:dyDescent="0.25">
      <c r="A675" s="395"/>
      <c r="J675" s="122"/>
      <c r="K675" s="122"/>
      <c r="L675" s="122"/>
      <c r="M675" s="122"/>
      <c r="N675" s="122"/>
      <c r="O675" s="122"/>
      <c r="P675" s="122"/>
      <c r="Q675" s="122"/>
      <c r="R675" s="122"/>
      <c r="AL675" s="360"/>
      <c r="AM675" s="499"/>
    </row>
    <row r="676" spans="1:39" ht="12.75" customHeight="1" x14ac:dyDescent="0.25">
      <c r="A676" s="395"/>
      <c r="J676" s="122"/>
      <c r="K676" s="122"/>
      <c r="L676" s="122"/>
      <c r="M676" s="122"/>
      <c r="N676" s="122"/>
      <c r="O676" s="122"/>
      <c r="P676" s="122"/>
      <c r="Q676" s="122"/>
      <c r="R676" s="122"/>
      <c r="AL676" s="360"/>
      <c r="AM676" s="499"/>
    </row>
    <row r="677" spans="1:39" ht="12.75" customHeight="1" x14ac:dyDescent="0.25">
      <c r="A677" s="395"/>
      <c r="J677" s="122"/>
      <c r="K677" s="122"/>
      <c r="L677" s="122"/>
      <c r="M677" s="122"/>
      <c r="N677" s="122"/>
      <c r="O677" s="122"/>
      <c r="P677" s="122"/>
      <c r="Q677" s="122"/>
      <c r="R677" s="122"/>
      <c r="AL677" s="360"/>
      <c r="AM677" s="499"/>
    </row>
    <row r="678" spans="1:39" ht="12.75" customHeight="1" x14ac:dyDescent="0.25">
      <c r="A678" s="395"/>
      <c r="J678" s="122"/>
      <c r="K678" s="122"/>
      <c r="L678" s="122"/>
      <c r="M678" s="122"/>
      <c r="N678" s="122"/>
      <c r="O678" s="122"/>
      <c r="P678" s="122"/>
      <c r="Q678" s="122"/>
      <c r="R678" s="122"/>
      <c r="AL678" s="360"/>
      <c r="AM678" s="499"/>
    </row>
    <row r="679" spans="1:39" ht="12.75" customHeight="1" x14ac:dyDescent="0.25">
      <c r="A679" s="395"/>
      <c r="J679" s="122"/>
      <c r="K679" s="122"/>
      <c r="L679" s="122"/>
      <c r="M679" s="122"/>
      <c r="N679" s="122"/>
      <c r="O679" s="122"/>
      <c r="P679" s="122"/>
      <c r="Q679" s="122"/>
      <c r="R679" s="122"/>
      <c r="AL679" s="360"/>
      <c r="AM679" s="499"/>
    </row>
    <row r="680" spans="1:39" ht="12.75" customHeight="1" x14ac:dyDescent="0.25">
      <c r="A680" s="395"/>
      <c r="J680" s="122"/>
      <c r="K680" s="122"/>
      <c r="L680" s="122"/>
      <c r="M680" s="122"/>
      <c r="N680" s="122"/>
      <c r="O680" s="122"/>
      <c r="P680" s="122"/>
      <c r="Q680" s="122"/>
      <c r="R680" s="122"/>
      <c r="AL680" s="360"/>
      <c r="AM680" s="499"/>
    </row>
    <row r="681" spans="1:39" ht="12.75" customHeight="1" x14ac:dyDescent="0.25">
      <c r="A681" s="395"/>
      <c r="J681" s="122"/>
      <c r="K681" s="122"/>
      <c r="L681" s="122"/>
      <c r="M681" s="122"/>
      <c r="N681" s="122"/>
      <c r="O681" s="122"/>
      <c r="P681" s="122"/>
      <c r="Q681" s="122"/>
      <c r="R681" s="122"/>
      <c r="AL681" s="360"/>
      <c r="AM681" s="499"/>
    </row>
    <row r="682" spans="1:39" ht="12.75" customHeight="1" x14ac:dyDescent="0.25">
      <c r="A682" s="395"/>
      <c r="J682" s="122"/>
      <c r="K682" s="122"/>
      <c r="L682" s="122"/>
      <c r="M682" s="122"/>
      <c r="N682" s="122"/>
      <c r="O682" s="122"/>
      <c r="P682" s="122"/>
      <c r="Q682" s="122"/>
      <c r="R682" s="122"/>
      <c r="AL682" s="360"/>
      <c r="AM682" s="499"/>
    </row>
    <row r="683" spans="1:39" ht="12.75" customHeight="1" x14ac:dyDescent="0.25">
      <c r="A683" s="395"/>
      <c r="J683" s="122"/>
      <c r="K683" s="122"/>
      <c r="L683" s="122"/>
      <c r="M683" s="122"/>
      <c r="N683" s="122"/>
      <c r="O683" s="122"/>
      <c r="P683" s="122"/>
      <c r="Q683" s="122"/>
      <c r="R683" s="122"/>
      <c r="AL683" s="360"/>
      <c r="AM683" s="499"/>
    </row>
    <row r="684" spans="1:39" ht="12.75" customHeight="1" x14ac:dyDescent="0.25">
      <c r="A684" s="395"/>
      <c r="J684" s="122"/>
      <c r="K684" s="122"/>
      <c r="L684" s="122"/>
      <c r="M684" s="122"/>
      <c r="N684" s="122"/>
      <c r="O684" s="122"/>
      <c r="P684" s="122"/>
      <c r="Q684" s="122"/>
      <c r="R684" s="122"/>
      <c r="AL684" s="360"/>
      <c r="AM684" s="499"/>
    </row>
    <row r="685" spans="1:39" ht="12.75" customHeight="1" x14ac:dyDescent="0.25">
      <c r="A685" s="395"/>
      <c r="J685" s="122"/>
      <c r="K685" s="122"/>
      <c r="L685" s="122"/>
      <c r="M685" s="122"/>
      <c r="N685" s="122"/>
      <c r="O685" s="122"/>
      <c r="P685" s="122"/>
      <c r="Q685" s="122"/>
      <c r="R685" s="122"/>
      <c r="AL685" s="360"/>
      <c r="AM685" s="499"/>
    </row>
    <row r="686" spans="1:39" ht="12.75" customHeight="1" x14ac:dyDescent="0.25">
      <c r="A686" s="395"/>
      <c r="J686" s="122"/>
      <c r="K686" s="122"/>
      <c r="L686" s="122"/>
      <c r="M686" s="122"/>
      <c r="N686" s="122"/>
      <c r="O686" s="122"/>
      <c r="P686" s="122"/>
      <c r="Q686" s="122"/>
      <c r="R686" s="122"/>
      <c r="AL686" s="360"/>
      <c r="AM686" s="499"/>
    </row>
    <row r="687" spans="1:39" ht="12.75" customHeight="1" x14ac:dyDescent="0.25">
      <c r="A687" s="395"/>
      <c r="J687" s="122"/>
      <c r="K687" s="122"/>
      <c r="L687" s="122"/>
      <c r="M687" s="122"/>
      <c r="N687" s="122"/>
      <c r="O687" s="122"/>
      <c r="P687" s="122"/>
      <c r="Q687" s="122"/>
      <c r="R687" s="122"/>
      <c r="AL687" s="360"/>
      <c r="AM687" s="499"/>
    </row>
    <row r="688" spans="1:39" ht="12.75" customHeight="1" x14ac:dyDescent="0.25">
      <c r="A688" s="395"/>
      <c r="J688" s="122"/>
      <c r="K688" s="122"/>
      <c r="L688" s="122"/>
      <c r="M688" s="122"/>
      <c r="N688" s="122"/>
      <c r="O688" s="122"/>
      <c r="P688" s="122"/>
      <c r="Q688" s="122"/>
      <c r="R688" s="122"/>
      <c r="AL688" s="360"/>
      <c r="AM688" s="499"/>
    </row>
    <row r="689" spans="1:39" ht="12.75" customHeight="1" x14ac:dyDescent="0.25">
      <c r="A689" s="395"/>
      <c r="J689" s="122"/>
      <c r="K689" s="122"/>
      <c r="L689" s="122"/>
      <c r="M689" s="122"/>
      <c r="N689" s="122"/>
      <c r="O689" s="122"/>
      <c r="P689" s="122"/>
      <c r="Q689" s="122"/>
      <c r="R689" s="122"/>
      <c r="AL689" s="360"/>
      <c r="AM689" s="499"/>
    </row>
    <row r="690" spans="1:39" ht="12.75" customHeight="1" x14ac:dyDescent="0.25">
      <c r="A690" s="395"/>
      <c r="J690" s="122"/>
      <c r="K690" s="122"/>
      <c r="L690" s="122"/>
      <c r="M690" s="122"/>
      <c r="N690" s="122"/>
      <c r="O690" s="122"/>
      <c r="P690" s="122"/>
      <c r="Q690" s="122"/>
      <c r="R690" s="122"/>
      <c r="AL690" s="360"/>
      <c r="AM690" s="499"/>
    </row>
    <row r="691" spans="1:39" ht="12.75" customHeight="1" x14ac:dyDescent="0.25">
      <c r="A691" s="395"/>
      <c r="J691" s="122"/>
      <c r="K691" s="122"/>
      <c r="L691" s="122"/>
      <c r="M691" s="122"/>
      <c r="N691" s="122"/>
      <c r="O691" s="122"/>
      <c r="P691" s="122"/>
      <c r="Q691" s="122"/>
      <c r="R691" s="122"/>
      <c r="AL691" s="360"/>
      <c r="AM691" s="499"/>
    </row>
    <row r="692" spans="1:39" ht="12.75" customHeight="1" x14ac:dyDescent="0.25">
      <c r="A692" s="395"/>
      <c r="J692" s="122"/>
      <c r="K692" s="122"/>
      <c r="L692" s="122"/>
      <c r="M692" s="122"/>
      <c r="N692" s="122"/>
      <c r="O692" s="122"/>
      <c r="P692" s="122"/>
      <c r="Q692" s="122"/>
      <c r="R692" s="122"/>
      <c r="AL692" s="360"/>
      <c r="AM692" s="499"/>
    </row>
    <row r="693" spans="1:39" ht="12.75" customHeight="1" x14ac:dyDescent="0.25">
      <c r="A693" s="395"/>
      <c r="J693" s="122"/>
      <c r="K693" s="122"/>
      <c r="L693" s="122"/>
      <c r="M693" s="122"/>
      <c r="N693" s="122"/>
      <c r="O693" s="122"/>
      <c r="P693" s="122"/>
      <c r="Q693" s="122"/>
      <c r="R693" s="122"/>
      <c r="AL693" s="360"/>
      <c r="AM693" s="499"/>
    </row>
    <row r="694" spans="1:39" ht="12.75" customHeight="1" x14ac:dyDescent="0.25">
      <c r="A694" s="395"/>
      <c r="J694" s="122"/>
      <c r="K694" s="122"/>
      <c r="L694" s="122"/>
      <c r="M694" s="122"/>
      <c r="N694" s="122"/>
      <c r="O694" s="122"/>
      <c r="P694" s="122"/>
      <c r="Q694" s="122"/>
      <c r="R694" s="122"/>
      <c r="AL694" s="360"/>
      <c r="AM694" s="499"/>
    </row>
    <row r="695" spans="1:39" ht="12.75" customHeight="1" x14ac:dyDescent="0.25">
      <c r="A695" s="395"/>
      <c r="J695" s="122"/>
      <c r="K695" s="122"/>
      <c r="L695" s="122"/>
      <c r="M695" s="122"/>
      <c r="N695" s="122"/>
      <c r="O695" s="122"/>
      <c r="P695" s="122"/>
      <c r="Q695" s="122"/>
      <c r="R695" s="122"/>
      <c r="AL695" s="360"/>
      <c r="AM695" s="499"/>
    </row>
    <row r="696" spans="1:39" ht="12.75" customHeight="1" x14ac:dyDescent="0.25">
      <c r="A696" s="395"/>
      <c r="J696" s="122"/>
      <c r="K696" s="122"/>
      <c r="L696" s="122"/>
      <c r="M696" s="122"/>
      <c r="N696" s="122"/>
      <c r="O696" s="122"/>
      <c r="P696" s="122"/>
      <c r="Q696" s="122"/>
      <c r="R696" s="122"/>
      <c r="AL696" s="360"/>
      <c r="AM696" s="499"/>
    </row>
    <row r="697" spans="1:39" ht="12.75" customHeight="1" x14ac:dyDescent="0.25">
      <c r="A697" s="395"/>
      <c r="J697" s="122"/>
      <c r="K697" s="122"/>
      <c r="L697" s="122"/>
      <c r="M697" s="122"/>
      <c r="N697" s="122"/>
      <c r="O697" s="122"/>
      <c r="P697" s="122"/>
      <c r="Q697" s="122"/>
      <c r="R697" s="122"/>
      <c r="AL697" s="360"/>
      <c r="AM697" s="499"/>
    </row>
    <row r="698" spans="1:39" ht="12.75" customHeight="1" x14ac:dyDescent="0.25">
      <c r="A698" s="395"/>
      <c r="J698" s="122"/>
      <c r="K698" s="122"/>
      <c r="L698" s="122"/>
      <c r="M698" s="122"/>
      <c r="N698" s="122"/>
      <c r="O698" s="122"/>
      <c r="P698" s="122"/>
      <c r="Q698" s="122"/>
      <c r="R698" s="122"/>
      <c r="AL698" s="360"/>
      <c r="AM698" s="499"/>
    </row>
    <row r="699" spans="1:39" ht="12.75" customHeight="1" x14ac:dyDescent="0.25">
      <c r="A699" s="395"/>
      <c r="J699" s="122"/>
      <c r="K699" s="122"/>
      <c r="L699" s="122"/>
      <c r="M699" s="122"/>
      <c r="N699" s="122"/>
      <c r="O699" s="122"/>
      <c r="P699" s="122"/>
      <c r="Q699" s="122"/>
      <c r="R699" s="122"/>
      <c r="AL699" s="360"/>
      <c r="AM699" s="499"/>
    </row>
    <row r="700" spans="1:39" ht="12.75" customHeight="1" x14ac:dyDescent="0.25">
      <c r="A700" s="395"/>
      <c r="J700" s="122"/>
      <c r="K700" s="122"/>
      <c r="L700" s="122"/>
      <c r="M700" s="122"/>
      <c r="N700" s="122"/>
      <c r="O700" s="122"/>
      <c r="P700" s="122"/>
      <c r="Q700" s="122"/>
      <c r="R700" s="122"/>
      <c r="AL700" s="360"/>
      <c r="AM700" s="499"/>
    </row>
    <row r="701" spans="1:39" ht="12.75" customHeight="1" x14ac:dyDescent="0.25">
      <c r="A701" s="395"/>
      <c r="J701" s="122"/>
      <c r="K701" s="122"/>
      <c r="L701" s="122"/>
      <c r="M701" s="122"/>
      <c r="N701" s="122"/>
      <c r="O701" s="122"/>
      <c r="P701" s="122"/>
      <c r="Q701" s="122"/>
      <c r="R701" s="122"/>
      <c r="AL701" s="360"/>
      <c r="AM701" s="499"/>
    </row>
    <row r="702" spans="1:39" ht="12.75" customHeight="1" x14ac:dyDescent="0.25">
      <c r="A702" s="395"/>
      <c r="J702" s="122"/>
      <c r="K702" s="122"/>
      <c r="L702" s="122"/>
      <c r="M702" s="122"/>
      <c r="N702" s="122"/>
      <c r="O702" s="122"/>
      <c r="P702" s="122"/>
      <c r="Q702" s="122"/>
      <c r="R702" s="122"/>
      <c r="AL702" s="360"/>
      <c r="AM702" s="499"/>
    </row>
    <row r="703" spans="1:39" ht="12.75" customHeight="1" x14ac:dyDescent="0.25">
      <c r="A703" s="395"/>
      <c r="J703" s="122"/>
      <c r="K703" s="122"/>
      <c r="L703" s="122"/>
      <c r="M703" s="122"/>
      <c r="N703" s="122"/>
      <c r="O703" s="122"/>
      <c r="P703" s="122"/>
      <c r="Q703" s="122"/>
      <c r="R703" s="122"/>
      <c r="AL703" s="360"/>
      <c r="AM703" s="499"/>
    </row>
    <row r="704" spans="1:39" ht="12.75" customHeight="1" x14ac:dyDescent="0.25">
      <c r="A704" s="395"/>
      <c r="J704" s="122"/>
      <c r="K704" s="122"/>
      <c r="L704" s="122"/>
      <c r="M704" s="122"/>
      <c r="N704" s="122"/>
      <c r="O704" s="122"/>
      <c r="P704" s="122"/>
      <c r="Q704" s="122"/>
      <c r="R704" s="122"/>
      <c r="AL704" s="360"/>
      <c r="AM704" s="499"/>
    </row>
    <row r="705" spans="1:39" ht="12.75" customHeight="1" x14ac:dyDescent="0.25">
      <c r="A705" s="395"/>
      <c r="J705" s="122"/>
      <c r="K705" s="122"/>
      <c r="L705" s="122"/>
      <c r="M705" s="122"/>
      <c r="N705" s="122"/>
      <c r="O705" s="122"/>
      <c r="P705" s="122"/>
      <c r="Q705" s="122"/>
      <c r="R705" s="122"/>
      <c r="AL705" s="360"/>
      <c r="AM705" s="499"/>
    </row>
    <row r="706" spans="1:39" ht="12.75" customHeight="1" x14ac:dyDescent="0.25">
      <c r="A706" s="395"/>
      <c r="J706" s="122"/>
      <c r="K706" s="122"/>
      <c r="L706" s="122"/>
      <c r="M706" s="122"/>
      <c r="N706" s="122"/>
      <c r="O706" s="122"/>
      <c r="P706" s="122"/>
      <c r="Q706" s="122"/>
      <c r="R706" s="122"/>
      <c r="AL706" s="360"/>
      <c r="AM706" s="499"/>
    </row>
    <row r="707" spans="1:39" ht="12.75" customHeight="1" x14ac:dyDescent="0.25">
      <c r="A707" s="395"/>
      <c r="J707" s="122"/>
      <c r="K707" s="122"/>
      <c r="L707" s="122"/>
      <c r="M707" s="122"/>
      <c r="N707" s="122"/>
      <c r="O707" s="122"/>
      <c r="P707" s="122"/>
      <c r="Q707" s="122"/>
      <c r="R707" s="122"/>
      <c r="AL707" s="360"/>
      <c r="AM707" s="499"/>
    </row>
    <row r="708" spans="1:39" ht="12.75" customHeight="1" x14ac:dyDescent="0.25">
      <c r="A708" s="395"/>
      <c r="J708" s="122"/>
      <c r="K708" s="122"/>
      <c r="L708" s="122"/>
      <c r="M708" s="122"/>
      <c r="N708" s="122"/>
      <c r="O708" s="122"/>
      <c r="P708" s="122"/>
      <c r="Q708" s="122"/>
      <c r="R708" s="122"/>
      <c r="AL708" s="360"/>
      <c r="AM708" s="499"/>
    </row>
    <row r="709" spans="1:39" ht="12.75" customHeight="1" x14ac:dyDescent="0.25">
      <c r="A709" s="395"/>
      <c r="J709" s="122"/>
      <c r="K709" s="122"/>
      <c r="L709" s="122"/>
      <c r="M709" s="122"/>
      <c r="N709" s="122"/>
      <c r="O709" s="122"/>
      <c r="P709" s="122"/>
      <c r="Q709" s="122"/>
      <c r="R709" s="122"/>
      <c r="AL709" s="360"/>
      <c r="AM709" s="499"/>
    </row>
    <row r="710" spans="1:39" ht="12.75" customHeight="1" x14ac:dyDescent="0.25">
      <c r="A710" s="395"/>
      <c r="J710" s="122"/>
      <c r="K710" s="122"/>
      <c r="L710" s="122"/>
      <c r="M710" s="122"/>
      <c r="N710" s="122"/>
      <c r="O710" s="122"/>
      <c r="P710" s="122"/>
      <c r="Q710" s="122"/>
      <c r="R710" s="122"/>
      <c r="AL710" s="360"/>
      <c r="AM710" s="499"/>
    </row>
    <row r="711" spans="1:39" ht="12.75" customHeight="1" x14ac:dyDescent="0.25">
      <c r="A711" s="395"/>
      <c r="J711" s="122"/>
      <c r="K711" s="122"/>
      <c r="L711" s="122"/>
      <c r="M711" s="122"/>
      <c r="N711" s="122"/>
      <c r="O711" s="122"/>
      <c r="P711" s="122"/>
      <c r="Q711" s="122"/>
      <c r="R711" s="122"/>
      <c r="AL711" s="360"/>
      <c r="AM711" s="499"/>
    </row>
    <row r="712" spans="1:39" ht="12.75" customHeight="1" x14ac:dyDescent="0.25">
      <c r="A712" s="395"/>
      <c r="J712" s="122"/>
      <c r="K712" s="122"/>
      <c r="L712" s="122"/>
      <c r="M712" s="122"/>
      <c r="N712" s="122"/>
      <c r="O712" s="122"/>
      <c r="P712" s="122"/>
      <c r="Q712" s="122"/>
      <c r="R712" s="122"/>
      <c r="AL712" s="360"/>
      <c r="AM712" s="499"/>
    </row>
    <row r="713" spans="1:39" ht="12.75" customHeight="1" x14ac:dyDescent="0.25">
      <c r="A713" s="395"/>
      <c r="J713" s="122"/>
      <c r="K713" s="122"/>
      <c r="L713" s="122"/>
      <c r="M713" s="122"/>
      <c r="N713" s="122"/>
      <c r="O713" s="122"/>
      <c r="P713" s="122"/>
      <c r="Q713" s="122"/>
      <c r="R713" s="122"/>
      <c r="AL713" s="360"/>
      <c r="AM713" s="499"/>
    </row>
    <row r="714" spans="1:39" ht="12.75" customHeight="1" x14ac:dyDescent="0.25">
      <c r="A714" s="395"/>
      <c r="J714" s="122"/>
      <c r="K714" s="122"/>
      <c r="L714" s="122"/>
      <c r="M714" s="122"/>
      <c r="N714" s="122"/>
      <c r="O714" s="122"/>
      <c r="P714" s="122"/>
      <c r="Q714" s="122"/>
      <c r="R714" s="122"/>
      <c r="AL714" s="360"/>
      <c r="AM714" s="499"/>
    </row>
    <row r="715" spans="1:39" ht="12.75" customHeight="1" x14ac:dyDescent="0.25">
      <c r="A715" s="395"/>
      <c r="J715" s="122"/>
      <c r="K715" s="122"/>
      <c r="L715" s="122"/>
      <c r="M715" s="122"/>
      <c r="N715" s="122"/>
      <c r="O715" s="122"/>
      <c r="P715" s="122"/>
      <c r="Q715" s="122"/>
      <c r="R715" s="122"/>
      <c r="AL715" s="360"/>
      <c r="AM715" s="499"/>
    </row>
    <row r="716" spans="1:39" ht="12.75" customHeight="1" x14ac:dyDescent="0.25">
      <c r="A716" s="395"/>
      <c r="J716" s="122"/>
      <c r="K716" s="122"/>
      <c r="L716" s="122"/>
      <c r="M716" s="122"/>
      <c r="N716" s="122"/>
      <c r="O716" s="122"/>
      <c r="P716" s="122"/>
      <c r="Q716" s="122"/>
      <c r="R716" s="122"/>
      <c r="AL716" s="360"/>
      <c r="AM716" s="499"/>
    </row>
    <row r="717" spans="1:39" ht="12.75" customHeight="1" x14ac:dyDescent="0.25">
      <c r="A717" s="395"/>
      <c r="J717" s="122"/>
      <c r="K717" s="122"/>
      <c r="L717" s="122"/>
      <c r="M717" s="122"/>
      <c r="N717" s="122"/>
      <c r="O717" s="122"/>
      <c r="P717" s="122"/>
      <c r="Q717" s="122"/>
      <c r="R717" s="122"/>
      <c r="AL717" s="360"/>
      <c r="AM717" s="499"/>
    </row>
    <row r="718" spans="1:39" ht="12.75" customHeight="1" x14ac:dyDescent="0.25">
      <c r="A718" s="395"/>
      <c r="J718" s="122"/>
      <c r="K718" s="122"/>
      <c r="L718" s="122"/>
      <c r="M718" s="122"/>
      <c r="N718" s="122"/>
      <c r="O718" s="122"/>
      <c r="P718" s="122"/>
      <c r="Q718" s="122"/>
      <c r="R718" s="122"/>
      <c r="AL718" s="360"/>
      <c r="AM718" s="499"/>
    </row>
    <row r="719" spans="1:39" ht="12.75" customHeight="1" x14ac:dyDescent="0.25">
      <c r="A719" s="395"/>
      <c r="J719" s="122"/>
      <c r="K719" s="122"/>
      <c r="L719" s="122"/>
      <c r="M719" s="122"/>
      <c r="N719" s="122"/>
      <c r="O719" s="122"/>
      <c r="P719" s="122"/>
      <c r="Q719" s="122"/>
      <c r="R719" s="122"/>
      <c r="AL719" s="360"/>
      <c r="AM719" s="499"/>
    </row>
    <row r="720" spans="1:39" ht="12.75" customHeight="1" x14ac:dyDescent="0.25">
      <c r="A720" s="395"/>
      <c r="J720" s="122"/>
      <c r="K720" s="122"/>
      <c r="L720" s="122"/>
      <c r="M720" s="122"/>
      <c r="N720" s="122"/>
      <c r="O720" s="122"/>
      <c r="P720" s="122"/>
      <c r="Q720" s="122"/>
      <c r="R720" s="122"/>
      <c r="AL720" s="360"/>
      <c r="AM720" s="499"/>
    </row>
    <row r="721" spans="1:39" ht="12.75" customHeight="1" x14ac:dyDescent="0.25">
      <c r="A721" s="395"/>
      <c r="J721" s="122"/>
      <c r="K721" s="122"/>
      <c r="L721" s="122"/>
      <c r="M721" s="122"/>
      <c r="N721" s="122"/>
      <c r="O721" s="122"/>
      <c r="P721" s="122"/>
      <c r="Q721" s="122"/>
      <c r="R721" s="122"/>
      <c r="AL721" s="360"/>
      <c r="AM721" s="499"/>
    </row>
    <row r="722" spans="1:39" ht="12.75" customHeight="1" x14ac:dyDescent="0.25">
      <c r="A722" s="395"/>
      <c r="J722" s="122"/>
      <c r="K722" s="122"/>
      <c r="L722" s="122"/>
      <c r="M722" s="122"/>
      <c r="N722" s="122"/>
      <c r="O722" s="122"/>
      <c r="P722" s="122"/>
      <c r="Q722" s="122"/>
      <c r="R722" s="122"/>
      <c r="AL722" s="360"/>
      <c r="AM722" s="499"/>
    </row>
    <row r="723" spans="1:39" ht="12.75" customHeight="1" x14ac:dyDescent="0.25">
      <c r="A723" s="395"/>
      <c r="J723" s="122"/>
      <c r="K723" s="122"/>
      <c r="L723" s="122"/>
      <c r="M723" s="122"/>
      <c r="N723" s="122"/>
      <c r="O723" s="122"/>
      <c r="P723" s="122"/>
      <c r="Q723" s="122"/>
      <c r="R723" s="122"/>
      <c r="AL723" s="360"/>
      <c r="AM723" s="499"/>
    </row>
    <row r="724" spans="1:39" ht="12.75" customHeight="1" x14ac:dyDescent="0.25">
      <c r="A724" s="395"/>
      <c r="J724" s="122"/>
      <c r="K724" s="122"/>
      <c r="L724" s="122"/>
      <c r="M724" s="122"/>
      <c r="N724" s="122"/>
      <c r="O724" s="122"/>
      <c r="P724" s="122"/>
      <c r="Q724" s="122"/>
      <c r="R724" s="122"/>
      <c r="AL724" s="360"/>
      <c r="AM724" s="499"/>
    </row>
    <row r="725" spans="1:39" ht="12.75" customHeight="1" x14ac:dyDescent="0.25">
      <c r="A725" s="395"/>
      <c r="J725" s="122"/>
      <c r="K725" s="122"/>
      <c r="L725" s="122"/>
      <c r="M725" s="122"/>
      <c r="N725" s="122"/>
      <c r="O725" s="122"/>
      <c r="P725" s="122"/>
      <c r="Q725" s="122"/>
      <c r="R725" s="122"/>
      <c r="AL725" s="360"/>
      <c r="AM725" s="499"/>
    </row>
    <row r="726" spans="1:39" ht="12.75" customHeight="1" x14ac:dyDescent="0.25">
      <c r="A726" s="395"/>
      <c r="J726" s="122"/>
      <c r="K726" s="122"/>
      <c r="L726" s="122"/>
      <c r="M726" s="122"/>
      <c r="N726" s="122"/>
      <c r="O726" s="122"/>
      <c r="P726" s="122"/>
      <c r="Q726" s="122"/>
      <c r="R726" s="122"/>
      <c r="AL726" s="360"/>
      <c r="AM726" s="499"/>
    </row>
    <row r="727" spans="1:39" ht="12.75" customHeight="1" x14ac:dyDescent="0.25">
      <c r="A727" s="395"/>
      <c r="J727" s="122"/>
      <c r="K727" s="122"/>
      <c r="L727" s="122"/>
      <c r="M727" s="122"/>
      <c r="N727" s="122"/>
      <c r="O727" s="122"/>
      <c r="P727" s="122"/>
      <c r="Q727" s="122"/>
      <c r="R727" s="122"/>
      <c r="AL727" s="360"/>
      <c r="AM727" s="499"/>
    </row>
    <row r="728" spans="1:39" ht="12.75" customHeight="1" x14ac:dyDescent="0.25">
      <c r="A728" s="395"/>
      <c r="J728" s="122"/>
      <c r="K728" s="122"/>
      <c r="L728" s="122"/>
      <c r="M728" s="122"/>
      <c r="N728" s="122"/>
      <c r="O728" s="122"/>
      <c r="P728" s="122"/>
      <c r="Q728" s="122"/>
      <c r="R728" s="122"/>
      <c r="AL728" s="360"/>
      <c r="AM728" s="499"/>
    </row>
    <row r="729" spans="1:39" ht="12.75" customHeight="1" x14ac:dyDescent="0.25">
      <c r="A729" s="395"/>
      <c r="J729" s="122"/>
      <c r="K729" s="122"/>
      <c r="L729" s="122"/>
      <c r="M729" s="122"/>
      <c r="N729" s="122"/>
      <c r="O729" s="122"/>
      <c r="P729" s="122"/>
      <c r="Q729" s="122"/>
      <c r="R729" s="122"/>
      <c r="AL729" s="360"/>
      <c r="AM729" s="499"/>
    </row>
    <row r="730" spans="1:39" ht="12.75" customHeight="1" x14ac:dyDescent="0.25">
      <c r="A730" s="395"/>
      <c r="J730" s="122"/>
      <c r="K730" s="122"/>
      <c r="L730" s="122"/>
      <c r="M730" s="122"/>
      <c r="N730" s="122"/>
      <c r="O730" s="122"/>
      <c r="P730" s="122"/>
      <c r="Q730" s="122"/>
      <c r="R730" s="122"/>
      <c r="AL730" s="360"/>
      <c r="AM730" s="499"/>
    </row>
    <row r="731" spans="1:39" ht="12.75" customHeight="1" x14ac:dyDescent="0.25">
      <c r="A731" s="395"/>
      <c r="J731" s="122"/>
      <c r="K731" s="122"/>
      <c r="L731" s="122"/>
      <c r="M731" s="122"/>
      <c r="N731" s="122"/>
      <c r="O731" s="122"/>
      <c r="P731" s="122"/>
      <c r="Q731" s="122"/>
      <c r="R731" s="122"/>
      <c r="AL731" s="360"/>
      <c r="AM731" s="499"/>
    </row>
    <row r="732" spans="1:39" ht="12.75" customHeight="1" x14ac:dyDescent="0.25">
      <c r="A732" s="395"/>
      <c r="J732" s="122"/>
      <c r="K732" s="122"/>
      <c r="L732" s="122"/>
      <c r="M732" s="122"/>
      <c r="N732" s="122"/>
      <c r="O732" s="122"/>
      <c r="P732" s="122"/>
      <c r="Q732" s="122"/>
      <c r="R732" s="122"/>
      <c r="AL732" s="360"/>
      <c r="AM732" s="499"/>
    </row>
    <row r="733" spans="1:39" ht="12.75" customHeight="1" x14ac:dyDescent="0.25">
      <c r="A733" s="395"/>
      <c r="J733" s="122"/>
      <c r="K733" s="122"/>
      <c r="L733" s="122"/>
      <c r="M733" s="122"/>
      <c r="N733" s="122"/>
      <c r="O733" s="122"/>
      <c r="P733" s="122"/>
      <c r="Q733" s="122"/>
      <c r="R733" s="122"/>
      <c r="AL733" s="360"/>
      <c r="AM733" s="499"/>
    </row>
    <row r="734" spans="1:39" ht="12.75" customHeight="1" x14ac:dyDescent="0.25">
      <c r="A734" s="395"/>
      <c r="J734" s="122"/>
      <c r="K734" s="122"/>
      <c r="L734" s="122"/>
      <c r="M734" s="122"/>
      <c r="N734" s="122"/>
      <c r="O734" s="122"/>
      <c r="P734" s="122"/>
      <c r="Q734" s="122"/>
      <c r="R734" s="122"/>
      <c r="AL734" s="360"/>
      <c r="AM734" s="499"/>
    </row>
    <row r="735" spans="1:39" ht="12.75" customHeight="1" x14ac:dyDescent="0.25">
      <c r="A735" s="395"/>
      <c r="J735" s="122"/>
      <c r="K735" s="122"/>
      <c r="L735" s="122"/>
      <c r="M735" s="122"/>
      <c r="N735" s="122"/>
      <c r="O735" s="122"/>
      <c r="P735" s="122"/>
      <c r="Q735" s="122"/>
      <c r="R735" s="122"/>
      <c r="AL735" s="360"/>
      <c r="AM735" s="499"/>
    </row>
    <row r="736" spans="1:39" ht="12.75" customHeight="1" x14ac:dyDescent="0.25">
      <c r="A736" s="395"/>
      <c r="J736" s="122"/>
      <c r="K736" s="122"/>
      <c r="L736" s="122"/>
      <c r="M736" s="122"/>
      <c r="N736" s="122"/>
      <c r="O736" s="122"/>
      <c r="P736" s="122"/>
      <c r="Q736" s="122"/>
      <c r="R736" s="122"/>
      <c r="AL736" s="360"/>
      <c r="AM736" s="499"/>
    </row>
    <row r="737" spans="1:39" ht="12.75" customHeight="1" x14ac:dyDescent="0.25">
      <c r="A737" s="395"/>
      <c r="J737" s="122"/>
      <c r="K737" s="122"/>
      <c r="L737" s="122"/>
      <c r="M737" s="122"/>
      <c r="N737" s="122"/>
      <c r="O737" s="122"/>
      <c r="P737" s="122"/>
      <c r="Q737" s="122"/>
      <c r="R737" s="122"/>
      <c r="AL737" s="360"/>
      <c r="AM737" s="499"/>
    </row>
    <row r="738" spans="1:39" ht="12.75" customHeight="1" x14ac:dyDescent="0.25">
      <c r="A738" s="395"/>
      <c r="J738" s="122"/>
      <c r="K738" s="122"/>
      <c r="L738" s="122"/>
      <c r="M738" s="122"/>
      <c r="N738" s="122"/>
      <c r="O738" s="122"/>
      <c r="P738" s="122"/>
      <c r="Q738" s="122"/>
      <c r="R738" s="122"/>
      <c r="AL738" s="360"/>
      <c r="AM738" s="499"/>
    </row>
    <row r="739" spans="1:39" ht="12.75" customHeight="1" x14ac:dyDescent="0.25">
      <c r="A739" s="395"/>
      <c r="J739" s="122"/>
      <c r="K739" s="122"/>
      <c r="L739" s="122"/>
      <c r="M739" s="122"/>
      <c r="N739" s="122"/>
      <c r="O739" s="122"/>
      <c r="P739" s="122"/>
      <c r="Q739" s="122"/>
      <c r="R739" s="122"/>
      <c r="AL739" s="360"/>
      <c r="AM739" s="499"/>
    </row>
    <row r="740" spans="1:39" ht="12.75" customHeight="1" x14ac:dyDescent="0.25">
      <c r="A740" s="395"/>
      <c r="J740" s="122"/>
      <c r="K740" s="122"/>
      <c r="L740" s="122"/>
      <c r="M740" s="122"/>
      <c r="N740" s="122"/>
      <c r="O740" s="122"/>
      <c r="P740" s="122"/>
      <c r="Q740" s="122"/>
      <c r="R740" s="122"/>
      <c r="AL740" s="360"/>
      <c r="AM740" s="499"/>
    </row>
    <row r="741" spans="1:39" ht="12.75" customHeight="1" x14ac:dyDescent="0.25">
      <c r="A741" s="395"/>
      <c r="J741" s="122"/>
      <c r="K741" s="122"/>
      <c r="L741" s="122"/>
      <c r="M741" s="122"/>
      <c r="N741" s="122"/>
      <c r="O741" s="122"/>
      <c r="P741" s="122"/>
      <c r="Q741" s="122"/>
      <c r="R741" s="122"/>
      <c r="AL741" s="360"/>
      <c r="AM741" s="499"/>
    </row>
    <row r="742" spans="1:39" ht="12.75" customHeight="1" x14ac:dyDescent="0.25">
      <c r="A742" s="395"/>
      <c r="J742" s="122"/>
      <c r="K742" s="122"/>
      <c r="L742" s="122"/>
      <c r="M742" s="122"/>
      <c r="N742" s="122"/>
      <c r="O742" s="122"/>
      <c r="P742" s="122"/>
      <c r="Q742" s="122"/>
      <c r="R742" s="122"/>
      <c r="AL742" s="360"/>
      <c r="AM742" s="499"/>
    </row>
    <row r="743" spans="1:39" ht="12.75" customHeight="1" x14ac:dyDescent="0.25">
      <c r="A743" s="395"/>
      <c r="J743" s="122"/>
      <c r="K743" s="122"/>
      <c r="L743" s="122"/>
      <c r="M743" s="122"/>
      <c r="N743" s="122"/>
      <c r="O743" s="122"/>
      <c r="P743" s="122"/>
      <c r="Q743" s="122"/>
      <c r="R743" s="122"/>
      <c r="AL743" s="360"/>
      <c r="AM743" s="499"/>
    </row>
    <row r="744" spans="1:39" ht="12.75" customHeight="1" x14ac:dyDescent="0.25">
      <c r="A744" s="395"/>
      <c r="J744" s="122"/>
      <c r="K744" s="122"/>
      <c r="L744" s="122"/>
      <c r="M744" s="122"/>
      <c r="N744" s="122"/>
      <c r="O744" s="122"/>
      <c r="P744" s="122"/>
      <c r="Q744" s="122"/>
      <c r="R744" s="122"/>
      <c r="AL744" s="360"/>
      <c r="AM744" s="499"/>
    </row>
    <row r="745" spans="1:39" ht="12.75" customHeight="1" x14ac:dyDescent="0.25">
      <c r="A745" s="395"/>
      <c r="J745" s="122"/>
      <c r="K745" s="122"/>
      <c r="L745" s="122"/>
      <c r="M745" s="122"/>
      <c r="N745" s="122"/>
      <c r="O745" s="122"/>
      <c r="P745" s="122"/>
      <c r="Q745" s="122"/>
      <c r="R745" s="122"/>
      <c r="AL745" s="360"/>
      <c r="AM745" s="499"/>
    </row>
    <row r="746" spans="1:39" ht="12.75" customHeight="1" x14ac:dyDescent="0.25">
      <c r="A746" s="395"/>
      <c r="J746" s="122"/>
      <c r="K746" s="122"/>
      <c r="L746" s="122"/>
      <c r="M746" s="122"/>
      <c r="N746" s="122"/>
      <c r="O746" s="122"/>
      <c r="P746" s="122"/>
      <c r="Q746" s="122"/>
      <c r="R746" s="122"/>
      <c r="AL746" s="360"/>
      <c r="AM746" s="499"/>
    </row>
    <row r="747" spans="1:39" ht="12.75" customHeight="1" x14ac:dyDescent="0.25">
      <c r="A747" s="395"/>
      <c r="J747" s="122"/>
      <c r="K747" s="122"/>
      <c r="L747" s="122"/>
      <c r="M747" s="122"/>
      <c r="N747" s="122"/>
      <c r="O747" s="122"/>
      <c r="P747" s="122"/>
      <c r="Q747" s="122"/>
      <c r="R747" s="122"/>
      <c r="AL747" s="360"/>
      <c r="AM747" s="499"/>
    </row>
    <row r="748" spans="1:39" ht="12.75" customHeight="1" x14ac:dyDescent="0.25">
      <c r="A748" s="395"/>
      <c r="J748" s="122"/>
      <c r="K748" s="122"/>
      <c r="L748" s="122"/>
      <c r="M748" s="122"/>
      <c r="N748" s="122"/>
      <c r="O748" s="122"/>
      <c r="P748" s="122"/>
      <c r="Q748" s="122"/>
      <c r="R748" s="122"/>
      <c r="AL748" s="360"/>
      <c r="AM748" s="499"/>
    </row>
    <row r="749" spans="1:39" ht="12.75" customHeight="1" x14ac:dyDescent="0.25">
      <c r="A749" s="395"/>
      <c r="J749" s="122"/>
      <c r="K749" s="122"/>
      <c r="L749" s="122"/>
      <c r="M749" s="122"/>
      <c r="N749" s="122"/>
      <c r="O749" s="122"/>
      <c r="P749" s="122"/>
      <c r="Q749" s="122"/>
      <c r="R749" s="122"/>
      <c r="AL749" s="360"/>
      <c r="AM749" s="499"/>
    </row>
    <row r="750" spans="1:39" ht="12.75" customHeight="1" x14ac:dyDescent="0.25">
      <c r="A750" s="395"/>
      <c r="J750" s="122"/>
      <c r="K750" s="122"/>
      <c r="L750" s="122"/>
      <c r="M750" s="122"/>
      <c r="N750" s="122"/>
      <c r="O750" s="122"/>
      <c r="P750" s="122"/>
      <c r="Q750" s="122"/>
      <c r="R750" s="122"/>
      <c r="AL750" s="360"/>
      <c r="AM750" s="499"/>
    </row>
    <row r="751" spans="1:39" ht="12.75" customHeight="1" x14ac:dyDescent="0.25">
      <c r="A751" s="395"/>
      <c r="J751" s="122"/>
      <c r="K751" s="122"/>
      <c r="L751" s="122"/>
      <c r="M751" s="122"/>
      <c r="N751" s="122"/>
      <c r="O751" s="122"/>
      <c r="P751" s="122"/>
      <c r="Q751" s="122"/>
      <c r="R751" s="122"/>
      <c r="AL751" s="360"/>
      <c r="AM751" s="499"/>
    </row>
    <row r="752" spans="1:39" ht="12.75" customHeight="1" x14ac:dyDescent="0.25">
      <c r="A752" s="395"/>
      <c r="J752" s="122"/>
      <c r="K752" s="122"/>
      <c r="L752" s="122"/>
      <c r="M752" s="122"/>
      <c r="N752" s="122"/>
      <c r="O752" s="122"/>
      <c r="P752" s="122"/>
      <c r="Q752" s="122"/>
      <c r="R752" s="122"/>
      <c r="AL752" s="360"/>
      <c r="AM752" s="499"/>
    </row>
    <row r="753" spans="1:39" ht="12.75" customHeight="1" x14ac:dyDescent="0.25">
      <c r="A753" s="395"/>
      <c r="J753" s="122"/>
      <c r="K753" s="122"/>
      <c r="L753" s="122"/>
      <c r="M753" s="122"/>
      <c r="N753" s="122"/>
      <c r="O753" s="122"/>
      <c r="P753" s="122"/>
      <c r="Q753" s="122"/>
      <c r="R753" s="122"/>
      <c r="AL753" s="360"/>
      <c r="AM753" s="499"/>
    </row>
    <row r="754" spans="1:39" ht="12.75" customHeight="1" x14ac:dyDescent="0.25">
      <c r="A754" s="395"/>
      <c r="J754" s="122"/>
      <c r="K754" s="122"/>
      <c r="L754" s="122"/>
      <c r="M754" s="122"/>
      <c r="N754" s="122"/>
      <c r="O754" s="122"/>
      <c r="P754" s="122"/>
      <c r="Q754" s="122"/>
      <c r="R754" s="122"/>
      <c r="AL754" s="360"/>
      <c r="AM754" s="499"/>
    </row>
    <row r="755" spans="1:39" ht="12.75" customHeight="1" x14ac:dyDescent="0.25">
      <c r="A755" s="395"/>
      <c r="J755" s="122"/>
      <c r="K755" s="122"/>
      <c r="L755" s="122"/>
      <c r="M755" s="122"/>
      <c r="N755" s="122"/>
      <c r="O755" s="122"/>
      <c r="P755" s="122"/>
      <c r="Q755" s="122"/>
      <c r="R755" s="122"/>
      <c r="AL755" s="360"/>
      <c r="AM755" s="499"/>
    </row>
    <row r="756" spans="1:39" ht="12.75" customHeight="1" x14ac:dyDescent="0.25">
      <c r="A756" s="395"/>
      <c r="J756" s="122"/>
      <c r="K756" s="122"/>
      <c r="L756" s="122"/>
      <c r="M756" s="122"/>
      <c r="N756" s="122"/>
      <c r="O756" s="122"/>
      <c r="P756" s="122"/>
      <c r="Q756" s="122"/>
      <c r="R756" s="122"/>
      <c r="AL756" s="360"/>
      <c r="AM756" s="499"/>
    </row>
    <row r="757" spans="1:39" ht="12.75" customHeight="1" x14ac:dyDescent="0.25">
      <c r="A757" s="395"/>
      <c r="J757" s="122"/>
      <c r="K757" s="122"/>
      <c r="L757" s="122"/>
      <c r="M757" s="122"/>
      <c r="N757" s="122"/>
      <c r="O757" s="122"/>
      <c r="P757" s="122"/>
      <c r="Q757" s="122"/>
      <c r="R757" s="122"/>
      <c r="AL757" s="360"/>
      <c r="AM757" s="499"/>
    </row>
    <row r="758" spans="1:39" ht="12.75" customHeight="1" x14ac:dyDescent="0.25">
      <c r="A758" s="395"/>
      <c r="J758" s="122"/>
      <c r="K758" s="122"/>
      <c r="L758" s="122"/>
      <c r="M758" s="122"/>
      <c r="N758" s="122"/>
      <c r="O758" s="122"/>
      <c r="P758" s="122"/>
      <c r="Q758" s="122"/>
      <c r="R758" s="122"/>
      <c r="AL758" s="360"/>
      <c r="AM758" s="499"/>
    </row>
    <row r="759" spans="1:39" ht="12.75" customHeight="1" x14ac:dyDescent="0.25">
      <c r="A759" s="395"/>
      <c r="J759" s="122"/>
      <c r="K759" s="122"/>
      <c r="L759" s="122"/>
      <c r="M759" s="122"/>
      <c r="N759" s="122"/>
      <c r="O759" s="122"/>
      <c r="P759" s="122"/>
      <c r="Q759" s="122"/>
      <c r="R759" s="122"/>
      <c r="AL759" s="360"/>
      <c r="AM759" s="499"/>
    </row>
    <row r="760" spans="1:39" ht="12.75" customHeight="1" x14ac:dyDescent="0.25">
      <c r="A760" s="395"/>
      <c r="J760" s="122"/>
      <c r="K760" s="122"/>
      <c r="L760" s="122"/>
      <c r="M760" s="122"/>
      <c r="N760" s="122"/>
      <c r="O760" s="122"/>
      <c r="P760" s="122"/>
      <c r="Q760" s="122"/>
      <c r="R760" s="122"/>
      <c r="AL760" s="360"/>
      <c r="AM760" s="499"/>
    </row>
    <row r="761" spans="1:39" ht="12.75" customHeight="1" x14ac:dyDescent="0.25">
      <c r="A761" s="395"/>
      <c r="J761" s="122"/>
      <c r="K761" s="122"/>
      <c r="L761" s="122"/>
      <c r="M761" s="122"/>
      <c r="N761" s="122"/>
      <c r="O761" s="122"/>
      <c r="P761" s="122"/>
      <c r="Q761" s="122"/>
      <c r="R761" s="122"/>
      <c r="AL761" s="360"/>
      <c r="AM761" s="499"/>
    </row>
    <row r="762" spans="1:39" ht="12.75" customHeight="1" x14ac:dyDescent="0.25">
      <c r="A762" s="395"/>
      <c r="J762" s="122"/>
      <c r="K762" s="122"/>
      <c r="L762" s="122"/>
      <c r="M762" s="122"/>
      <c r="N762" s="122"/>
      <c r="O762" s="122"/>
      <c r="P762" s="122"/>
      <c r="Q762" s="122"/>
      <c r="R762" s="122"/>
      <c r="AL762" s="360"/>
      <c r="AM762" s="499"/>
    </row>
    <row r="763" spans="1:39" ht="12.75" customHeight="1" x14ac:dyDescent="0.25">
      <c r="A763" s="395"/>
      <c r="J763" s="122"/>
      <c r="K763" s="122"/>
      <c r="L763" s="122"/>
      <c r="M763" s="122"/>
      <c r="N763" s="122"/>
      <c r="O763" s="122"/>
      <c r="P763" s="122"/>
      <c r="Q763" s="122"/>
      <c r="R763" s="122"/>
      <c r="AL763" s="360"/>
      <c r="AM763" s="499"/>
    </row>
    <row r="764" spans="1:39" ht="12.75" customHeight="1" x14ac:dyDescent="0.25">
      <c r="A764" s="395"/>
      <c r="J764" s="122"/>
      <c r="K764" s="122"/>
      <c r="L764" s="122"/>
      <c r="M764" s="122"/>
      <c r="N764" s="122"/>
      <c r="O764" s="122"/>
      <c r="P764" s="122"/>
      <c r="Q764" s="122"/>
      <c r="R764" s="122"/>
      <c r="AL764" s="360"/>
      <c r="AM764" s="499"/>
    </row>
    <row r="765" spans="1:39" ht="12.75" customHeight="1" x14ac:dyDescent="0.25">
      <c r="A765" s="395"/>
      <c r="J765" s="122"/>
      <c r="K765" s="122"/>
      <c r="L765" s="122"/>
      <c r="M765" s="122"/>
      <c r="N765" s="122"/>
      <c r="O765" s="122"/>
      <c r="P765" s="122"/>
      <c r="Q765" s="122"/>
      <c r="R765" s="122"/>
      <c r="AL765" s="360"/>
      <c r="AM765" s="499"/>
    </row>
    <row r="766" spans="1:39" ht="12.75" customHeight="1" x14ac:dyDescent="0.25">
      <c r="A766" s="395"/>
      <c r="J766" s="122"/>
      <c r="K766" s="122"/>
      <c r="L766" s="122"/>
      <c r="M766" s="122"/>
      <c r="N766" s="122"/>
      <c r="O766" s="122"/>
      <c r="P766" s="122"/>
      <c r="Q766" s="122"/>
      <c r="R766" s="122"/>
      <c r="AL766" s="360"/>
      <c r="AM766" s="499"/>
    </row>
    <row r="767" spans="1:39" ht="12.75" customHeight="1" x14ac:dyDescent="0.25">
      <c r="A767" s="395"/>
      <c r="J767" s="122"/>
      <c r="K767" s="122"/>
      <c r="L767" s="122"/>
      <c r="M767" s="122"/>
      <c r="N767" s="122"/>
      <c r="O767" s="122"/>
      <c r="P767" s="122"/>
      <c r="Q767" s="122"/>
      <c r="R767" s="122"/>
      <c r="AL767" s="360"/>
      <c r="AM767" s="499"/>
    </row>
    <row r="768" spans="1:39" ht="12.75" customHeight="1" x14ac:dyDescent="0.25">
      <c r="A768" s="395"/>
      <c r="J768" s="122"/>
      <c r="K768" s="122"/>
      <c r="L768" s="122"/>
      <c r="M768" s="122"/>
      <c r="N768" s="122"/>
      <c r="O768" s="122"/>
      <c r="P768" s="122"/>
      <c r="Q768" s="122"/>
      <c r="R768" s="122"/>
      <c r="AL768" s="360"/>
      <c r="AM768" s="499"/>
    </row>
    <row r="769" spans="1:39" ht="12.75" customHeight="1" x14ac:dyDescent="0.25">
      <c r="A769" s="395"/>
      <c r="J769" s="122"/>
      <c r="K769" s="122"/>
      <c r="L769" s="122"/>
      <c r="M769" s="122"/>
      <c r="N769" s="122"/>
      <c r="O769" s="122"/>
      <c r="P769" s="122"/>
      <c r="Q769" s="122"/>
      <c r="R769" s="122"/>
      <c r="AL769" s="360"/>
      <c r="AM769" s="499"/>
    </row>
    <row r="770" spans="1:39" ht="12.75" customHeight="1" x14ac:dyDescent="0.25">
      <c r="A770" s="395"/>
      <c r="J770" s="122"/>
      <c r="K770" s="122"/>
      <c r="L770" s="122"/>
      <c r="M770" s="122"/>
      <c r="N770" s="122"/>
      <c r="O770" s="122"/>
      <c r="P770" s="122"/>
      <c r="Q770" s="122"/>
      <c r="R770" s="122"/>
      <c r="AL770" s="360"/>
      <c r="AM770" s="499"/>
    </row>
    <row r="771" spans="1:39" ht="12.75" customHeight="1" x14ac:dyDescent="0.25">
      <c r="A771" s="395"/>
      <c r="J771" s="122"/>
      <c r="K771" s="122"/>
      <c r="L771" s="122"/>
      <c r="M771" s="122"/>
      <c r="N771" s="122"/>
      <c r="O771" s="122"/>
      <c r="P771" s="122"/>
      <c r="Q771" s="122"/>
      <c r="R771" s="122"/>
      <c r="AL771" s="360"/>
      <c r="AM771" s="499"/>
    </row>
    <row r="772" spans="1:39" ht="12.75" customHeight="1" x14ac:dyDescent="0.25">
      <c r="A772" s="395"/>
      <c r="J772" s="122"/>
      <c r="K772" s="122"/>
      <c r="L772" s="122"/>
      <c r="M772" s="122"/>
      <c r="N772" s="122"/>
      <c r="O772" s="122"/>
      <c r="P772" s="122"/>
      <c r="Q772" s="122"/>
      <c r="R772" s="122"/>
      <c r="AL772" s="360"/>
      <c r="AM772" s="499"/>
    </row>
    <row r="773" spans="1:39" ht="12.75" customHeight="1" x14ac:dyDescent="0.25">
      <c r="A773" s="395"/>
      <c r="J773" s="122"/>
      <c r="K773" s="122"/>
      <c r="L773" s="122"/>
      <c r="M773" s="122"/>
      <c r="N773" s="122"/>
      <c r="O773" s="122"/>
      <c r="P773" s="122"/>
      <c r="Q773" s="122"/>
      <c r="R773" s="122"/>
      <c r="AL773" s="360"/>
      <c r="AM773" s="499"/>
    </row>
    <row r="774" spans="1:39" ht="12.75" customHeight="1" x14ac:dyDescent="0.25">
      <c r="A774" s="395"/>
      <c r="J774" s="122"/>
      <c r="K774" s="122"/>
      <c r="L774" s="122"/>
      <c r="M774" s="122"/>
      <c r="N774" s="122"/>
      <c r="O774" s="122"/>
      <c r="P774" s="122"/>
      <c r="Q774" s="122"/>
      <c r="R774" s="122"/>
      <c r="AL774" s="360"/>
      <c r="AM774" s="499"/>
    </row>
    <row r="775" spans="1:39" ht="12.75" customHeight="1" x14ac:dyDescent="0.25">
      <c r="A775" s="395"/>
      <c r="J775" s="122"/>
      <c r="K775" s="122"/>
      <c r="L775" s="122"/>
      <c r="M775" s="122"/>
      <c r="N775" s="122"/>
      <c r="O775" s="122"/>
      <c r="P775" s="122"/>
      <c r="Q775" s="122"/>
      <c r="R775" s="122"/>
      <c r="AL775" s="360"/>
      <c r="AM775" s="499"/>
    </row>
    <row r="776" spans="1:39" ht="12.75" customHeight="1" x14ac:dyDescent="0.25">
      <c r="A776" s="395"/>
      <c r="J776" s="122"/>
      <c r="K776" s="122"/>
      <c r="L776" s="122"/>
      <c r="M776" s="122"/>
      <c r="N776" s="122"/>
      <c r="O776" s="122"/>
      <c r="P776" s="122"/>
      <c r="Q776" s="122"/>
      <c r="R776" s="122"/>
      <c r="AL776" s="360"/>
      <c r="AM776" s="499"/>
    </row>
    <row r="777" spans="1:39" ht="12.75" customHeight="1" x14ac:dyDescent="0.25">
      <c r="A777" s="395"/>
      <c r="J777" s="122"/>
      <c r="K777" s="122"/>
      <c r="L777" s="122"/>
      <c r="M777" s="122"/>
      <c r="N777" s="122"/>
      <c r="O777" s="122"/>
      <c r="P777" s="122"/>
      <c r="Q777" s="122"/>
      <c r="R777" s="122"/>
      <c r="AL777" s="360"/>
      <c r="AM777" s="499"/>
    </row>
    <row r="778" spans="1:39" ht="12.75" customHeight="1" x14ac:dyDescent="0.25">
      <c r="A778" s="395"/>
      <c r="J778" s="122"/>
      <c r="K778" s="122"/>
      <c r="L778" s="122"/>
      <c r="M778" s="122"/>
      <c r="N778" s="122"/>
      <c r="O778" s="122"/>
      <c r="P778" s="122"/>
      <c r="Q778" s="122"/>
      <c r="R778" s="122"/>
      <c r="AL778" s="360"/>
      <c r="AM778" s="499"/>
    </row>
    <row r="779" spans="1:39" ht="12.75" customHeight="1" x14ac:dyDescent="0.25">
      <c r="A779" s="395"/>
      <c r="J779" s="122"/>
      <c r="K779" s="122"/>
      <c r="L779" s="122"/>
      <c r="M779" s="122"/>
      <c r="N779" s="122"/>
      <c r="O779" s="122"/>
      <c r="P779" s="122"/>
      <c r="Q779" s="122"/>
      <c r="R779" s="122"/>
      <c r="AL779" s="360"/>
      <c r="AM779" s="499"/>
    </row>
    <row r="780" spans="1:39" ht="12.75" customHeight="1" x14ac:dyDescent="0.25">
      <c r="A780" s="395"/>
      <c r="J780" s="122"/>
      <c r="K780" s="122"/>
      <c r="L780" s="122"/>
      <c r="M780" s="122"/>
      <c r="N780" s="122"/>
      <c r="O780" s="122"/>
      <c r="P780" s="122"/>
      <c r="Q780" s="122"/>
      <c r="R780" s="122"/>
      <c r="AL780" s="360"/>
      <c r="AM780" s="499"/>
    </row>
    <row r="781" spans="1:39" ht="12.75" customHeight="1" x14ac:dyDescent="0.25">
      <c r="A781" s="395"/>
      <c r="J781" s="122"/>
      <c r="K781" s="122"/>
      <c r="L781" s="122"/>
      <c r="M781" s="122"/>
      <c r="N781" s="122"/>
      <c r="O781" s="122"/>
      <c r="P781" s="122"/>
      <c r="Q781" s="122"/>
      <c r="R781" s="122"/>
      <c r="AL781" s="360"/>
      <c r="AM781" s="499"/>
    </row>
    <row r="782" spans="1:39" ht="12.75" customHeight="1" x14ac:dyDescent="0.25">
      <c r="A782" s="395"/>
      <c r="J782" s="122"/>
      <c r="K782" s="122"/>
      <c r="L782" s="122"/>
      <c r="M782" s="122"/>
      <c r="N782" s="122"/>
      <c r="O782" s="122"/>
      <c r="P782" s="122"/>
      <c r="Q782" s="122"/>
      <c r="R782" s="122"/>
      <c r="AL782" s="360"/>
      <c r="AM782" s="499"/>
    </row>
    <row r="783" spans="1:39" ht="12.75" customHeight="1" x14ac:dyDescent="0.25">
      <c r="A783" s="395"/>
      <c r="J783" s="122"/>
      <c r="K783" s="122"/>
      <c r="L783" s="122"/>
      <c r="M783" s="122"/>
      <c r="N783" s="122"/>
      <c r="O783" s="122"/>
      <c r="P783" s="122"/>
      <c r="Q783" s="122"/>
      <c r="R783" s="122"/>
      <c r="AL783" s="360"/>
      <c r="AM783" s="499"/>
    </row>
    <row r="784" spans="1:39" ht="12.75" customHeight="1" x14ac:dyDescent="0.25">
      <c r="A784" s="395"/>
      <c r="J784" s="122"/>
      <c r="K784" s="122"/>
      <c r="L784" s="122"/>
      <c r="M784" s="122"/>
      <c r="N784" s="122"/>
      <c r="O784" s="122"/>
      <c r="P784" s="122"/>
      <c r="Q784" s="122"/>
      <c r="R784" s="122"/>
      <c r="AL784" s="360"/>
      <c r="AM784" s="499"/>
    </row>
    <row r="785" spans="1:39" ht="12.75" customHeight="1" x14ac:dyDescent="0.25">
      <c r="A785" s="395"/>
      <c r="J785" s="122"/>
      <c r="K785" s="122"/>
      <c r="L785" s="122"/>
      <c r="M785" s="122"/>
      <c r="N785" s="122"/>
      <c r="O785" s="122"/>
      <c r="P785" s="122"/>
      <c r="Q785" s="122"/>
      <c r="R785" s="122"/>
      <c r="AL785" s="360"/>
      <c r="AM785" s="499"/>
    </row>
    <row r="786" spans="1:39" ht="12.75" customHeight="1" x14ac:dyDescent="0.25">
      <c r="A786" s="395"/>
      <c r="J786" s="122"/>
      <c r="K786" s="122"/>
      <c r="L786" s="122"/>
      <c r="M786" s="122"/>
      <c r="N786" s="122"/>
      <c r="O786" s="122"/>
      <c r="P786" s="122"/>
      <c r="Q786" s="122"/>
      <c r="R786" s="122"/>
      <c r="AL786" s="360"/>
      <c r="AM786" s="499"/>
    </row>
    <row r="787" spans="1:39" ht="12.75" customHeight="1" x14ac:dyDescent="0.25">
      <c r="A787" s="395"/>
      <c r="J787" s="122"/>
      <c r="K787" s="122"/>
      <c r="L787" s="122"/>
      <c r="M787" s="122"/>
      <c r="N787" s="122"/>
      <c r="O787" s="122"/>
      <c r="P787" s="122"/>
      <c r="Q787" s="122"/>
      <c r="R787" s="122"/>
      <c r="AL787" s="360"/>
      <c r="AM787" s="499"/>
    </row>
    <row r="788" spans="1:39" ht="12.75" customHeight="1" x14ac:dyDescent="0.25">
      <c r="A788" s="395"/>
      <c r="J788" s="122"/>
      <c r="K788" s="122"/>
      <c r="L788" s="122"/>
      <c r="M788" s="122"/>
      <c r="N788" s="122"/>
      <c r="O788" s="122"/>
      <c r="P788" s="122"/>
      <c r="Q788" s="122"/>
      <c r="R788" s="122"/>
      <c r="AL788" s="360"/>
      <c r="AM788" s="499"/>
    </row>
    <row r="789" spans="1:39" ht="12.75" customHeight="1" x14ac:dyDescent="0.25">
      <c r="A789" s="395"/>
      <c r="J789" s="122"/>
      <c r="K789" s="122"/>
      <c r="L789" s="122"/>
      <c r="M789" s="122"/>
      <c r="N789" s="122"/>
      <c r="O789" s="122"/>
      <c r="P789" s="122"/>
      <c r="Q789" s="122"/>
      <c r="R789" s="122"/>
      <c r="AL789" s="360"/>
      <c r="AM789" s="499"/>
    </row>
    <row r="790" spans="1:39" ht="12.75" customHeight="1" x14ac:dyDescent="0.25">
      <c r="A790" s="395"/>
      <c r="J790" s="122"/>
      <c r="K790" s="122"/>
      <c r="L790" s="122"/>
      <c r="M790" s="122"/>
      <c r="N790" s="122"/>
      <c r="O790" s="122"/>
      <c r="P790" s="122"/>
      <c r="Q790" s="122"/>
      <c r="R790" s="122"/>
      <c r="AL790" s="360"/>
      <c r="AM790" s="499"/>
    </row>
    <row r="791" spans="1:39" ht="12.75" customHeight="1" x14ac:dyDescent="0.25">
      <c r="A791" s="395"/>
      <c r="J791" s="122"/>
      <c r="K791" s="122"/>
      <c r="L791" s="122"/>
      <c r="M791" s="122"/>
      <c r="N791" s="122"/>
      <c r="O791" s="122"/>
      <c r="P791" s="122"/>
      <c r="Q791" s="122"/>
      <c r="R791" s="122"/>
      <c r="AL791" s="360"/>
      <c r="AM791" s="499"/>
    </row>
    <row r="792" spans="1:39" ht="12.75" customHeight="1" x14ac:dyDescent="0.25">
      <c r="A792" s="395"/>
      <c r="J792" s="122"/>
      <c r="K792" s="122"/>
      <c r="L792" s="122"/>
      <c r="M792" s="122"/>
      <c r="N792" s="122"/>
      <c r="O792" s="122"/>
      <c r="P792" s="122"/>
      <c r="Q792" s="122"/>
      <c r="R792" s="122"/>
      <c r="AL792" s="360"/>
      <c r="AM792" s="499"/>
    </row>
    <row r="793" spans="1:39" ht="12.75" customHeight="1" x14ac:dyDescent="0.25">
      <c r="A793" s="395"/>
      <c r="J793" s="122"/>
      <c r="K793" s="122"/>
      <c r="L793" s="122"/>
      <c r="M793" s="122"/>
      <c r="N793" s="122"/>
      <c r="O793" s="122"/>
      <c r="P793" s="122"/>
      <c r="Q793" s="122"/>
      <c r="R793" s="122"/>
      <c r="AL793" s="360"/>
      <c r="AM793" s="499"/>
    </row>
    <row r="794" spans="1:39" ht="12.75" customHeight="1" x14ac:dyDescent="0.25">
      <c r="A794" s="395"/>
      <c r="J794" s="122"/>
      <c r="K794" s="122"/>
      <c r="L794" s="122"/>
      <c r="M794" s="122"/>
      <c r="N794" s="122"/>
      <c r="O794" s="122"/>
      <c r="P794" s="122"/>
      <c r="Q794" s="122"/>
      <c r="R794" s="122"/>
      <c r="AL794" s="360"/>
      <c r="AM794" s="499"/>
    </row>
    <row r="795" spans="1:39" ht="12.75" customHeight="1" x14ac:dyDescent="0.25">
      <c r="A795" s="395"/>
      <c r="J795" s="122"/>
      <c r="K795" s="122"/>
      <c r="L795" s="122"/>
      <c r="M795" s="122"/>
      <c r="N795" s="122"/>
      <c r="O795" s="122"/>
      <c r="P795" s="122"/>
      <c r="Q795" s="122"/>
      <c r="R795" s="122"/>
      <c r="AL795" s="360"/>
      <c r="AM795" s="499"/>
    </row>
    <row r="796" spans="1:39" ht="12.75" customHeight="1" x14ac:dyDescent="0.25">
      <c r="A796" s="395"/>
      <c r="J796" s="122"/>
      <c r="K796" s="122"/>
      <c r="L796" s="122"/>
      <c r="M796" s="122"/>
      <c r="N796" s="122"/>
      <c r="O796" s="122"/>
      <c r="P796" s="122"/>
      <c r="Q796" s="122"/>
      <c r="R796" s="122"/>
      <c r="AL796" s="360"/>
      <c r="AM796" s="499"/>
    </row>
    <row r="797" spans="1:39" ht="12.75" customHeight="1" x14ac:dyDescent="0.25">
      <c r="A797" s="395"/>
      <c r="J797" s="122"/>
      <c r="K797" s="122"/>
      <c r="L797" s="122"/>
      <c r="M797" s="122"/>
      <c r="N797" s="122"/>
      <c r="O797" s="122"/>
      <c r="P797" s="122"/>
      <c r="Q797" s="122"/>
      <c r="R797" s="122"/>
      <c r="AL797" s="360"/>
      <c r="AM797" s="499"/>
    </row>
    <row r="798" spans="1:39" ht="12.75" customHeight="1" x14ac:dyDescent="0.25">
      <c r="A798" s="395"/>
      <c r="J798" s="122"/>
      <c r="K798" s="122"/>
      <c r="L798" s="122"/>
      <c r="M798" s="122"/>
      <c r="N798" s="122"/>
      <c r="O798" s="122"/>
      <c r="P798" s="122"/>
      <c r="Q798" s="122"/>
      <c r="R798" s="122"/>
      <c r="AL798" s="360"/>
      <c r="AM798" s="499"/>
    </row>
    <row r="799" spans="1:39" ht="12.75" customHeight="1" x14ac:dyDescent="0.25">
      <c r="A799" s="395"/>
      <c r="J799" s="122"/>
      <c r="K799" s="122"/>
      <c r="L799" s="122"/>
      <c r="M799" s="122"/>
      <c r="N799" s="122"/>
      <c r="O799" s="122"/>
      <c r="P799" s="122"/>
      <c r="Q799" s="122"/>
      <c r="R799" s="122"/>
      <c r="AL799" s="360"/>
      <c r="AM799" s="499"/>
    </row>
    <row r="800" spans="1:39" ht="12.75" customHeight="1" x14ac:dyDescent="0.25">
      <c r="A800" s="395"/>
      <c r="J800" s="122"/>
      <c r="K800" s="122"/>
      <c r="L800" s="122"/>
      <c r="M800" s="122"/>
      <c r="N800" s="122"/>
      <c r="O800" s="122"/>
      <c r="P800" s="122"/>
      <c r="Q800" s="122"/>
      <c r="R800" s="122"/>
      <c r="AL800" s="360"/>
      <c r="AM800" s="499"/>
    </row>
    <row r="801" spans="1:39" ht="12.75" customHeight="1" x14ac:dyDescent="0.25">
      <c r="A801" s="395"/>
      <c r="J801" s="122"/>
      <c r="K801" s="122"/>
      <c r="L801" s="122"/>
      <c r="M801" s="122"/>
      <c r="N801" s="122"/>
      <c r="O801" s="122"/>
      <c r="P801" s="122"/>
      <c r="Q801" s="122"/>
      <c r="R801" s="122"/>
      <c r="AL801" s="360"/>
      <c r="AM801" s="499"/>
    </row>
    <row r="802" spans="1:39" ht="12.75" customHeight="1" x14ac:dyDescent="0.25">
      <c r="A802" s="395"/>
      <c r="J802" s="122"/>
      <c r="K802" s="122"/>
      <c r="L802" s="122"/>
      <c r="M802" s="122"/>
      <c r="N802" s="122"/>
      <c r="O802" s="122"/>
      <c r="P802" s="122"/>
      <c r="Q802" s="122"/>
      <c r="R802" s="122"/>
      <c r="AL802" s="360"/>
      <c r="AM802" s="499"/>
    </row>
    <row r="803" spans="1:39" ht="12.75" customHeight="1" x14ac:dyDescent="0.25">
      <c r="A803" s="395"/>
      <c r="J803" s="122"/>
      <c r="K803" s="122"/>
      <c r="L803" s="122"/>
      <c r="M803" s="122"/>
      <c r="N803" s="122"/>
      <c r="O803" s="122"/>
      <c r="P803" s="122"/>
      <c r="Q803" s="122"/>
      <c r="R803" s="122"/>
      <c r="AL803" s="360"/>
      <c r="AM803" s="499"/>
    </row>
    <row r="804" spans="1:39" ht="12.75" customHeight="1" x14ac:dyDescent="0.25">
      <c r="A804" s="395"/>
      <c r="J804" s="122"/>
      <c r="K804" s="122"/>
      <c r="L804" s="122"/>
      <c r="M804" s="122"/>
      <c r="N804" s="122"/>
      <c r="O804" s="122"/>
      <c r="P804" s="122"/>
      <c r="Q804" s="122"/>
      <c r="R804" s="122"/>
      <c r="AL804" s="360"/>
      <c r="AM804" s="499"/>
    </row>
    <row r="805" spans="1:39" ht="12.75" customHeight="1" x14ac:dyDescent="0.25">
      <c r="A805" s="395"/>
      <c r="J805" s="122"/>
      <c r="K805" s="122"/>
      <c r="L805" s="122"/>
      <c r="M805" s="122"/>
      <c r="N805" s="122"/>
      <c r="O805" s="122"/>
      <c r="P805" s="122"/>
      <c r="Q805" s="122"/>
      <c r="R805" s="122"/>
      <c r="AL805" s="360"/>
      <c r="AM805" s="499"/>
    </row>
    <row r="806" spans="1:39" ht="12.75" customHeight="1" x14ac:dyDescent="0.25">
      <c r="A806" s="395"/>
      <c r="J806" s="122"/>
      <c r="K806" s="122"/>
      <c r="L806" s="122"/>
      <c r="M806" s="122"/>
      <c r="N806" s="122"/>
      <c r="O806" s="122"/>
      <c r="P806" s="122"/>
      <c r="Q806" s="122"/>
      <c r="R806" s="122"/>
      <c r="AL806" s="360"/>
      <c r="AM806" s="499"/>
    </row>
    <row r="807" spans="1:39" ht="12.75" customHeight="1" x14ac:dyDescent="0.25">
      <c r="A807" s="395"/>
      <c r="J807" s="122"/>
      <c r="K807" s="122"/>
      <c r="L807" s="122"/>
      <c r="M807" s="122"/>
      <c r="N807" s="122"/>
      <c r="O807" s="122"/>
      <c r="P807" s="122"/>
      <c r="Q807" s="122"/>
      <c r="R807" s="122"/>
      <c r="AL807" s="360"/>
      <c r="AM807" s="499"/>
    </row>
    <row r="808" spans="1:39" ht="12.75" customHeight="1" x14ac:dyDescent="0.25">
      <c r="A808" s="395"/>
      <c r="J808" s="122"/>
      <c r="K808" s="122"/>
      <c r="L808" s="122"/>
      <c r="M808" s="122"/>
      <c r="N808" s="122"/>
      <c r="O808" s="122"/>
      <c r="P808" s="122"/>
      <c r="Q808" s="122"/>
      <c r="R808" s="122"/>
      <c r="AL808" s="360"/>
      <c r="AM808" s="499"/>
    </row>
    <row r="809" spans="1:39" ht="12.75" customHeight="1" x14ac:dyDescent="0.25">
      <c r="A809" s="395"/>
      <c r="J809" s="122"/>
      <c r="K809" s="122"/>
      <c r="L809" s="122"/>
      <c r="M809" s="122"/>
      <c r="N809" s="122"/>
      <c r="O809" s="122"/>
      <c r="P809" s="122"/>
      <c r="Q809" s="122"/>
      <c r="R809" s="122"/>
      <c r="AL809" s="360"/>
      <c r="AM809" s="499"/>
    </row>
    <row r="810" spans="1:39" ht="12.75" customHeight="1" x14ac:dyDescent="0.25">
      <c r="A810" s="395"/>
      <c r="J810" s="122"/>
      <c r="K810" s="122"/>
      <c r="L810" s="122"/>
      <c r="M810" s="122"/>
      <c r="N810" s="122"/>
      <c r="O810" s="122"/>
      <c r="P810" s="122"/>
      <c r="Q810" s="122"/>
      <c r="R810" s="122"/>
      <c r="AL810" s="360"/>
      <c r="AM810" s="499"/>
    </row>
    <row r="811" spans="1:39" ht="12.75" customHeight="1" x14ac:dyDescent="0.25">
      <c r="A811" s="395"/>
      <c r="J811" s="122"/>
      <c r="K811" s="122"/>
      <c r="L811" s="122"/>
      <c r="M811" s="122"/>
      <c r="N811" s="122"/>
      <c r="O811" s="122"/>
      <c r="P811" s="122"/>
      <c r="Q811" s="122"/>
      <c r="R811" s="122"/>
      <c r="AL811" s="360"/>
      <c r="AM811" s="499"/>
    </row>
    <row r="812" spans="1:39" ht="12.75" customHeight="1" x14ac:dyDescent="0.25">
      <c r="A812" s="395"/>
      <c r="J812" s="122"/>
      <c r="K812" s="122"/>
      <c r="L812" s="122"/>
      <c r="M812" s="122"/>
      <c r="N812" s="122"/>
      <c r="O812" s="122"/>
      <c r="P812" s="122"/>
      <c r="Q812" s="122"/>
      <c r="R812" s="122"/>
      <c r="AL812" s="360"/>
      <c r="AM812" s="499"/>
    </row>
    <row r="813" spans="1:39" ht="12.75" customHeight="1" x14ac:dyDescent="0.25">
      <c r="A813" s="395"/>
      <c r="J813" s="122"/>
      <c r="K813" s="122"/>
      <c r="L813" s="122"/>
      <c r="M813" s="122"/>
      <c r="N813" s="122"/>
      <c r="O813" s="122"/>
      <c r="P813" s="122"/>
      <c r="Q813" s="122"/>
      <c r="R813" s="122"/>
      <c r="AL813" s="360"/>
      <c r="AM813" s="499"/>
    </row>
    <row r="814" spans="1:39" ht="12.75" customHeight="1" x14ac:dyDescent="0.25">
      <c r="A814" s="395"/>
      <c r="J814" s="122"/>
      <c r="K814" s="122"/>
      <c r="L814" s="122"/>
      <c r="M814" s="122"/>
      <c r="N814" s="122"/>
      <c r="O814" s="122"/>
      <c r="P814" s="122"/>
      <c r="Q814" s="122"/>
      <c r="R814" s="122"/>
      <c r="AL814" s="360"/>
      <c r="AM814" s="499"/>
    </row>
    <row r="815" spans="1:39" ht="12.75" customHeight="1" x14ac:dyDescent="0.25">
      <c r="A815" s="395"/>
      <c r="J815" s="122"/>
      <c r="K815" s="122"/>
      <c r="L815" s="122"/>
      <c r="M815" s="122"/>
      <c r="N815" s="122"/>
      <c r="O815" s="122"/>
      <c r="P815" s="122"/>
      <c r="Q815" s="122"/>
      <c r="R815" s="122"/>
      <c r="AL815" s="360"/>
      <c r="AM815" s="499"/>
    </row>
    <row r="816" spans="1:39" ht="12.75" customHeight="1" x14ac:dyDescent="0.25">
      <c r="A816" s="395"/>
      <c r="J816" s="122"/>
      <c r="K816" s="122"/>
      <c r="L816" s="122"/>
      <c r="M816" s="122"/>
      <c r="N816" s="122"/>
      <c r="O816" s="122"/>
      <c r="P816" s="122"/>
      <c r="Q816" s="122"/>
      <c r="R816" s="122"/>
      <c r="AL816" s="360"/>
      <c r="AM816" s="499"/>
    </row>
    <row r="817" spans="1:39" ht="12.75" customHeight="1" x14ac:dyDescent="0.25">
      <c r="A817" s="395"/>
      <c r="J817" s="122"/>
      <c r="K817" s="122"/>
      <c r="L817" s="122"/>
      <c r="M817" s="122"/>
      <c r="N817" s="122"/>
      <c r="O817" s="122"/>
      <c r="P817" s="122"/>
      <c r="Q817" s="122"/>
      <c r="R817" s="122"/>
      <c r="AL817" s="360"/>
      <c r="AM817" s="499"/>
    </row>
    <row r="818" spans="1:39" ht="12.75" customHeight="1" x14ac:dyDescent="0.25">
      <c r="A818" s="395"/>
      <c r="J818" s="122"/>
      <c r="K818" s="122"/>
      <c r="L818" s="122"/>
      <c r="M818" s="122"/>
      <c r="N818" s="122"/>
      <c r="O818" s="122"/>
      <c r="P818" s="122"/>
      <c r="Q818" s="122"/>
      <c r="R818" s="122"/>
      <c r="AL818" s="360"/>
      <c r="AM818" s="499"/>
    </row>
    <row r="819" spans="1:39" ht="12.75" customHeight="1" x14ac:dyDescent="0.25">
      <c r="A819" s="395"/>
      <c r="J819" s="122"/>
      <c r="K819" s="122"/>
      <c r="L819" s="122"/>
      <c r="M819" s="122"/>
      <c r="N819" s="122"/>
      <c r="O819" s="122"/>
      <c r="P819" s="122"/>
      <c r="Q819" s="122"/>
      <c r="R819" s="122"/>
      <c r="AL819" s="360"/>
      <c r="AM819" s="499"/>
    </row>
    <row r="820" spans="1:39" ht="12.75" customHeight="1" x14ac:dyDescent="0.25">
      <c r="A820" s="395"/>
      <c r="J820" s="122"/>
      <c r="K820" s="122"/>
      <c r="L820" s="122"/>
      <c r="M820" s="122"/>
      <c r="N820" s="122"/>
      <c r="O820" s="122"/>
      <c r="P820" s="122"/>
      <c r="Q820" s="122"/>
      <c r="R820" s="122"/>
      <c r="AL820" s="360"/>
      <c r="AM820" s="499"/>
    </row>
    <row r="821" spans="1:39" ht="12.75" customHeight="1" x14ac:dyDescent="0.25">
      <c r="A821" s="395"/>
      <c r="J821" s="122"/>
      <c r="K821" s="122"/>
      <c r="L821" s="122"/>
      <c r="M821" s="122"/>
      <c r="N821" s="122"/>
      <c r="O821" s="122"/>
      <c r="P821" s="122"/>
      <c r="Q821" s="122"/>
      <c r="R821" s="122"/>
      <c r="AL821" s="360"/>
      <c r="AM821" s="499"/>
    </row>
    <row r="822" spans="1:39" ht="12.75" customHeight="1" x14ac:dyDescent="0.25">
      <c r="A822" s="395"/>
      <c r="J822" s="122"/>
      <c r="K822" s="122"/>
      <c r="L822" s="122"/>
      <c r="M822" s="122"/>
      <c r="N822" s="122"/>
      <c r="O822" s="122"/>
      <c r="P822" s="122"/>
      <c r="Q822" s="122"/>
      <c r="R822" s="122"/>
      <c r="AL822" s="360"/>
      <c r="AM822" s="499"/>
    </row>
    <row r="823" spans="1:39" ht="12.75" customHeight="1" x14ac:dyDescent="0.25">
      <c r="A823" s="395"/>
      <c r="J823" s="122"/>
      <c r="K823" s="122"/>
      <c r="L823" s="122"/>
      <c r="M823" s="122"/>
      <c r="N823" s="122"/>
      <c r="O823" s="122"/>
      <c r="P823" s="122"/>
      <c r="Q823" s="122"/>
      <c r="R823" s="122"/>
      <c r="AL823" s="360"/>
      <c r="AM823" s="499"/>
    </row>
    <row r="824" spans="1:39" ht="12.75" customHeight="1" x14ac:dyDescent="0.25">
      <c r="A824" s="395"/>
      <c r="J824" s="122"/>
      <c r="K824" s="122"/>
      <c r="L824" s="122"/>
      <c r="M824" s="122"/>
      <c r="N824" s="122"/>
      <c r="O824" s="122"/>
      <c r="P824" s="122"/>
      <c r="Q824" s="122"/>
      <c r="R824" s="122"/>
      <c r="AL824" s="360"/>
      <c r="AM824" s="499"/>
    </row>
    <row r="825" spans="1:39" ht="12.75" customHeight="1" x14ac:dyDescent="0.25">
      <c r="A825" s="395"/>
      <c r="J825" s="122"/>
      <c r="K825" s="122"/>
      <c r="L825" s="122"/>
      <c r="M825" s="122"/>
      <c r="N825" s="122"/>
      <c r="O825" s="122"/>
      <c r="P825" s="122"/>
      <c r="Q825" s="122"/>
      <c r="R825" s="122"/>
      <c r="AL825" s="360"/>
      <c r="AM825" s="499"/>
    </row>
    <row r="826" spans="1:39" ht="12.75" customHeight="1" x14ac:dyDescent="0.25">
      <c r="A826" s="395"/>
      <c r="J826" s="122"/>
      <c r="K826" s="122"/>
      <c r="L826" s="122"/>
      <c r="M826" s="122"/>
      <c r="N826" s="122"/>
      <c r="O826" s="122"/>
      <c r="P826" s="122"/>
      <c r="Q826" s="122"/>
      <c r="R826" s="122"/>
      <c r="AL826" s="360"/>
      <c r="AM826" s="499"/>
    </row>
    <row r="827" spans="1:39" ht="12.75" customHeight="1" x14ac:dyDescent="0.25">
      <c r="A827" s="395"/>
      <c r="J827" s="122"/>
      <c r="K827" s="122"/>
      <c r="L827" s="122"/>
      <c r="M827" s="122"/>
      <c r="N827" s="122"/>
      <c r="O827" s="122"/>
      <c r="P827" s="122"/>
      <c r="Q827" s="122"/>
      <c r="R827" s="122"/>
      <c r="AL827" s="360"/>
      <c r="AM827" s="499"/>
    </row>
    <row r="828" spans="1:39" ht="12.75" customHeight="1" x14ac:dyDescent="0.25">
      <c r="A828" s="395"/>
      <c r="J828" s="122"/>
      <c r="K828" s="122"/>
      <c r="L828" s="122"/>
      <c r="M828" s="122"/>
      <c r="N828" s="122"/>
      <c r="O828" s="122"/>
      <c r="P828" s="122"/>
      <c r="Q828" s="122"/>
      <c r="R828" s="122"/>
      <c r="AL828" s="360"/>
      <c r="AM828" s="499"/>
    </row>
    <row r="829" spans="1:39" ht="12.75" customHeight="1" x14ac:dyDescent="0.25">
      <c r="A829" s="395"/>
      <c r="J829" s="122"/>
      <c r="K829" s="122"/>
      <c r="L829" s="122"/>
      <c r="M829" s="122"/>
      <c r="N829" s="122"/>
      <c r="O829" s="122"/>
      <c r="P829" s="122"/>
      <c r="Q829" s="122"/>
      <c r="R829" s="122"/>
      <c r="AL829" s="360"/>
      <c r="AM829" s="499"/>
    </row>
    <row r="830" spans="1:39" ht="12.75" customHeight="1" x14ac:dyDescent="0.25">
      <c r="A830" s="395"/>
      <c r="J830" s="122"/>
      <c r="K830" s="122"/>
      <c r="L830" s="122"/>
      <c r="M830" s="122"/>
      <c r="N830" s="122"/>
      <c r="O830" s="122"/>
      <c r="P830" s="122"/>
      <c r="Q830" s="122"/>
      <c r="R830" s="122"/>
      <c r="AL830" s="360"/>
      <c r="AM830" s="499"/>
    </row>
    <row r="831" spans="1:39" ht="12.75" customHeight="1" x14ac:dyDescent="0.25">
      <c r="A831" s="395"/>
      <c r="J831" s="122"/>
      <c r="K831" s="122"/>
      <c r="L831" s="122"/>
      <c r="M831" s="122"/>
      <c r="N831" s="122"/>
      <c r="O831" s="122"/>
      <c r="P831" s="122"/>
      <c r="Q831" s="122"/>
      <c r="R831" s="122"/>
      <c r="AL831" s="360"/>
      <c r="AM831" s="499"/>
    </row>
    <row r="832" spans="1:39" ht="12.75" customHeight="1" x14ac:dyDescent="0.25">
      <c r="A832" s="395"/>
      <c r="J832" s="122"/>
      <c r="K832" s="122"/>
      <c r="L832" s="122"/>
      <c r="M832" s="122"/>
      <c r="N832" s="122"/>
      <c r="O832" s="122"/>
      <c r="P832" s="122"/>
      <c r="Q832" s="122"/>
      <c r="R832" s="122"/>
      <c r="AL832" s="360"/>
      <c r="AM832" s="499"/>
    </row>
    <row r="833" spans="1:39" ht="12.75" customHeight="1" x14ac:dyDescent="0.25">
      <c r="A833" s="395"/>
      <c r="J833" s="122"/>
      <c r="K833" s="122"/>
      <c r="L833" s="122"/>
      <c r="M833" s="122"/>
      <c r="N833" s="122"/>
      <c r="O833" s="122"/>
      <c r="P833" s="122"/>
      <c r="Q833" s="122"/>
      <c r="R833" s="122"/>
      <c r="AL833" s="360"/>
      <c r="AM833" s="499"/>
    </row>
    <row r="834" spans="1:39" ht="12.75" customHeight="1" x14ac:dyDescent="0.25">
      <c r="A834" s="395"/>
      <c r="J834" s="122"/>
      <c r="K834" s="122"/>
      <c r="L834" s="122"/>
      <c r="M834" s="122"/>
      <c r="N834" s="122"/>
      <c r="O834" s="122"/>
      <c r="P834" s="122"/>
      <c r="Q834" s="122"/>
      <c r="R834" s="122"/>
      <c r="AL834" s="360"/>
      <c r="AM834" s="499"/>
    </row>
    <row r="835" spans="1:39" ht="12.75" customHeight="1" x14ac:dyDescent="0.25">
      <c r="A835" s="395"/>
      <c r="J835" s="122"/>
      <c r="K835" s="122"/>
      <c r="L835" s="122"/>
      <c r="M835" s="122"/>
      <c r="N835" s="122"/>
      <c r="O835" s="122"/>
      <c r="P835" s="122"/>
      <c r="Q835" s="122"/>
      <c r="R835" s="122"/>
      <c r="AL835" s="360"/>
      <c r="AM835" s="499"/>
    </row>
    <row r="836" spans="1:39" ht="12.75" customHeight="1" x14ac:dyDescent="0.25">
      <c r="A836" s="395"/>
      <c r="J836" s="122"/>
      <c r="K836" s="122"/>
      <c r="L836" s="122"/>
      <c r="M836" s="122"/>
      <c r="N836" s="122"/>
      <c r="O836" s="122"/>
      <c r="P836" s="122"/>
      <c r="Q836" s="122"/>
      <c r="R836" s="122"/>
      <c r="AL836" s="360"/>
      <c r="AM836" s="499"/>
    </row>
    <row r="837" spans="1:39" ht="12.75" customHeight="1" x14ac:dyDescent="0.25">
      <c r="A837" s="395"/>
      <c r="J837" s="122"/>
      <c r="K837" s="122"/>
      <c r="L837" s="122"/>
      <c r="M837" s="122"/>
      <c r="N837" s="122"/>
      <c r="O837" s="122"/>
      <c r="P837" s="122"/>
      <c r="Q837" s="122"/>
      <c r="R837" s="122"/>
      <c r="AL837" s="360"/>
      <c r="AM837" s="499"/>
    </row>
    <row r="838" spans="1:39" ht="12.75" customHeight="1" x14ac:dyDescent="0.25">
      <c r="A838" s="395"/>
      <c r="J838" s="122"/>
      <c r="K838" s="122"/>
      <c r="L838" s="122"/>
      <c r="M838" s="122"/>
      <c r="N838" s="122"/>
      <c r="O838" s="122"/>
      <c r="P838" s="122"/>
      <c r="Q838" s="122"/>
      <c r="R838" s="122"/>
      <c r="AL838" s="360"/>
      <c r="AM838" s="499"/>
    </row>
    <row r="839" spans="1:39" ht="12.75" customHeight="1" x14ac:dyDescent="0.25">
      <c r="A839" s="395"/>
      <c r="J839" s="122"/>
      <c r="K839" s="122"/>
      <c r="L839" s="122"/>
      <c r="M839" s="122"/>
      <c r="N839" s="122"/>
      <c r="O839" s="122"/>
      <c r="P839" s="122"/>
      <c r="Q839" s="122"/>
      <c r="R839" s="122"/>
      <c r="AL839" s="360"/>
      <c r="AM839" s="499"/>
    </row>
    <row r="840" spans="1:39" ht="12.75" customHeight="1" x14ac:dyDescent="0.25">
      <c r="A840" s="395"/>
      <c r="J840" s="122"/>
      <c r="K840" s="122"/>
      <c r="L840" s="122"/>
      <c r="M840" s="122"/>
      <c r="N840" s="122"/>
      <c r="O840" s="122"/>
      <c r="P840" s="122"/>
      <c r="Q840" s="122"/>
      <c r="R840" s="122"/>
      <c r="AL840" s="360"/>
      <c r="AM840" s="499"/>
    </row>
    <row r="841" spans="1:39" ht="12.75" customHeight="1" x14ac:dyDescent="0.25">
      <c r="A841" s="395"/>
      <c r="J841" s="122"/>
      <c r="K841" s="122"/>
      <c r="L841" s="122"/>
      <c r="M841" s="122"/>
      <c r="N841" s="122"/>
      <c r="O841" s="122"/>
      <c r="P841" s="122"/>
      <c r="Q841" s="122"/>
      <c r="R841" s="122"/>
      <c r="AL841" s="360"/>
      <c r="AM841" s="499"/>
    </row>
    <row r="842" spans="1:39" ht="12.75" customHeight="1" x14ac:dyDescent="0.25">
      <c r="A842" s="395"/>
      <c r="J842" s="122"/>
      <c r="K842" s="122"/>
      <c r="L842" s="122"/>
      <c r="M842" s="122"/>
      <c r="N842" s="122"/>
      <c r="O842" s="122"/>
      <c r="P842" s="122"/>
      <c r="Q842" s="122"/>
      <c r="R842" s="122"/>
      <c r="AL842" s="360"/>
      <c r="AM842" s="499"/>
    </row>
    <row r="843" spans="1:39" ht="12.75" customHeight="1" x14ac:dyDescent="0.25">
      <c r="A843" s="395"/>
      <c r="J843" s="122"/>
      <c r="K843" s="122"/>
      <c r="L843" s="122"/>
      <c r="M843" s="122"/>
      <c r="N843" s="122"/>
      <c r="O843" s="122"/>
      <c r="P843" s="122"/>
      <c r="Q843" s="122"/>
      <c r="R843" s="122"/>
      <c r="AL843" s="360"/>
      <c r="AM843" s="499"/>
    </row>
    <row r="844" spans="1:39" ht="12.75" customHeight="1" x14ac:dyDescent="0.25">
      <c r="A844" s="395"/>
      <c r="J844" s="122"/>
      <c r="K844" s="122"/>
      <c r="L844" s="122"/>
      <c r="M844" s="122"/>
      <c r="N844" s="122"/>
      <c r="O844" s="122"/>
      <c r="P844" s="122"/>
      <c r="Q844" s="122"/>
      <c r="R844" s="122"/>
      <c r="AL844" s="360"/>
      <c r="AM844" s="499"/>
    </row>
    <row r="845" spans="1:39" ht="12.75" customHeight="1" x14ac:dyDescent="0.25">
      <c r="A845" s="395"/>
      <c r="J845" s="122"/>
      <c r="K845" s="122"/>
      <c r="L845" s="122"/>
      <c r="M845" s="122"/>
      <c r="N845" s="122"/>
      <c r="O845" s="122"/>
      <c r="P845" s="122"/>
      <c r="Q845" s="122"/>
      <c r="R845" s="122"/>
      <c r="AL845" s="360"/>
      <c r="AM845" s="499"/>
    </row>
    <row r="846" spans="1:39" ht="12.75" customHeight="1" x14ac:dyDescent="0.25">
      <c r="A846" s="395"/>
      <c r="J846" s="122"/>
      <c r="K846" s="122"/>
      <c r="L846" s="122"/>
      <c r="M846" s="122"/>
      <c r="N846" s="122"/>
      <c r="O846" s="122"/>
      <c r="P846" s="122"/>
      <c r="Q846" s="122"/>
      <c r="R846" s="122"/>
      <c r="AL846" s="360"/>
      <c r="AM846" s="499"/>
    </row>
    <row r="847" spans="1:39" ht="12.75" customHeight="1" x14ac:dyDescent="0.25">
      <c r="A847" s="395"/>
      <c r="J847" s="122"/>
      <c r="K847" s="122"/>
      <c r="L847" s="122"/>
      <c r="M847" s="122"/>
      <c r="N847" s="122"/>
      <c r="O847" s="122"/>
      <c r="P847" s="122"/>
      <c r="Q847" s="122"/>
      <c r="R847" s="122"/>
      <c r="AL847" s="360"/>
      <c r="AM847" s="499"/>
    </row>
    <row r="848" spans="1:39" ht="12.75" customHeight="1" x14ac:dyDescent="0.25">
      <c r="A848" s="395"/>
      <c r="J848" s="122"/>
      <c r="K848" s="122"/>
      <c r="L848" s="122"/>
      <c r="M848" s="122"/>
      <c r="N848" s="122"/>
      <c r="O848" s="122"/>
      <c r="P848" s="122"/>
      <c r="Q848" s="122"/>
      <c r="R848" s="122"/>
      <c r="AL848" s="360"/>
      <c r="AM848" s="499"/>
    </row>
    <row r="849" spans="1:39" ht="12.75" customHeight="1" x14ac:dyDescent="0.25">
      <c r="A849" s="395"/>
      <c r="J849" s="122"/>
      <c r="K849" s="122"/>
      <c r="L849" s="122"/>
      <c r="M849" s="122"/>
      <c r="N849" s="122"/>
      <c r="O849" s="122"/>
      <c r="P849" s="122"/>
      <c r="Q849" s="122"/>
      <c r="R849" s="122"/>
      <c r="AL849" s="360"/>
      <c r="AM849" s="499"/>
    </row>
    <row r="850" spans="1:39" ht="12.75" customHeight="1" x14ac:dyDescent="0.25">
      <c r="A850" s="395"/>
      <c r="J850" s="122"/>
      <c r="K850" s="122"/>
      <c r="L850" s="122"/>
      <c r="M850" s="122"/>
      <c r="N850" s="122"/>
      <c r="O850" s="122"/>
      <c r="P850" s="122"/>
      <c r="Q850" s="122"/>
      <c r="R850" s="122"/>
      <c r="AL850" s="360"/>
      <c r="AM850" s="499"/>
    </row>
    <row r="851" spans="1:39" ht="12.75" customHeight="1" x14ac:dyDescent="0.25">
      <c r="A851" s="395"/>
      <c r="J851" s="122"/>
      <c r="K851" s="122"/>
      <c r="L851" s="122"/>
      <c r="M851" s="122"/>
      <c r="N851" s="122"/>
      <c r="O851" s="122"/>
      <c r="P851" s="122"/>
      <c r="Q851" s="122"/>
      <c r="R851" s="122"/>
      <c r="AL851" s="360"/>
      <c r="AM851" s="499"/>
    </row>
    <row r="852" spans="1:39" ht="12.75" customHeight="1" x14ac:dyDescent="0.25">
      <c r="A852" s="395"/>
      <c r="J852" s="122"/>
      <c r="K852" s="122"/>
      <c r="L852" s="122"/>
      <c r="M852" s="122"/>
      <c r="N852" s="122"/>
      <c r="O852" s="122"/>
      <c r="P852" s="122"/>
      <c r="Q852" s="122"/>
      <c r="R852" s="122"/>
      <c r="AL852" s="360"/>
      <c r="AM852" s="499"/>
    </row>
    <row r="853" spans="1:39" ht="12.75" customHeight="1" x14ac:dyDescent="0.25">
      <c r="A853" s="395"/>
      <c r="J853" s="122"/>
      <c r="K853" s="122"/>
      <c r="L853" s="122"/>
      <c r="M853" s="122"/>
      <c r="N853" s="122"/>
      <c r="O853" s="122"/>
      <c r="P853" s="122"/>
      <c r="Q853" s="122"/>
      <c r="R853" s="122"/>
      <c r="AL853" s="360"/>
      <c r="AM853" s="499"/>
    </row>
    <row r="854" spans="1:39" ht="12.75" customHeight="1" x14ac:dyDescent="0.25">
      <c r="A854" s="395"/>
      <c r="J854" s="122"/>
      <c r="K854" s="122"/>
      <c r="L854" s="122"/>
      <c r="M854" s="122"/>
      <c r="N854" s="122"/>
      <c r="O854" s="122"/>
      <c r="P854" s="122"/>
      <c r="Q854" s="122"/>
      <c r="R854" s="122"/>
      <c r="AL854" s="360"/>
      <c r="AM854" s="499"/>
    </row>
    <row r="855" spans="1:39" ht="12.75" customHeight="1" x14ac:dyDescent="0.25">
      <c r="A855" s="395"/>
      <c r="J855" s="122"/>
      <c r="K855" s="122"/>
      <c r="L855" s="122"/>
      <c r="M855" s="122"/>
      <c r="N855" s="122"/>
      <c r="O855" s="122"/>
      <c r="P855" s="122"/>
      <c r="Q855" s="122"/>
      <c r="R855" s="122"/>
      <c r="AL855" s="360"/>
      <c r="AM855" s="499"/>
    </row>
    <row r="856" spans="1:39" ht="12.75" customHeight="1" x14ac:dyDescent="0.25">
      <c r="A856" s="395"/>
      <c r="J856" s="122"/>
      <c r="K856" s="122"/>
      <c r="L856" s="122"/>
      <c r="M856" s="122"/>
      <c r="N856" s="122"/>
      <c r="O856" s="122"/>
      <c r="P856" s="122"/>
      <c r="Q856" s="122"/>
      <c r="R856" s="122"/>
      <c r="AL856" s="360"/>
      <c r="AM856" s="499"/>
    </row>
    <row r="857" spans="1:39" ht="12.75" customHeight="1" x14ac:dyDescent="0.25">
      <c r="A857" s="395"/>
      <c r="J857" s="122"/>
      <c r="K857" s="122"/>
      <c r="L857" s="122"/>
      <c r="M857" s="122"/>
      <c r="N857" s="122"/>
      <c r="O857" s="122"/>
      <c r="P857" s="122"/>
      <c r="Q857" s="122"/>
      <c r="R857" s="122"/>
      <c r="AL857" s="360"/>
      <c r="AM857" s="499"/>
    </row>
    <row r="858" spans="1:39" ht="12.75" customHeight="1" x14ac:dyDescent="0.25">
      <c r="A858" s="395"/>
      <c r="J858" s="122"/>
      <c r="K858" s="122"/>
      <c r="L858" s="122"/>
      <c r="M858" s="122"/>
      <c r="N858" s="122"/>
      <c r="O858" s="122"/>
      <c r="P858" s="122"/>
      <c r="Q858" s="122"/>
      <c r="R858" s="122"/>
      <c r="AL858" s="360"/>
      <c r="AM858" s="499"/>
    </row>
    <row r="859" spans="1:39" ht="12.75" customHeight="1" x14ac:dyDescent="0.25">
      <c r="A859" s="395"/>
      <c r="J859" s="122"/>
      <c r="K859" s="122"/>
      <c r="L859" s="122"/>
      <c r="M859" s="122"/>
      <c r="N859" s="122"/>
      <c r="O859" s="122"/>
      <c r="P859" s="122"/>
      <c r="Q859" s="122"/>
      <c r="R859" s="122"/>
      <c r="AL859" s="360"/>
      <c r="AM859" s="499"/>
    </row>
    <row r="860" spans="1:39" ht="12.75" customHeight="1" x14ac:dyDescent="0.25">
      <c r="A860" s="395"/>
      <c r="J860" s="122"/>
      <c r="K860" s="122"/>
      <c r="L860" s="122"/>
      <c r="M860" s="122"/>
      <c r="N860" s="122"/>
      <c r="O860" s="122"/>
      <c r="P860" s="122"/>
      <c r="Q860" s="122"/>
      <c r="R860" s="122"/>
      <c r="AL860" s="360"/>
      <c r="AM860" s="499"/>
    </row>
    <row r="861" spans="1:39" ht="12.75" customHeight="1" x14ac:dyDescent="0.25">
      <c r="A861" s="395"/>
      <c r="J861" s="122"/>
      <c r="K861" s="122"/>
      <c r="L861" s="122"/>
      <c r="M861" s="122"/>
      <c r="N861" s="122"/>
      <c r="O861" s="122"/>
      <c r="P861" s="122"/>
      <c r="Q861" s="122"/>
      <c r="R861" s="122"/>
      <c r="AL861" s="360"/>
      <c r="AM861" s="499"/>
    </row>
    <row r="862" spans="1:39" ht="12.75" customHeight="1" x14ac:dyDescent="0.25">
      <c r="A862" s="395"/>
      <c r="J862" s="122"/>
      <c r="K862" s="122"/>
      <c r="L862" s="122"/>
      <c r="M862" s="122"/>
      <c r="N862" s="122"/>
      <c r="O862" s="122"/>
      <c r="P862" s="122"/>
      <c r="Q862" s="122"/>
      <c r="R862" s="122"/>
      <c r="AL862" s="360"/>
      <c r="AM862" s="499"/>
    </row>
    <row r="863" spans="1:39" ht="12.75" customHeight="1" x14ac:dyDescent="0.25">
      <c r="A863" s="395"/>
      <c r="J863" s="122"/>
      <c r="K863" s="122"/>
      <c r="L863" s="122"/>
      <c r="M863" s="122"/>
      <c r="N863" s="122"/>
      <c r="O863" s="122"/>
      <c r="P863" s="122"/>
      <c r="Q863" s="122"/>
      <c r="R863" s="122"/>
      <c r="AL863" s="360"/>
      <c r="AM863" s="499"/>
    </row>
    <row r="864" spans="1:39" ht="12.75" customHeight="1" x14ac:dyDescent="0.25">
      <c r="A864" s="395"/>
      <c r="J864" s="122"/>
      <c r="K864" s="122"/>
      <c r="L864" s="122"/>
      <c r="M864" s="122"/>
      <c r="N864" s="122"/>
      <c r="O864" s="122"/>
      <c r="P864" s="122"/>
      <c r="Q864" s="122"/>
      <c r="R864" s="122"/>
      <c r="AL864" s="360"/>
      <c r="AM864" s="499"/>
    </row>
    <row r="865" spans="1:39" ht="12.75" customHeight="1" x14ac:dyDescent="0.25">
      <c r="A865" s="395"/>
      <c r="J865" s="122"/>
      <c r="K865" s="122"/>
      <c r="L865" s="122"/>
      <c r="M865" s="122"/>
      <c r="N865" s="122"/>
      <c r="O865" s="122"/>
      <c r="P865" s="122"/>
      <c r="Q865" s="122"/>
      <c r="R865" s="122"/>
      <c r="AL865" s="360"/>
      <c r="AM865" s="499"/>
    </row>
    <row r="866" spans="1:39" ht="12.75" customHeight="1" x14ac:dyDescent="0.25">
      <c r="A866" s="395"/>
      <c r="J866" s="122"/>
      <c r="K866" s="122"/>
      <c r="L866" s="122"/>
      <c r="M866" s="122"/>
      <c r="N866" s="122"/>
      <c r="O866" s="122"/>
      <c r="P866" s="122"/>
      <c r="Q866" s="122"/>
      <c r="R866" s="122"/>
      <c r="AL866" s="360"/>
      <c r="AM866" s="499"/>
    </row>
    <row r="867" spans="1:39" ht="12.75" customHeight="1" x14ac:dyDescent="0.25">
      <c r="A867" s="395"/>
      <c r="J867" s="122"/>
      <c r="K867" s="122"/>
      <c r="L867" s="122"/>
      <c r="M867" s="122"/>
      <c r="N867" s="122"/>
      <c r="O867" s="122"/>
      <c r="P867" s="122"/>
      <c r="Q867" s="122"/>
      <c r="R867" s="122"/>
      <c r="AL867" s="360"/>
      <c r="AM867" s="499"/>
    </row>
    <row r="868" spans="1:39" ht="12.75" customHeight="1" x14ac:dyDescent="0.25">
      <c r="A868" s="395"/>
      <c r="J868" s="122"/>
      <c r="K868" s="122"/>
      <c r="L868" s="122"/>
      <c r="M868" s="122"/>
      <c r="N868" s="122"/>
      <c r="O868" s="122"/>
      <c r="P868" s="122"/>
      <c r="Q868" s="122"/>
      <c r="R868" s="122"/>
      <c r="AL868" s="360"/>
      <c r="AM868" s="499"/>
    </row>
    <row r="869" spans="1:39" ht="12.75" customHeight="1" x14ac:dyDescent="0.25">
      <c r="A869" s="395"/>
      <c r="J869" s="122"/>
      <c r="K869" s="122"/>
      <c r="L869" s="122"/>
      <c r="M869" s="122"/>
      <c r="N869" s="122"/>
      <c r="O869" s="122"/>
      <c r="P869" s="122"/>
      <c r="Q869" s="122"/>
      <c r="R869" s="122"/>
      <c r="AL869" s="360"/>
      <c r="AM869" s="499"/>
    </row>
    <row r="870" spans="1:39" ht="12.75" customHeight="1" x14ac:dyDescent="0.25">
      <c r="A870" s="395"/>
      <c r="J870" s="122"/>
      <c r="K870" s="122"/>
      <c r="L870" s="122"/>
      <c r="M870" s="122"/>
      <c r="N870" s="122"/>
      <c r="O870" s="122"/>
      <c r="P870" s="122"/>
      <c r="Q870" s="122"/>
      <c r="R870" s="122"/>
      <c r="AL870" s="360"/>
      <c r="AM870" s="499"/>
    </row>
    <row r="871" spans="1:39" ht="12.75" customHeight="1" x14ac:dyDescent="0.25">
      <c r="A871" s="395"/>
      <c r="J871" s="122"/>
      <c r="K871" s="122"/>
      <c r="L871" s="122"/>
      <c r="M871" s="122"/>
      <c r="N871" s="122"/>
      <c r="O871" s="122"/>
      <c r="P871" s="122"/>
      <c r="Q871" s="122"/>
      <c r="R871" s="122"/>
      <c r="AL871" s="360"/>
      <c r="AM871" s="499"/>
    </row>
    <row r="872" spans="1:39" ht="12.75" customHeight="1" x14ac:dyDescent="0.25">
      <c r="A872" s="395"/>
      <c r="J872" s="122"/>
      <c r="K872" s="122"/>
      <c r="L872" s="122"/>
      <c r="M872" s="122"/>
      <c r="N872" s="122"/>
      <c r="O872" s="122"/>
      <c r="P872" s="122"/>
      <c r="Q872" s="122"/>
      <c r="R872" s="122"/>
      <c r="AL872" s="360"/>
      <c r="AM872" s="499"/>
    </row>
    <row r="873" spans="1:39" ht="12.75" customHeight="1" x14ac:dyDescent="0.25">
      <c r="A873" s="395"/>
      <c r="J873" s="122"/>
      <c r="K873" s="122"/>
      <c r="L873" s="122"/>
      <c r="M873" s="122"/>
      <c r="N873" s="122"/>
      <c r="O873" s="122"/>
      <c r="P873" s="122"/>
      <c r="Q873" s="122"/>
      <c r="R873" s="122"/>
      <c r="AL873" s="360"/>
      <c r="AM873" s="499"/>
    </row>
    <row r="874" spans="1:39" ht="12.75" customHeight="1" x14ac:dyDescent="0.25">
      <c r="A874" s="395"/>
      <c r="J874" s="122"/>
      <c r="K874" s="122"/>
      <c r="L874" s="122"/>
      <c r="M874" s="122"/>
      <c r="N874" s="122"/>
      <c r="O874" s="122"/>
      <c r="P874" s="122"/>
      <c r="Q874" s="122"/>
      <c r="R874" s="122"/>
      <c r="AL874" s="360"/>
      <c r="AM874" s="499"/>
    </row>
    <row r="875" spans="1:39" ht="12.75" customHeight="1" x14ac:dyDescent="0.25">
      <c r="A875" s="395"/>
      <c r="J875" s="122"/>
      <c r="K875" s="122"/>
      <c r="L875" s="122"/>
      <c r="M875" s="122"/>
      <c r="N875" s="122"/>
      <c r="O875" s="122"/>
      <c r="P875" s="122"/>
      <c r="Q875" s="122"/>
      <c r="R875" s="122"/>
      <c r="AL875" s="360"/>
      <c r="AM875" s="499"/>
    </row>
    <row r="876" spans="1:39" ht="12.75" customHeight="1" x14ac:dyDescent="0.25">
      <c r="A876" s="395"/>
      <c r="J876" s="122"/>
      <c r="K876" s="122"/>
      <c r="L876" s="122"/>
      <c r="M876" s="122"/>
      <c r="N876" s="122"/>
      <c r="O876" s="122"/>
      <c r="P876" s="122"/>
      <c r="Q876" s="122"/>
      <c r="R876" s="122"/>
      <c r="AL876" s="360"/>
      <c r="AM876" s="499"/>
    </row>
    <row r="877" spans="1:39" ht="12.75" customHeight="1" x14ac:dyDescent="0.25">
      <c r="A877" s="395"/>
      <c r="J877" s="122"/>
      <c r="K877" s="122"/>
      <c r="L877" s="122"/>
      <c r="M877" s="122"/>
      <c r="N877" s="122"/>
      <c r="O877" s="122"/>
      <c r="P877" s="122"/>
      <c r="Q877" s="122"/>
      <c r="R877" s="122"/>
      <c r="AL877" s="360"/>
      <c r="AM877" s="499"/>
    </row>
    <row r="878" spans="1:39" ht="12.75" customHeight="1" x14ac:dyDescent="0.25">
      <c r="A878" s="395"/>
      <c r="J878" s="122"/>
      <c r="K878" s="122"/>
      <c r="L878" s="122"/>
      <c r="M878" s="122"/>
      <c r="N878" s="122"/>
      <c r="O878" s="122"/>
      <c r="P878" s="122"/>
      <c r="Q878" s="122"/>
      <c r="R878" s="122"/>
      <c r="AL878" s="360"/>
      <c r="AM878" s="499"/>
    </row>
    <row r="879" spans="1:39" ht="12.75" customHeight="1" x14ac:dyDescent="0.25">
      <c r="A879" s="395"/>
      <c r="J879" s="122"/>
      <c r="K879" s="122"/>
      <c r="L879" s="122"/>
      <c r="M879" s="122"/>
      <c r="N879" s="122"/>
      <c r="O879" s="122"/>
      <c r="P879" s="122"/>
      <c r="Q879" s="122"/>
      <c r="R879" s="122"/>
      <c r="AL879" s="360"/>
      <c r="AM879" s="499"/>
    </row>
    <row r="880" spans="1:39" ht="12.75" customHeight="1" x14ac:dyDescent="0.25">
      <c r="A880" s="395"/>
      <c r="J880" s="122"/>
      <c r="K880" s="122"/>
      <c r="L880" s="122"/>
      <c r="M880" s="122"/>
      <c r="N880" s="122"/>
      <c r="O880" s="122"/>
      <c r="P880" s="122"/>
      <c r="Q880" s="122"/>
      <c r="R880" s="122"/>
      <c r="AL880" s="360"/>
      <c r="AM880" s="499"/>
    </row>
    <row r="881" spans="1:39" ht="12.75" customHeight="1" x14ac:dyDescent="0.25">
      <c r="A881" s="395"/>
      <c r="J881" s="122"/>
      <c r="K881" s="122"/>
      <c r="L881" s="122"/>
      <c r="M881" s="122"/>
      <c r="N881" s="122"/>
      <c r="O881" s="122"/>
      <c r="P881" s="122"/>
      <c r="Q881" s="122"/>
      <c r="R881" s="122"/>
      <c r="AL881" s="360"/>
      <c r="AM881" s="499"/>
    </row>
    <row r="882" spans="1:39" ht="12.75" customHeight="1" x14ac:dyDescent="0.25">
      <c r="A882" s="395"/>
      <c r="J882" s="122"/>
      <c r="K882" s="122"/>
      <c r="L882" s="122"/>
      <c r="M882" s="122"/>
      <c r="N882" s="122"/>
      <c r="O882" s="122"/>
      <c r="P882" s="122"/>
      <c r="Q882" s="122"/>
      <c r="R882" s="122"/>
      <c r="AL882" s="360"/>
      <c r="AM882" s="499"/>
    </row>
    <row r="883" spans="1:39" ht="12.75" customHeight="1" x14ac:dyDescent="0.25">
      <c r="A883" s="395"/>
      <c r="J883" s="122"/>
      <c r="K883" s="122"/>
      <c r="L883" s="122"/>
      <c r="M883" s="122"/>
      <c r="N883" s="122"/>
      <c r="O883" s="122"/>
      <c r="P883" s="122"/>
      <c r="Q883" s="122"/>
      <c r="R883" s="122"/>
      <c r="AL883" s="360"/>
      <c r="AM883" s="499"/>
    </row>
    <row r="884" spans="1:39" ht="12.75" customHeight="1" x14ac:dyDescent="0.25">
      <c r="A884" s="395"/>
      <c r="J884" s="122"/>
      <c r="K884" s="122"/>
      <c r="L884" s="122"/>
      <c r="M884" s="122"/>
      <c r="N884" s="122"/>
      <c r="O884" s="122"/>
      <c r="P884" s="122"/>
      <c r="Q884" s="122"/>
      <c r="R884" s="122"/>
      <c r="AL884" s="360"/>
      <c r="AM884" s="499"/>
    </row>
    <row r="885" spans="1:39" ht="12.75" customHeight="1" x14ac:dyDescent="0.25">
      <c r="A885" s="395"/>
      <c r="J885" s="122"/>
      <c r="K885" s="122"/>
      <c r="L885" s="122"/>
      <c r="M885" s="122"/>
      <c r="N885" s="122"/>
      <c r="O885" s="122"/>
      <c r="P885" s="122"/>
      <c r="Q885" s="122"/>
      <c r="R885" s="122"/>
      <c r="AL885" s="360"/>
      <c r="AM885" s="499"/>
    </row>
    <row r="886" spans="1:39" ht="12.75" customHeight="1" x14ac:dyDescent="0.25">
      <c r="A886" s="395"/>
      <c r="J886" s="122"/>
      <c r="K886" s="122"/>
      <c r="L886" s="122"/>
      <c r="M886" s="122"/>
      <c r="N886" s="122"/>
      <c r="O886" s="122"/>
      <c r="P886" s="122"/>
      <c r="Q886" s="122"/>
      <c r="R886" s="122"/>
      <c r="AL886" s="360"/>
      <c r="AM886" s="499"/>
    </row>
    <row r="887" spans="1:39" ht="12.75" customHeight="1" x14ac:dyDescent="0.25">
      <c r="A887" s="395"/>
      <c r="J887" s="122"/>
      <c r="K887" s="122"/>
      <c r="L887" s="122"/>
      <c r="M887" s="122"/>
      <c r="N887" s="122"/>
      <c r="O887" s="122"/>
      <c r="P887" s="122"/>
      <c r="Q887" s="122"/>
      <c r="R887" s="122"/>
      <c r="AL887" s="360"/>
      <c r="AM887" s="499"/>
    </row>
    <row r="888" spans="1:39" ht="12.75" customHeight="1" x14ac:dyDescent="0.25">
      <c r="A888" s="395"/>
      <c r="J888" s="122"/>
      <c r="K888" s="122"/>
      <c r="L888" s="122"/>
      <c r="M888" s="122"/>
      <c r="N888" s="122"/>
      <c r="O888" s="122"/>
      <c r="P888" s="122"/>
      <c r="Q888" s="122"/>
      <c r="R888" s="122"/>
      <c r="AL888" s="360"/>
      <c r="AM888" s="499"/>
    </row>
    <row r="889" spans="1:39" ht="12.75" customHeight="1" x14ac:dyDescent="0.25">
      <c r="A889" s="395"/>
      <c r="J889" s="122"/>
      <c r="K889" s="122"/>
      <c r="L889" s="122"/>
      <c r="M889" s="122"/>
      <c r="N889" s="122"/>
      <c r="O889" s="122"/>
      <c r="P889" s="122"/>
      <c r="Q889" s="122"/>
      <c r="R889" s="122"/>
      <c r="AL889" s="360"/>
      <c r="AM889" s="499"/>
    </row>
    <row r="890" spans="1:39" ht="12.75" customHeight="1" x14ac:dyDescent="0.25">
      <c r="A890" s="395"/>
      <c r="J890" s="122"/>
      <c r="K890" s="122"/>
      <c r="L890" s="122"/>
      <c r="M890" s="122"/>
      <c r="N890" s="122"/>
      <c r="O890" s="122"/>
      <c r="P890" s="122"/>
      <c r="Q890" s="122"/>
      <c r="R890" s="122"/>
      <c r="AL890" s="360"/>
      <c r="AM890" s="499"/>
    </row>
    <row r="891" spans="1:39" ht="12.75" customHeight="1" x14ac:dyDescent="0.25">
      <c r="A891" s="395"/>
      <c r="J891" s="122"/>
      <c r="K891" s="122"/>
      <c r="L891" s="122"/>
      <c r="M891" s="122"/>
      <c r="N891" s="122"/>
      <c r="O891" s="122"/>
      <c r="P891" s="122"/>
      <c r="Q891" s="122"/>
      <c r="R891" s="122"/>
      <c r="AL891" s="360"/>
      <c r="AM891" s="499"/>
    </row>
    <row r="892" spans="1:39" ht="12.75" customHeight="1" x14ac:dyDescent="0.25">
      <c r="A892" s="395"/>
      <c r="J892" s="122"/>
      <c r="K892" s="122"/>
      <c r="L892" s="122"/>
      <c r="M892" s="122"/>
      <c r="N892" s="122"/>
      <c r="O892" s="122"/>
      <c r="P892" s="122"/>
      <c r="Q892" s="122"/>
      <c r="R892" s="122"/>
      <c r="AL892" s="360"/>
      <c r="AM892" s="499"/>
    </row>
    <row r="893" spans="1:39" ht="12.75" customHeight="1" x14ac:dyDescent="0.25">
      <c r="A893" s="395"/>
      <c r="J893" s="122"/>
      <c r="K893" s="122"/>
      <c r="L893" s="122"/>
      <c r="M893" s="122"/>
      <c r="N893" s="122"/>
      <c r="O893" s="122"/>
      <c r="P893" s="122"/>
      <c r="Q893" s="122"/>
      <c r="R893" s="122"/>
      <c r="AL893" s="360"/>
      <c r="AM893" s="499"/>
    </row>
    <row r="894" spans="1:39" ht="12.75" customHeight="1" x14ac:dyDescent="0.25">
      <c r="A894" s="395"/>
      <c r="J894" s="122"/>
      <c r="K894" s="122"/>
      <c r="L894" s="122"/>
      <c r="M894" s="122"/>
      <c r="N894" s="122"/>
      <c r="O894" s="122"/>
      <c r="P894" s="122"/>
      <c r="Q894" s="122"/>
      <c r="R894" s="122"/>
      <c r="AL894" s="360"/>
      <c r="AM894" s="499"/>
    </row>
    <row r="895" spans="1:39" ht="12.75" customHeight="1" x14ac:dyDescent="0.25">
      <c r="A895" s="395"/>
      <c r="J895" s="122"/>
      <c r="K895" s="122"/>
      <c r="L895" s="122"/>
      <c r="M895" s="122"/>
      <c r="N895" s="122"/>
      <c r="O895" s="122"/>
      <c r="P895" s="122"/>
      <c r="Q895" s="122"/>
      <c r="R895" s="122"/>
      <c r="AL895" s="360"/>
      <c r="AM895" s="499"/>
    </row>
    <row r="896" spans="1:39" ht="12.75" customHeight="1" x14ac:dyDescent="0.25">
      <c r="A896" s="395"/>
      <c r="J896" s="122"/>
      <c r="K896" s="122"/>
      <c r="L896" s="122"/>
      <c r="M896" s="122"/>
      <c r="N896" s="122"/>
      <c r="O896" s="122"/>
      <c r="P896" s="122"/>
      <c r="Q896" s="122"/>
      <c r="R896" s="122"/>
      <c r="AL896" s="360"/>
      <c r="AM896" s="499"/>
    </row>
    <row r="897" spans="1:39" ht="12.75" customHeight="1" x14ac:dyDescent="0.25">
      <c r="A897" s="395"/>
      <c r="J897" s="122"/>
      <c r="K897" s="122"/>
      <c r="L897" s="122"/>
      <c r="M897" s="122"/>
      <c r="N897" s="122"/>
      <c r="O897" s="122"/>
      <c r="P897" s="122"/>
      <c r="Q897" s="122"/>
      <c r="R897" s="122"/>
      <c r="AL897" s="360"/>
      <c r="AM897" s="499"/>
    </row>
    <row r="898" spans="1:39" ht="12.75" customHeight="1" x14ac:dyDescent="0.25">
      <c r="A898" s="395"/>
      <c r="J898" s="122"/>
      <c r="K898" s="122"/>
      <c r="L898" s="122"/>
      <c r="M898" s="122"/>
      <c r="N898" s="122"/>
      <c r="O898" s="122"/>
      <c r="P898" s="122"/>
      <c r="Q898" s="122"/>
      <c r="R898" s="122"/>
      <c r="AL898" s="360"/>
      <c r="AM898" s="499"/>
    </row>
    <row r="899" spans="1:39" ht="12.75" customHeight="1" x14ac:dyDescent="0.25">
      <c r="A899" s="395"/>
      <c r="J899" s="122"/>
      <c r="K899" s="122"/>
      <c r="L899" s="122"/>
      <c r="M899" s="122"/>
      <c r="N899" s="122"/>
      <c r="O899" s="122"/>
      <c r="P899" s="122"/>
      <c r="Q899" s="122"/>
      <c r="R899" s="122"/>
      <c r="AL899" s="360"/>
      <c r="AM899" s="499"/>
    </row>
    <row r="900" spans="1:39" ht="12.75" customHeight="1" x14ac:dyDescent="0.25">
      <c r="A900" s="395"/>
      <c r="J900" s="122"/>
      <c r="K900" s="122"/>
      <c r="L900" s="122"/>
      <c r="M900" s="122"/>
      <c r="N900" s="122"/>
      <c r="O900" s="122"/>
      <c r="P900" s="122"/>
      <c r="Q900" s="122"/>
      <c r="R900" s="122"/>
      <c r="AL900" s="360"/>
      <c r="AM900" s="499"/>
    </row>
    <row r="901" spans="1:39" ht="12.75" customHeight="1" x14ac:dyDescent="0.25">
      <c r="A901" s="395"/>
      <c r="J901" s="122"/>
      <c r="K901" s="122"/>
      <c r="L901" s="122"/>
      <c r="M901" s="122"/>
      <c r="N901" s="122"/>
      <c r="O901" s="122"/>
      <c r="P901" s="122"/>
      <c r="Q901" s="122"/>
      <c r="R901" s="122"/>
      <c r="AL901" s="360"/>
      <c r="AM901" s="499"/>
    </row>
    <row r="902" spans="1:39" ht="12.75" customHeight="1" x14ac:dyDescent="0.25">
      <c r="A902" s="395"/>
      <c r="J902" s="122"/>
      <c r="K902" s="122"/>
      <c r="L902" s="122"/>
      <c r="M902" s="122"/>
      <c r="N902" s="122"/>
      <c r="O902" s="122"/>
      <c r="P902" s="122"/>
      <c r="Q902" s="122"/>
      <c r="R902" s="122"/>
      <c r="AL902" s="360"/>
      <c r="AM902" s="499"/>
    </row>
    <row r="903" spans="1:39" ht="12.75" customHeight="1" x14ac:dyDescent="0.25">
      <c r="A903" s="395"/>
      <c r="J903" s="122"/>
      <c r="K903" s="122"/>
      <c r="L903" s="122"/>
      <c r="M903" s="122"/>
      <c r="N903" s="122"/>
      <c r="O903" s="122"/>
      <c r="P903" s="122"/>
      <c r="Q903" s="122"/>
      <c r="R903" s="122"/>
      <c r="AL903" s="360"/>
      <c r="AM903" s="499"/>
    </row>
    <row r="904" spans="1:39" ht="12.75" customHeight="1" x14ac:dyDescent="0.25">
      <c r="A904" s="395"/>
      <c r="J904" s="122"/>
      <c r="K904" s="122"/>
      <c r="L904" s="122"/>
      <c r="M904" s="122"/>
      <c r="N904" s="122"/>
      <c r="O904" s="122"/>
      <c r="P904" s="122"/>
      <c r="Q904" s="122"/>
      <c r="R904" s="122"/>
      <c r="AL904" s="360"/>
      <c r="AM904" s="499"/>
    </row>
    <row r="905" spans="1:39" ht="12.75" customHeight="1" x14ac:dyDescent="0.25">
      <c r="A905" s="395"/>
      <c r="J905" s="122"/>
      <c r="K905" s="122"/>
      <c r="L905" s="122"/>
      <c r="M905" s="122"/>
      <c r="N905" s="122"/>
      <c r="O905" s="122"/>
      <c r="P905" s="122"/>
      <c r="Q905" s="122"/>
      <c r="R905" s="122"/>
      <c r="AL905" s="360"/>
      <c r="AM905" s="499"/>
    </row>
    <row r="906" spans="1:39" ht="12.75" customHeight="1" x14ac:dyDescent="0.25">
      <c r="A906" s="395"/>
      <c r="J906" s="122"/>
      <c r="K906" s="122"/>
      <c r="L906" s="122"/>
      <c r="M906" s="122"/>
      <c r="N906" s="122"/>
      <c r="O906" s="122"/>
      <c r="P906" s="122"/>
      <c r="Q906" s="122"/>
      <c r="R906" s="122"/>
      <c r="AL906" s="360"/>
      <c r="AM906" s="499"/>
    </row>
    <row r="907" spans="1:39" ht="12.75" customHeight="1" x14ac:dyDescent="0.25">
      <c r="A907" s="395"/>
      <c r="J907" s="122"/>
      <c r="K907" s="122"/>
      <c r="L907" s="122"/>
      <c r="M907" s="122"/>
      <c r="N907" s="122"/>
      <c r="O907" s="122"/>
      <c r="P907" s="122"/>
      <c r="Q907" s="122"/>
      <c r="R907" s="122"/>
      <c r="AL907" s="360"/>
      <c r="AM907" s="499"/>
    </row>
    <row r="908" spans="1:39" ht="12.75" customHeight="1" x14ac:dyDescent="0.25">
      <c r="A908" s="395"/>
      <c r="J908" s="122"/>
      <c r="K908" s="122"/>
      <c r="L908" s="122"/>
      <c r="M908" s="122"/>
      <c r="N908" s="122"/>
      <c r="O908" s="122"/>
      <c r="P908" s="122"/>
      <c r="Q908" s="122"/>
      <c r="R908" s="122"/>
      <c r="AL908" s="360"/>
      <c r="AM908" s="499"/>
    </row>
    <row r="909" spans="1:39" ht="12.75" customHeight="1" x14ac:dyDescent="0.25">
      <c r="A909" s="395"/>
      <c r="J909" s="122"/>
      <c r="K909" s="122"/>
      <c r="L909" s="122"/>
      <c r="M909" s="122"/>
      <c r="N909" s="122"/>
      <c r="O909" s="122"/>
      <c r="P909" s="122"/>
      <c r="Q909" s="122"/>
      <c r="R909" s="122"/>
      <c r="AL909" s="360"/>
      <c r="AM909" s="499"/>
    </row>
    <row r="910" spans="1:39" ht="12.75" customHeight="1" x14ac:dyDescent="0.25">
      <c r="A910" s="395"/>
      <c r="J910" s="122"/>
      <c r="K910" s="122"/>
      <c r="L910" s="122"/>
      <c r="M910" s="122"/>
      <c r="N910" s="122"/>
      <c r="O910" s="122"/>
      <c r="P910" s="122"/>
      <c r="Q910" s="122"/>
      <c r="R910" s="122"/>
      <c r="AL910" s="360"/>
      <c r="AM910" s="499"/>
    </row>
    <row r="911" spans="1:39" ht="12.75" customHeight="1" x14ac:dyDescent="0.25">
      <c r="A911" s="395"/>
      <c r="J911" s="122"/>
      <c r="K911" s="122"/>
      <c r="L911" s="122"/>
      <c r="M911" s="122"/>
      <c r="N911" s="122"/>
      <c r="O911" s="122"/>
      <c r="P911" s="122"/>
      <c r="Q911" s="122"/>
      <c r="R911" s="122"/>
      <c r="AL911" s="360"/>
      <c r="AM911" s="499"/>
    </row>
    <row r="912" spans="1:39" ht="12.75" customHeight="1" x14ac:dyDescent="0.25">
      <c r="A912" s="395"/>
      <c r="J912" s="122"/>
      <c r="K912" s="122"/>
      <c r="L912" s="122"/>
      <c r="M912" s="122"/>
      <c r="N912" s="122"/>
      <c r="O912" s="122"/>
      <c r="P912" s="122"/>
      <c r="Q912" s="122"/>
      <c r="R912" s="122"/>
      <c r="AL912" s="360"/>
      <c r="AM912" s="499"/>
    </row>
    <row r="913" spans="1:39" ht="12.75" customHeight="1" x14ac:dyDescent="0.25">
      <c r="A913" s="395"/>
      <c r="J913" s="122"/>
      <c r="K913" s="122"/>
      <c r="L913" s="122"/>
      <c r="M913" s="122"/>
      <c r="N913" s="122"/>
      <c r="O913" s="122"/>
      <c r="P913" s="122"/>
      <c r="Q913" s="122"/>
      <c r="R913" s="122"/>
      <c r="AL913" s="360"/>
      <c r="AM913" s="499"/>
    </row>
    <row r="914" spans="1:39" ht="12.75" customHeight="1" x14ac:dyDescent="0.25">
      <c r="A914" s="395"/>
      <c r="J914" s="122"/>
      <c r="K914" s="122"/>
      <c r="L914" s="122"/>
      <c r="M914" s="122"/>
      <c r="N914" s="122"/>
      <c r="O914" s="122"/>
      <c r="P914" s="122"/>
      <c r="Q914" s="122"/>
      <c r="R914" s="122"/>
      <c r="AL914" s="360"/>
      <c r="AM914" s="499"/>
    </row>
    <row r="915" spans="1:39" ht="12.75" customHeight="1" x14ac:dyDescent="0.25">
      <c r="A915" s="395"/>
      <c r="J915" s="122"/>
      <c r="K915" s="122"/>
      <c r="L915" s="122"/>
      <c r="M915" s="122"/>
      <c r="N915" s="122"/>
      <c r="O915" s="122"/>
      <c r="P915" s="122"/>
      <c r="Q915" s="122"/>
      <c r="R915" s="122"/>
      <c r="AL915" s="360"/>
      <c r="AM915" s="499"/>
    </row>
    <row r="916" spans="1:39" ht="12.75" customHeight="1" x14ac:dyDescent="0.25">
      <c r="A916" s="395"/>
      <c r="J916" s="122"/>
      <c r="K916" s="122"/>
      <c r="L916" s="122"/>
      <c r="M916" s="122"/>
      <c r="N916" s="122"/>
      <c r="O916" s="122"/>
      <c r="P916" s="122"/>
      <c r="Q916" s="122"/>
      <c r="R916" s="122"/>
      <c r="AL916" s="360"/>
      <c r="AM916" s="499"/>
    </row>
    <row r="917" spans="1:39" ht="12.75" customHeight="1" x14ac:dyDescent="0.25">
      <c r="A917" s="395"/>
      <c r="J917" s="122"/>
      <c r="K917" s="122"/>
      <c r="L917" s="122"/>
      <c r="M917" s="122"/>
      <c r="N917" s="122"/>
      <c r="O917" s="122"/>
      <c r="P917" s="122"/>
      <c r="Q917" s="122"/>
      <c r="R917" s="122"/>
      <c r="AL917" s="360"/>
      <c r="AM917" s="499"/>
    </row>
    <row r="918" spans="1:39" ht="12.75" customHeight="1" x14ac:dyDescent="0.25">
      <c r="A918" s="395"/>
      <c r="J918" s="122"/>
      <c r="K918" s="122"/>
      <c r="L918" s="122"/>
      <c r="M918" s="122"/>
      <c r="N918" s="122"/>
      <c r="O918" s="122"/>
      <c r="P918" s="122"/>
      <c r="Q918" s="122"/>
      <c r="R918" s="122"/>
      <c r="AL918" s="360"/>
      <c r="AM918" s="499"/>
    </row>
    <row r="919" spans="1:39" ht="12.75" customHeight="1" x14ac:dyDescent="0.25">
      <c r="A919" s="395"/>
      <c r="J919" s="122"/>
      <c r="K919" s="122"/>
      <c r="L919" s="122"/>
      <c r="M919" s="122"/>
      <c r="N919" s="122"/>
      <c r="O919" s="122"/>
      <c r="P919" s="122"/>
      <c r="Q919" s="122"/>
      <c r="R919" s="122"/>
      <c r="AL919" s="360"/>
      <c r="AM919" s="499"/>
    </row>
    <row r="920" spans="1:39" ht="12.75" customHeight="1" x14ac:dyDescent="0.25">
      <c r="A920" s="395"/>
      <c r="J920" s="122"/>
      <c r="K920" s="122"/>
      <c r="L920" s="122"/>
      <c r="M920" s="122"/>
      <c r="N920" s="122"/>
      <c r="O920" s="122"/>
      <c r="P920" s="122"/>
      <c r="Q920" s="122"/>
      <c r="R920" s="122"/>
      <c r="AL920" s="360"/>
      <c r="AM920" s="499"/>
    </row>
    <row r="921" spans="1:39" ht="12.75" customHeight="1" x14ac:dyDescent="0.25">
      <c r="A921" s="395"/>
      <c r="J921" s="122"/>
      <c r="K921" s="122"/>
      <c r="L921" s="122"/>
      <c r="M921" s="122"/>
      <c r="N921" s="122"/>
      <c r="O921" s="122"/>
      <c r="P921" s="122"/>
      <c r="Q921" s="122"/>
      <c r="R921" s="122"/>
      <c r="AL921" s="360"/>
      <c r="AM921" s="499"/>
    </row>
    <row r="922" spans="1:39" ht="12.75" customHeight="1" x14ac:dyDescent="0.25">
      <c r="A922" s="395"/>
      <c r="J922" s="122"/>
      <c r="K922" s="122"/>
      <c r="L922" s="122"/>
      <c r="M922" s="122"/>
      <c r="N922" s="122"/>
      <c r="O922" s="122"/>
      <c r="P922" s="122"/>
      <c r="Q922" s="122"/>
      <c r="R922" s="122"/>
      <c r="AL922" s="360"/>
      <c r="AM922" s="499"/>
    </row>
    <row r="923" spans="1:39" ht="12.75" customHeight="1" x14ac:dyDescent="0.25">
      <c r="A923" s="395"/>
      <c r="J923" s="122"/>
      <c r="K923" s="122"/>
      <c r="L923" s="122"/>
      <c r="M923" s="122"/>
      <c r="N923" s="122"/>
      <c r="O923" s="122"/>
      <c r="P923" s="122"/>
      <c r="Q923" s="122"/>
      <c r="R923" s="122"/>
      <c r="AL923" s="360"/>
      <c r="AM923" s="499"/>
    </row>
    <row r="924" spans="1:39" ht="12.75" customHeight="1" x14ac:dyDescent="0.25">
      <c r="A924" s="395"/>
      <c r="J924" s="122"/>
      <c r="K924" s="122"/>
      <c r="L924" s="122"/>
      <c r="M924" s="122"/>
      <c r="N924" s="122"/>
      <c r="O924" s="122"/>
      <c r="P924" s="122"/>
      <c r="Q924" s="122"/>
      <c r="R924" s="122"/>
      <c r="AL924" s="360"/>
      <c r="AM924" s="499"/>
    </row>
    <row r="925" spans="1:39" ht="12.75" customHeight="1" x14ac:dyDescent="0.25">
      <c r="A925" s="395"/>
      <c r="J925" s="122"/>
      <c r="K925" s="122"/>
      <c r="L925" s="122"/>
      <c r="M925" s="122"/>
      <c r="N925" s="122"/>
      <c r="O925" s="122"/>
      <c r="P925" s="122"/>
      <c r="Q925" s="122"/>
      <c r="R925" s="122"/>
      <c r="AL925" s="360"/>
      <c r="AM925" s="499"/>
    </row>
    <row r="926" spans="1:39" ht="12.75" customHeight="1" x14ac:dyDescent="0.25">
      <c r="A926" s="395"/>
      <c r="J926" s="122"/>
      <c r="K926" s="122"/>
      <c r="L926" s="122"/>
      <c r="M926" s="122"/>
      <c r="N926" s="122"/>
      <c r="O926" s="122"/>
      <c r="P926" s="122"/>
      <c r="Q926" s="122"/>
      <c r="R926" s="122"/>
      <c r="AL926" s="360"/>
      <c r="AM926" s="499"/>
    </row>
    <row r="927" spans="1:39" ht="12.75" customHeight="1" x14ac:dyDescent="0.25">
      <c r="A927" s="395"/>
      <c r="J927" s="122"/>
      <c r="K927" s="122"/>
      <c r="L927" s="122"/>
      <c r="M927" s="122"/>
      <c r="N927" s="122"/>
      <c r="O927" s="122"/>
      <c r="P927" s="122"/>
      <c r="Q927" s="122"/>
      <c r="R927" s="122"/>
      <c r="AL927" s="360"/>
      <c r="AM927" s="499"/>
    </row>
    <row r="928" spans="1:39" ht="12.75" customHeight="1" x14ac:dyDescent="0.25">
      <c r="A928" s="395"/>
      <c r="J928" s="122"/>
      <c r="K928" s="122"/>
      <c r="L928" s="122"/>
      <c r="M928" s="122"/>
      <c r="N928" s="122"/>
      <c r="O928" s="122"/>
      <c r="P928" s="122"/>
      <c r="Q928" s="122"/>
      <c r="R928" s="122"/>
      <c r="AL928" s="360"/>
      <c r="AM928" s="499"/>
    </row>
    <row r="929" spans="1:39" ht="12.75" customHeight="1" x14ac:dyDescent="0.25">
      <c r="A929" s="395"/>
      <c r="J929" s="122"/>
      <c r="K929" s="122"/>
      <c r="L929" s="122"/>
      <c r="M929" s="122"/>
      <c r="N929" s="122"/>
      <c r="O929" s="122"/>
      <c r="P929" s="122"/>
      <c r="Q929" s="122"/>
      <c r="R929" s="122"/>
      <c r="AL929" s="360"/>
      <c r="AM929" s="499"/>
    </row>
    <row r="930" spans="1:39" ht="12.75" customHeight="1" x14ac:dyDescent="0.25">
      <c r="A930" s="395"/>
      <c r="J930" s="122"/>
      <c r="K930" s="122"/>
      <c r="L930" s="122"/>
      <c r="M930" s="122"/>
      <c r="N930" s="122"/>
      <c r="O930" s="122"/>
      <c r="P930" s="122"/>
      <c r="Q930" s="122"/>
      <c r="R930" s="122"/>
      <c r="AL930" s="360"/>
      <c r="AM930" s="499"/>
    </row>
    <row r="931" spans="1:39" ht="12.75" customHeight="1" x14ac:dyDescent="0.25">
      <c r="A931" s="395"/>
      <c r="J931" s="122"/>
      <c r="K931" s="122"/>
      <c r="L931" s="122"/>
      <c r="M931" s="122"/>
      <c r="N931" s="122"/>
      <c r="O931" s="122"/>
      <c r="P931" s="122"/>
      <c r="Q931" s="122"/>
      <c r="R931" s="122"/>
      <c r="AL931" s="360"/>
      <c r="AM931" s="499"/>
    </row>
    <row r="932" spans="1:39" ht="12.75" customHeight="1" x14ac:dyDescent="0.25">
      <c r="A932" s="395"/>
      <c r="J932" s="122"/>
      <c r="K932" s="122"/>
      <c r="L932" s="122"/>
      <c r="M932" s="122"/>
      <c r="N932" s="122"/>
      <c r="O932" s="122"/>
      <c r="P932" s="122"/>
      <c r="Q932" s="122"/>
      <c r="R932" s="122"/>
      <c r="AL932" s="360"/>
      <c r="AM932" s="499"/>
    </row>
    <row r="933" spans="1:39" ht="12.75" customHeight="1" x14ac:dyDescent="0.25">
      <c r="A933" s="395"/>
      <c r="J933" s="122"/>
      <c r="K933" s="122"/>
      <c r="L933" s="122"/>
      <c r="M933" s="122"/>
      <c r="N933" s="122"/>
      <c r="O933" s="122"/>
      <c r="P933" s="122"/>
      <c r="Q933" s="122"/>
      <c r="R933" s="122"/>
      <c r="AL933" s="360"/>
      <c r="AM933" s="499"/>
    </row>
    <row r="934" spans="1:39" ht="12.75" customHeight="1" x14ac:dyDescent="0.25">
      <c r="A934" s="395"/>
      <c r="J934" s="122"/>
      <c r="K934" s="122"/>
      <c r="L934" s="122"/>
      <c r="M934" s="122"/>
      <c r="N934" s="122"/>
      <c r="O934" s="122"/>
      <c r="P934" s="122"/>
      <c r="Q934" s="122"/>
      <c r="R934" s="122"/>
      <c r="AL934" s="360"/>
      <c r="AM934" s="499"/>
    </row>
    <row r="935" spans="1:39" ht="12.75" customHeight="1" x14ac:dyDescent="0.25">
      <c r="A935" s="395"/>
      <c r="J935" s="122"/>
      <c r="K935" s="122"/>
      <c r="L935" s="122"/>
      <c r="M935" s="122"/>
      <c r="N935" s="122"/>
      <c r="O935" s="122"/>
      <c r="P935" s="122"/>
      <c r="Q935" s="122"/>
      <c r="R935" s="122"/>
      <c r="AL935" s="360"/>
      <c r="AM935" s="499"/>
    </row>
    <row r="936" spans="1:39" ht="12.75" customHeight="1" x14ac:dyDescent="0.25">
      <c r="A936" s="395"/>
      <c r="J936" s="122"/>
      <c r="K936" s="122"/>
      <c r="L936" s="122"/>
      <c r="M936" s="122"/>
      <c r="N936" s="122"/>
      <c r="O936" s="122"/>
      <c r="P936" s="122"/>
      <c r="Q936" s="122"/>
      <c r="R936" s="122"/>
      <c r="AL936" s="360"/>
      <c r="AM936" s="499"/>
    </row>
    <row r="937" spans="1:39" ht="12.75" customHeight="1" x14ac:dyDescent="0.25">
      <c r="A937" s="395"/>
      <c r="J937" s="122"/>
      <c r="K937" s="122"/>
      <c r="L937" s="122"/>
      <c r="M937" s="122"/>
      <c r="N937" s="122"/>
      <c r="O937" s="122"/>
      <c r="P937" s="122"/>
      <c r="Q937" s="122"/>
      <c r="R937" s="122"/>
      <c r="AL937" s="360"/>
      <c r="AM937" s="499"/>
    </row>
    <row r="938" spans="1:39" ht="12.75" customHeight="1" x14ac:dyDescent="0.25">
      <c r="A938" s="395"/>
      <c r="J938" s="122"/>
      <c r="K938" s="122"/>
      <c r="L938" s="122"/>
      <c r="M938" s="122"/>
      <c r="N938" s="122"/>
      <c r="O938" s="122"/>
      <c r="P938" s="122"/>
      <c r="Q938" s="122"/>
      <c r="R938" s="122"/>
      <c r="AL938" s="360"/>
      <c r="AM938" s="499"/>
    </row>
    <row r="939" spans="1:39" ht="12.75" customHeight="1" x14ac:dyDescent="0.25">
      <c r="A939" s="395"/>
      <c r="J939" s="122"/>
      <c r="K939" s="122"/>
      <c r="L939" s="122"/>
      <c r="M939" s="122"/>
      <c r="N939" s="122"/>
      <c r="O939" s="122"/>
      <c r="P939" s="122"/>
      <c r="Q939" s="122"/>
      <c r="R939" s="122"/>
      <c r="AL939" s="360"/>
      <c r="AM939" s="499"/>
    </row>
    <row r="940" spans="1:39" ht="12.75" customHeight="1" x14ac:dyDescent="0.25">
      <c r="A940" s="395"/>
      <c r="J940" s="122"/>
      <c r="K940" s="122"/>
      <c r="L940" s="122"/>
      <c r="M940" s="122"/>
      <c r="N940" s="122"/>
      <c r="O940" s="122"/>
      <c r="P940" s="122"/>
      <c r="Q940" s="122"/>
      <c r="R940" s="122"/>
      <c r="AL940" s="360"/>
      <c r="AM940" s="499"/>
    </row>
    <row r="941" spans="1:39" ht="12.75" customHeight="1" x14ac:dyDescent="0.25">
      <c r="A941" s="395"/>
      <c r="J941" s="122"/>
      <c r="K941" s="122"/>
      <c r="L941" s="122"/>
      <c r="M941" s="122"/>
      <c r="N941" s="122"/>
      <c r="O941" s="122"/>
      <c r="P941" s="122"/>
      <c r="Q941" s="122"/>
      <c r="R941" s="122"/>
      <c r="AL941" s="360"/>
      <c r="AM941" s="499"/>
    </row>
    <row r="942" spans="1:39" ht="12.75" customHeight="1" x14ac:dyDescent="0.25">
      <c r="A942" s="395"/>
      <c r="J942" s="122"/>
      <c r="K942" s="122"/>
      <c r="L942" s="122"/>
      <c r="M942" s="122"/>
      <c r="N942" s="122"/>
      <c r="O942" s="122"/>
      <c r="P942" s="122"/>
      <c r="Q942" s="122"/>
      <c r="R942" s="122"/>
      <c r="AL942" s="360"/>
      <c r="AM942" s="499"/>
    </row>
    <row r="943" spans="1:39" ht="12.75" customHeight="1" x14ac:dyDescent="0.25">
      <c r="A943" s="395"/>
      <c r="J943" s="122"/>
      <c r="K943" s="122"/>
      <c r="L943" s="122"/>
      <c r="M943" s="122"/>
      <c r="N943" s="122"/>
      <c r="O943" s="122"/>
      <c r="P943" s="122"/>
      <c r="Q943" s="122"/>
      <c r="R943" s="122"/>
      <c r="AL943" s="360"/>
      <c r="AM943" s="499"/>
    </row>
    <row r="944" spans="1:39" ht="12.75" customHeight="1" x14ac:dyDescent="0.25">
      <c r="A944" s="395"/>
      <c r="J944" s="122"/>
      <c r="K944" s="122"/>
      <c r="L944" s="122"/>
      <c r="M944" s="122"/>
      <c r="N944" s="122"/>
      <c r="O944" s="122"/>
      <c r="P944" s="122"/>
      <c r="Q944" s="122"/>
      <c r="R944" s="122"/>
      <c r="AL944" s="360"/>
      <c r="AM944" s="499"/>
    </row>
    <row r="945" spans="1:39" ht="12.75" customHeight="1" x14ac:dyDescent="0.25">
      <c r="A945" s="395"/>
      <c r="J945" s="122"/>
      <c r="K945" s="122"/>
      <c r="L945" s="122"/>
      <c r="M945" s="122"/>
      <c r="N945" s="122"/>
      <c r="O945" s="122"/>
      <c r="P945" s="122"/>
      <c r="Q945" s="122"/>
      <c r="R945" s="122"/>
      <c r="AL945" s="360"/>
      <c r="AM945" s="499"/>
    </row>
    <row r="946" spans="1:39" ht="12.75" customHeight="1" x14ac:dyDescent="0.25">
      <c r="A946" s="395"/>
      <c r="J946" s="122"/>
      <c r="K946" s="122"/>
      <c r="L946" s="122"/>
      <c r="M946" s="122"/>
      <c r="N946" s="122"/>
      <c r="O946" s="122"/>
      <c r="P946" s="122"/>
      <c r="Q946" s="122"/>
      <c r="R946" s="122"/>
      <c r="AL946" s="360"/>
      <c r="AM946" s="499"/>
    </row>
    <row r="947" spans="1:39" ht="12.75" customHeight="1" x14ac:dyDescent="0.25">
      <c r="A947" s="395"/>
      <c r="J947" s="122"/>
      <c r="K947" s="122"/>
      <c r="L947" s="122"/>
      <c r="M947" s="122"/>
      <c r="N947" s="122"/>
      <c r="O947" s="122"/>
      <c r="P947" s="122"/>
      <c r="Q947" s="122"/>
      <c r="R947" s="122"/>
      <c r="AL947" s="360"/>
      <c r="AM947" s="499"/>
    </row>
    <row r="948" spans="1:39" ht="12.75" customHeight="1" x14ac:dyDescent="0.25">
      <c r="A948" s="395"/>
      <c r="J948" s="122"/>
      <c r="K948" s="122"/>
      <c r="L948" s="122"/>
      <c r="M948" s="122"/>
      <c r="N948" s="122"/>
      <c r="O948" s="122"/>
      <c r="P948" s="122"/>
      <c r="Q948" s="122"/>
      <c r="R948" s="122"/>
      <c r="AL948" s="360"/>
      <c r="AM948" s="499"/>
    </row>
    <row r="949" spans="1:39" ht="12.75" customHeight="1" x14ac:dyDescent="0.25">
      <c r="A949" s="395"/>
      <c r="J949" s="122"/>
      <c r="K949" s="122"/>
      <c r="L949" s="122"/>
      <c r="M949" s="122"/>
      <c r="N949" s="122"/>
      <c r="O949" s="122"/>
      <c r="P949" s="122"/>
      <c r="Q949" s="122"/>
      <c r="R949" s="122"/>
      <c r="AL949" s="360"/>
      <c r="AM949" s="499"/>
    </row>
    <row r="950" spans="1:39" ht="12.75" customHeight="1" x14ac:dyDescent="0.25">
      <c r="A950" s="395"/>
      <c r="J950" s="122"/>
      <c r="K950" s="122"/>
      <c r="L950" s="122"/>
      <c r="M950" s="122"/>
      <c r="N950" s="122"/>
      <c r="O950" s="122"/>
      <c r="P950" s="122"/>
      <c r="Q950" s="122"/>
      <c r="R950" s="122"/>
      <c r="AL950" s="360"/>
      <c r="AM950" s="499"/>
    </row>
    <row r="951" spans="1:39" ht="12.75" customHeight="1" x14ac:dyDescent="0.25">
      <c r="A951" s="395"/>
      <c r="J951" s="122"/>
      <c r="K951" s="122"/>
      <c r="L951" s="122"/>
      <c r="M951" s="122"/>
      <c r="N951" s="122"/>
      <c r="O951" s="122"/>
      <c r="P951" s="122"/>
      <c r="Q951" s="122"/>
      <c r="R951" s="122"/>
      <c r="AL951" s="360"/>
      <c r="AM951" s="499"/>
    </row>
    <row r="952" spans="1:39" ht="12.75" customHeight="1" x14ac:dyDescent="0.25">
      <c r="A952" s="395"/>
      <c r="J952" s="122"/>
      <c r="K952" s="122"/>
      <c r="L952" s="122"/>
      <c r="M952" s="122"/>
      <c r="N952" s="122"/>
      <c r="O952" s="122"/>
      <c r="P952" s="122"/>
      <c r="Q952" s="122"/>
      <c r="R952" s="122"/>
      <c r="AL952" s="360"/>
      <c r="AM952" s="499"/>
    </row>
    <row r="953" spans="1:39" ht="12.75" customHeight="1" x14ac:dyDescent="0.25">
      <c r="A953" s="395"/>
      <c r="J953" s="122"/>
      <c r="K953" s="122"/>
      <c r="L953" s="122"/>
      <c r="M953" s="122"/>
      <c r="N953" s="122"/>
      <c r="O953" s="122"/>
      <c r="P953" s="122"/>
      <c r="Q953" s="122"/>
      <c r="R953" s="122"/>
      <c r="AL953" s="360"/>
      <c r="AM953" s="499"/>
    </row>
    <row r="954" spans="1:39" ht="12.75" customHeight="1" x14ac:dyDescent="0.25">
      <c r="A954" s="395"/>
      <c r="J954" s="122"/>
      <c r="K954" s="122"/>
      <c r="L954" s="122"/>
      <c r="M954" s="122"/>
      <c r="N954" s="122"/>
      <c r="O954" s="122"/>
      <c r="P954" s="122"/>
      <c r="Q954" s="122"/>
      <c r="R954" s="122"/>
      <c r="AL954" s="360"/>
      <c r="AM954" s="499"/>
    </row>
    <row r="955" spans="1:39" ht="12.75" customHeight="1" x14ac:dyDescent="0.25">
      <c r="A955" s="395"/>
      <c r="J955" s="122"/>
      <c r="K955" s="122"/>
      <c r="L955" s="122"/>
      <c r="M955" s="122"/>
      <c r="N955" s="122"/>
      <c r="O955" s="122"/>
      <c r="P955" s="122"/>
      <c r="Q955" s="122"/>
      <c r="R955" s="122"/>
      <c r="AL955" s="360"/>
      <c r="AM955" s="499"/>
    </row>
    <row r="956" spans="1:39" ht="12.75" customHeight="1" x14ac:dyDescent="0.25">
      <c r="A956" s="395"/>
      <c r="J956" s="122"/>
      <c r="K956" s="122"/>
      <c r="L956" s="122"/>
      <c r="M956" s="122"/>
      <c r="N956" s="122"/>
      <c r="O956" s="122"/>
      <c r="P956" s="122"/>
      <c r="Q956" s="122"/>
      <c r="R956" s="122"/>
      <c r="AL956" s="360"/>
      <c r="AM956" s="499"/>
    </row>
    <row r="957" spans="1:39" ht="12.75" customHeight="1" x14ac:dyDescent="0.25">
      <c r="A957" s="395"/>
      <c r="J957" s="122"/>
      <c r="K957" s="122"/>
      <c r="L957" s="122"/>
      <c r="M957" s="122"/>
      <c r="N957" s="122"/>
      <c r="O957" s="122"/>
      <c r="P957" s="122"/>
      <c r="Q957" s="122"/>
      <c r="R957" s="122"/>
      <c r="AL957" s="360"/>
      <c r="AM957" s="499"/>
    </row>
    <row r="958" spans="1:39" ht="12.75" customHeight="1" x14ac:dyDescent="0.25">
      <c r="A958" s="395"/>
      <c r="J958" s="122"/>
      <c r="K958" s="122"/>
      <c r="L958" s="122"/>
      <c r="M958" s="122"/>
      <c r="N958" s="122"/>
      <c r="O958" s="122"/>
      <c r="P958" s="122"/>
      <c r="Q958" s="122"/>
      <c r="R958" s="122"/>
      <c r="AL958" s="360"/>
      <c r="AM958" s="499"/>
    </row>
    <row r="959" spans="1:39" ht="12.75" customHeight="1" x14ac:dyDescent="0.25">
      <c r="A959" s="395"/>
      <c r="J959" s="122"/>
      <c r="K959" s="122"/>
      <c r="L959" s="122"/>
      <c r="M959" s="122"/>
      <c r="N959" s="122"/>
      <c r="O959" s="122"/>
      <c r="P959" s="122"/>
      <c r="Q959" s="122"/>
      <c r="R959" s="122"/>
      <c r="AL959" s="360"/>
      <c r="AM959" s="499"/>
    </row>
    <row r="960" spans="1:39" ht="12.75" customHeight="1" x14ac:dyDescent="0.25">
      <c r="A960" s="395"/>
      <c r="J960" s="122"/>
      <c r="K960" s="122"/>
      <c r="L960" s="122"/>
      <c r="M960" s="122"/>
      <c r="N960" s="122"/>
      <c r="O960" s="122"/>
      <c r="P960" s="122"/>
      <c r="Q960" s="122"/>
      <c r="R960" s="122"/>
      <c r="AL960" s="360"/>
      <c r="AM960" s="499"/>
    </row>
    <row r="961" spans="1:39" ht="12.75" customHeight="1" x14ac:dyDescent="0.25">
      <c r="A961" s="395"/>
      <c r="J961" s="122"/>
      <c r="K961" s="122"/>
      <c r="L961" s="122"/>
      <c r="M961" s="122"/>
      <c r="N961" s="122"/>
      <c r="O961" s="122"/>
      <c r="P961" s="122"/>
      <c r="Q961" s="122"/>
      <c r="R961" s="122"/>
      <c r="AL961" s="360"/>
      <c r="AM961" s="499"/>
    </row>
    <row r="962" spans="1:39" ht="12.75" customHeight="1" x14ac:dyDescent="0.25">
      <c r="A962" s="395"/>
      <c r="J962" s="122"/>
      <c r="K962" s="122"/>
      <c r="L962" s="122"/>
      <c r="M962" s="122"/>
      <c r="N962" s="122"/>
      <c r="O962" s="122"/>
      <c r="P962" s="122"/>
      <c r="Q962" s="122"/>
      <c r="R962" s="122"/>
      <c r="AL962" s="360"/>
      <c r="AM962" s="499"/>
    </row>
    <row r="963" spans="1:39" ht="12.75" customHeight="1" x14ac:dyDescent="0.25">
      <c r="A963" s="395"/>
      <c r="J963" s="122"/>
      <c r="K963" s="122"/>
      <c r="L963" s="122"/>
      <c r="M963" s="122"/>
      <c r="N963" s="122"/>
      <c r="O963" s="122"/>
      <c r="P963" s="122"/>
      <c r="Q963" s="122"/>
      <c r="R963" s="122"/>
      <c r="AL963" s="360"/>
      <c r="AM963" s="499"/>
    </row>
    <row r="964" spans="1:39" ht="12.75" customHeight="1" x14ac:dyDescent="0.25">
      <c r="A964" s="395"/>
      <c r="J964" s="122"/>
      <c r="K964" s="122"/>
      <c r="L964" s="122"/>
      <c r="M964" s="122"/>
      <c r="N964" s="122"/>
      <c r="O964" s="122"/>
      <c r="P964" s="122"/>
      <c r="Q964" s="122"/>
      <c r="R964" s="122"/>
      <c r="AL964" s="360"/>
      <c r="AM964" s="499"/>
    </row>
    <row r="965" spans="1:39" ht="12.75" customHeight="1" x14ac:dyDescent="0.25">
      <c r="A965" s="395"/>
      <c r="J965" s="122"/>
      <c r="K965" s="122"/>
      <c r="L965" s="122"/>
      <c r="M965" s="122"/>
      <c r="N965" s="122"/>
      <c r="O965" s="122"/>
      <c r="P965" s="122"/>
      <c r="Q965" s="122"/>
      <c r="R965" s="122"/>
      <c r="AL965" s="360"/>
      <c r="AM965" s="499"/>
    </row>
    <row r="966" spans="1:39" ht="12.75" customHeight="1" x14ac:dyDescent="0.25">
      <c r="A966" s="395"/>
      <c r="J966" s="122"/>
      <c r="K966" s="122"/>
      <c r="L966" s="122"/>
      <c r="M966" s="122"/>
      <c r="N966" s="122"/>
      <c r="O966" s="122"/>
      <c r="P966" s="122"/>
      <c r="Q966" s="122"/>
      <c r="R966" s="122"/>
      <c r="AL966" s="360"/>
      <c r="AM966" s="499"/>
    </row>
    <row r="967" spans="1:39" ht="12.75" customHeight="1" x14ac:dyDescent="0.25">
      <c r="A967" s="395"/>
      <c r="J967" s="122"/>
      <c r="K967" s="122"/>
      <c r="L967" s="122"/>
      <c r="M967" s="122"/>
      <c r="N967" s="122"/>
      <c r="O967" s="122"/>
      <c r="P967" s="122"/>
      <c r="Q967" s="122"/>
      <c r="R967" s="122"/>
      <c r="AL967" s="360"/>
      <c r="AM967" s="499"/>
    </row>
    <row r="968" spans="1:39" ht="12.75" customHeight="1" x14ac:dyDescent="0.25">
      <c r="A968" s="395"/>
      <c r="J968" s="122"/>
      <c r="K968" s="122"/>
      <c r="L968" s="122"/>
      <c r="M968" s="122"/>
      <c r="N968" s="122"/>
      <c r="O968" s="122"/>
      <c r="P968" s="122"/>
      <c r="Q968" s="122"/>
      <c r="R968" s="122"/>
      <c r="AL968" s="360"/>
      <c r="AM968" s="499"/>
    </row>
    <row r="969" spans="1:39" ht="12.75" customHeight="1" x14ac:dyDescent="0.25">
      <c r="A969" s="395"/>
      <c r="J969" s="122"/>
      <c r="K969" s="122"/>
      <c r="L969" s="122"/>
      <c r="M969" s="122"/>
      <c r="N969" s="122"/>
      <c r="O969" s="122"/>
      <c r="P969" s="122"/>
      <c r="Q969" s="122"/>
      <c r="R969" s="122"/>
      <c r="AL969" s="360"/>
      <c r="AM969" s="499"/>
    </row>
    <row r="970" spans="1:39" ht="12.75" customHeight="1" x14ac:dyDescent="0.25">
      <c r="A970" s="395"/>
      <c r="J970" s="122"/>
      <c r="K970" s="122"/>
      <c r="L970" s="122"/>
      <c r="M970" s="122"/>
      <c r="N970" s="122"/>
      <c r="O970" s="122"/>
      <c r="P970" s="122"/>
      <c r="Q970" s="122"/>
      <c r="R970" s="122"/>
      <c r="AL970" s="360"/>
      <c r="AM970" s="499"/>
    </row>
    <row r="971" spans="1:39" ht="12.75" customHeight="1" x14ac:dyDescent="0.25">
      <c r="A971" s="395"/>
      <c r="J971" s="122"/>
      <c r="K971" s="122"/>
      <c r="L971" s="122"/>
      <c r="M971" s="122"/>
      <c r="N971" s="122"/>
      <c r="O971" s="122"/>
      <c r="P971" s="122"/>
      <c r="Q971" s="122"/>
      <c r="R971" s="122"/>
      <c r="AL971" s="360"/>
      <c r="AM971" s="499"/>
    </row>
    <row r="972" spans="1:39" ht="12.75" customHeight="1" x14ac:dyDescent="0.25">
      <c r="A972" s="395"/>
      <c r="J972" s="122"/>
      <c r="K972" s="122"/>
      <c r="L972" s="122"/>
      <c r="M972" s="122"/>
      <c r="N972" s="122"/>
      <c r="O972" s="122"/>
      <c r="P972" s="122"/>
      <c r="Q972" s="122"/>
      <c r="R972" s="122"/>
      <c r="AL972" s="360"/>
      <c r="AM972" s="499"/>
    </row>
    <row r="973" spans="1:39" ht="12.75" customHeight="1" x14ac:dyDescent="0.25">
      <c r="A973" s="395"/>
      <c r="J973" s="122"/>
      <c r="K973" s="122"/>
      <c r="L973" s="122"/>
      <c r="M973" s="122"/>
      <c r="N973" s="122"/>
      <c r="O973" s="122"/>
      <c r="P973" s="122"/>
      <c r="Q973" s="122"/>
      <c r="R973" s="122"/>
      <c r="AL973" s="360"/>
      <c r="AM973" s="499"/>
    </row>
    <row r="974" spans="1:39" ht="12.75" customHeight="1" x14ac:dyDescent="0.25">
      <c r="A974" s="395"/>
      <c r="J974" s="122"/>
      <c r="K974" s="122"/>
      <c r="L974" s="122"/>
      <c r="M974" s="122"/>
      <c r="N974" s="122"/>
      <c r="O974" s="122"/>
      <c r="P974" s="122"/>
      <c r="Q974" s="122"/>
      <c r="R974" s="122"/>
      <c r="AL974" s="360"/>
      <c r="AM974" s="499"/>
    </row>
    <row r="975" spans="1:39" ht="12.75" customHeight="1" x14ac:dyDescent="0.25">
      <c r="A975" s="395"/>
      <c r="J975" s="122"/>
      <c r="K975" s="122"/>
      <c r="L975" s="122"/>
      <c r="M975" s="122"/>
      <c r="N975" s="122"/>
      <c r="O975" s="122"/>
      <c r="P975" s="122"/>
      <c r="Q975" s="122"/>
      <c r="R975" s="122"/>
      <c r="AL975" s="360"/>
      <c r="AM975" s="499"/>
    </row>
    <row r="976" spans="1:39" ht="12.75" customHeight="1" x14ac:dyDescent="0.25">
      <c r="A976" s="395"/>
      <c r="J976" s="122"/>
      <c r="K976" s="122"/>
      <c r="L976" s="122"/>
      <c r="M976" s="122"/>
      <c r="N976" s="122"/>
      <c r="O976" s="122"/>
      <c r="P976" s="122"/>
      <c r="Q976" s="122"/>
      <c r="R976" s="122"/>
      <c r="AL976" s="360"/>
      <c r="AM976" s="499"/>
    </row>
    <row r="977" spans="1:39" ht="12.75" customHeight="1" x14ac:dyDescent="0.25">
      <c r="A977" s="395"/>
      <c r="J977" s="122"/>
      <c r="K977" s="122"/>
      <c r="L977" s="122"/>
      <c r="M977" s="122"/>
      <c r="N977" s="122"/>
      <c r="O977" s="122"/>
      <c r="P977" s="122"/>
      <c r="Q977" s="122"/>
      <c r="R977" s="122"/>
      <c r="AL977" s="360"/>
      <c r="AM977" s="499"/>
    </row>
    <row r="978" spans="1:39" ht="12.75" customHeight="1" x14ac:dyDescent="0.25">
      <c r="A978" s="395"/>
      <c r="J978" s="122"/>
      <c r="K978" s="122"/>
      <c r="L978" s="122"/>
      <c r="M978" s="122"/>
      <c r="N978" s="122"/>
      <c r="O978" s="122"/>
      <c r="P978" s="122"/>
      <c r="Q978" s="122"/>
      <c r="R978" s="122"/>
      <c r="AL978" s="360"/>
      <c r="AM978" s="499"/>
    </row>
    <row r="979" spans="1:39" ht="12.75" customHeight="1" x14ac:dyDescent="0.25">
      <c r="A979" s="395"/>
      <c r="J979" s="122"/>
      <c r="K979" s="122"/>
      <c r="L979" s="122"/>
      <c r="M979" s="122"/>
      <c r="N979" s="122"/>
      <c r="O979" s="122"/>
      <c r="P979" s="122"/>
      <c r="Q979" s="122"/>
      <c r="R979" s="122"/>
      <c r="AL979" s="360"/>
      <c r="AM979" s="499"/>
    </row>
    <row r="980" spans="1:39" ht="12.75" customHeight="1" x14ac:dyDescent="0.25">
      <c r="A980" s="395"/>
      <c r="J980" s="122"/>
      <c r="K980" s="122"/>
      <c r="L980" s="122"/>
      <c r="M980" s="122"/>
      <c r="N980" s="122"/>
      <c r="O980" s="122"/>
      <c r="P980" s="122"/>
      <c r="Q980" s="122"/>
      <c r="R980" s="122"/>
      <c r="AL980" s="360"/>
      <c r="AM980" s="499"/>
    </row>
    <row r="981" spans="1:39" ht="12.75" customHeight="1" x14ac:dyDescent="0.25">
      <c r="A981" s="395"/>
      <c r="J981" s="122"/>
      <c r="K981" s="122"/>
      <c r="L981" s="122"/>
      <c r="M981" s="122"/>
      <c r="N981" s="122"/>
      <c r="O981" s="122"/>
      <c r="P981" s="122"/>
      <c r="Q981" s="122"/>
      <c r="R981" s="122"/>
      <c r="AL981" s="360"/>
      <c r="AM981" s="499"/>
    </row>
    <row r="982" spans="1:39" ht="12.75" customHeight="1" x14ac:dyDescent="0.25">
      <c r="A982" s="395"/>
      <c r="J982" s="122"/>
      <c r="K982" s="122"/>
      <c r="L982" s="122"/>
      <c r="M982" s="122"/>
      <c r="N982" s="122"/>
      <c r="O982" s="122"/>
      <c r="P982" s="122"/>
      <c r="Q982" s="122"/>
      <c r="R982" s="122"/>
      <c r="AL982" s="360"/>
      <c r="AM982" s="499"/>
    </row>
    <row r="983" spans="1:39" ht="12.75" customHeight="1" x14ac:dyDescent="0.25">
      <c r="A983" s="395"/>
      <c r="J983" s="122"/>
      <c r="K983" s="122"/>
      <c r="L983" s="122"/>
      <c r="M983" s="122"/>
      <c r="N983" s="122"/>
      <c r="O983" s="122"/>
      <c r="P983" s="122"/>
      <c r="Q983" s="122"/>
      <c r="R983" s="122"/>
      <c r="AL983" s="360"/>
      <c r="AM983" s="499"/>
    </row>
    <row r="984" spans="1:39" ht="12.75" customHeight="1" x14ac:dyDescent="0.25">
      <c r="A984" s="395"/>
      <c r="J984" s="122"/>
      <c r="K984" s="122"/>
      <c r="L984" s="122"/>
      <c r="M984" s="122"/>
      <c r="N984" s="122"/>
      <c r="O984" s="122"/>
      <c r="P984" s="122"/>
      <c r="Q984" s="122"/>
      <c r="R984" s="122"/>
      <c r="AL984" s="360"/>
      <c r="AM984" s="499"/>
    </row>
    <row r="985" spans="1:39" ht="12.75" customHeight="1" x14ac:dyDescent="0.25">
      <c r="A985" s="395"/>
      <c r="J985" s="122"/>
      <c r="K985" s="122"/>
      <c r="L985" s="122"/>
      <c r="M985" s="122"/>
      <c r="N985" s="122"/>
      <c r="O985" s="122"/>
      <c r="P985" s="122"/>
      <c r="Q985" s="122"/>
      <c r="R985" s="122"/>
      <c r="AL985" s="360"/>
      <c r="AM985" s="499"/>
    </row>
    <row r="986" spans="1:39" ht="12.75" customHeight="1" x14ac:dyDescent="0.25">
      <c r="A986" s="395"/>
      <c r="J986" s="122"/>
      <c r="K986" s="122"/>
      <c r="L986" s="122"/>
      <c r="M986" s="122"/>
      <c r="N986" s="122"/>
      <c r="O986" s="122"/>
      <c r="P986" s="122"/>
      <c r="Q986" s="122"/>
      <c r="R986" s="122"/>
      <c r="AL986" s="360"/>
      <c r="AM986" s="499"/>
    </row>
    <row r="987" spans="1:39" ht="12.75" customHeight="1" x14ac:dyDescent="0.25">
      <c r="A987" s="395"/>
      <c r="J987" s="122"/>
      <c r="K987" s="122"/>
      <c r="L987" s="122"/>
      <c r="M987" s="122"/>
      <c r="N987" s="122"/>
      <c r="O987" s="122"/>
      <c r="P987" s="122"/>
      <c r="Q987" s="122"/>
      <c r="R987" s="122"/>
      <c r="AL987" s="360"/>
      <c r="AM987" s="499"/>
    </row>
    <row r="988" spans="1:39" ht="12.75" customHeight="1" x14ac:dyDescent="0.25">
      <c r="A988" s="395"/>
      <c r="J988" s="122"/>
      <c r="K988" s="122"/>
      <c r="L988" s="122"/>
      <c r="M988" s="122"/>
      <c r="N988" s="122"/>
      <c r="O988" s="122"/>
      <c r="P988" s="122"/>
      <c r="Q988" s="122"/>
      <c r="R988" s="122"/>
      <c r="AL988" s="360"/>
      <c r="AM988" s="499"/>
    </row>
    <row r="989" spans="1:39" ht="12.75" customHeight="1" x14ac:dyDescent="0.25">
      <c r="A989" s="395"/>
      <c r="J989" s="122"/>
      <c r="K989" s="122"/>
      <c r="L989" s="122"/>
      <c r="M989" s="122"/>
      <c r="N989" s="122"/>
      <c r="O989" s="122"/>
      <c r="P989" s="122"/>
      <c r="Q989" s="122"/>
      <c r="R989" s="122"/>
      <c r="AL989" s="360"/>
      <c r="AM989" s="499"/>
    </row>
    <row r="990" spans="1:39" ht="12.75" customHeight="1" x14ac:dyDescent="0.25">
      <c r="A990" s="395"/>
      <c r="J990" s="122"/>
      <c r="K990" s="122"/>
      <c r="L990" s="122"/>
      <c r="M990" s="122"/>
      <c r="N990" s="122"/>
      <c r="O990" s="122"/>
      <c r="P990" s="122"/>
      <c r="Q990" s="122"/>
      <c r="R990" s="122"/>
      <c r="AL990" s="360"/>
      <c r="AM990" s="499"/>
    </row>
    <row r="991" spans="1:39" ht="12.75" customHeight="1" x14ac:dyDescent="0.25">
      <c r="A991" s="395"/>
      <c r="J991" s="122"/>
      <c r="K991" s="122"/>
      <c r="L991" s="122"/>
      <c r="M991" s="122"/>
      <c r="N991" s="122"/>
      <c r="O991" s="122"/>
      <c r="P991" s="122"/>
      <c r="Q991" s="122"/>
      <c r="R991" s="122"/>
      <c r="AL991" s="360"/>
      <c r="AM991" s="499"/>
    </row>
    <row r="992" spans="1:39" ht="12.75" customHeight="1" x14ac:dyDescent="0.25">
      <c r="A992" s="395"/>
      <c r="J992" s="122"/>
      <c r="K992" s="122"/>
      <c r="L992" s="122"/>
      <c r="M992" s="122"/>
      <c r="N992" s="122"/>
      <c r="O992" s="122"/>
      <c r="P992" s="122"/>
      <c r="Q992" s="122"/>
      <c r="R992" s="122"/>
      <c r="AL992" s="360"/>
      <c r="AM992" s="499"/>
    </row>
    <row r="993" spans="1:39" ht="12.75" customHeight="1" x14ac:dyDescent="0.25">
      <c r="A993" s="395"/>
      <c r="J993" s="122"/>
      <c r="K993" s="122"/>
      <c r="L993" s="122"/>
      <c r="M993" s="122"/>
      <c r="N993" s="122"/>
      <c r="O993" s="122"/>
      <c r="P993" s="122"/>
      <c r="Q993" s="122"/>
      <c r="R993" s="122"/>
      <c r="AL993" s="360"/>
      <c r="AM993" s="499"/>
    </row>
    <row r="994" spans="1:39" ht="12.75" customHeight="1" x14ac:dyDescent="0.25">
      <c r="A994" s="395"/>
      <c r="J994" s="122"/>
      <c r="K994" s="122"/>
      <c r="L994" s="122"/>
      <c r="M994" s="122"/>
      <c r="N994" s="122"/>
      <c r="O994" s="122"/>
      <c r="P994" s="122"/>
      <c r="Q994" s="122"/>
      <c r="R994" s="122"/>
      <c r="AL994" s="360"/>
      <c r="AM994" s="499"/>
    </row>
    <row r="995" spans="1:39" ht="12.75" customHeight="1" x14ac:dyDescent="0.25">
      <c r="A995" s="395"/>
      <c r="J995" s="122"/>
      <c r="K995" s="122"/>
      <c r="L995" s="122"/>
      <c r="M995" s="122"/>
      <c r="N995" s="122"/>
      <c r="O995" s="122"/>
      <c r="P995" s="122"/>
      <c r="Q995" s="122"/>
      <c r="R995" s="122"/>
      <c r="AL995" s="360"/>
      <c r="AM995" s="499"/>
    </row>
    <row r="996" spans="1:39" ht="12.75" customHeight="1" x14ac:dyDescent="0.25">
      <c r="A996" s="395"/>
      <c r="J996" s="122"/>
      <c r="K996" s="122"/>
      <c r="L996" s="122"/>
      <c r="M996" s="122"/>
      <c r="N996" s="122"/>
      <c r="O996" s="122"/>
      <c r="P996" s="122"/>
      <c r="Q996" s="122"/>
      <c r="R996" s="122"/>
      <c r="AL996" s="360"/>
      <c r="AM996" s="499"/>
    </row>
    <row r="997" spans="1:39" ht="12.75" customHeight="1" x14ac:dyDescent="0.25">
      <c r="A997" s="395"/>
      <c r="J997" s="122"/>
      <c r="K997" s="122"/>
      <c r="L997" s="122"/>
      <c r="M997" s="122"/>
      <c r="N997" s="122"/>
      <c r="O997" s="122"/>
      <c r="P997" s="122"/>
      <c r="Q997" s="122"/>
      <c r="R997" s="122"/>
      <c r="AL997" s="360"/>
      <c r="AM997" s="499"/>
    </row>
    <row r="998" spans="1:39" ht="12.75" customHeight="1" x14ac:dyDescent="0.25">
      <c r="A998" s="395"/>
      <c r="J998" s="122"/>
      <c r="K998" s="122"/>
      <c r="L998" s="122"/>
      <c r="M998" s="122"/>
      <c r="N998" s="122"/>
      <c r="O998" s="122"/>
      <c r="P998" s="122"/>
      <c r="Q998" s="122"/>
      <c r="R998" s="122"/>
      <c r="AL998" s="360"/>
      <c r="AM998" s="499"/>
    </row>
    <row r="999" spans="1:39" ht="12.75" customHeight="1" x14ac:dyDescent="0.25">
      <c r="A999" s="395"/>
      <c r="J999" s="122"/>
      <c r="K999" s="122"/>
      <c r="L999" s="122"/>
      <c r="M999" s="122"/>
      <c r="N999" s="122"/>
      <c r="O999" s="122"/>
      <c r="P999" s="122"/>
      <c r="Q999" s="122"/>
      <c r="R999" s="122"/>
      <c r="AL999" s="360"/>
      <c r="AM999" s="499"/>
    </row>
    <row r="1000" spans="1:39" ht="12.75" customHeight="1" x14ac:dyDescent="0.25">
      <c r="A1000" s="395"/>
      <c r="J1000" s="122"/>
      <c r="K1000" s="122"/>
      <c r="L1000" s="122"/>
      <c r="M1000" s="122"/>
      <c r="N1000" s="122"/>
      <c r="O1000" s="122"/>
      <c r="P1000" s="122"/>
      <c r="Q1000" s="122"/>
      <c r="R1000" s="122"/>
      <c r="AL1000" s="360"/>
      <c r="AM1000" s="499"/>
    </row>
  </sheetData>
  <mergeCells count="14">
    <mergeCell ref="AN16:AU16"/>
    <mergeCell ref="B66:G66"/>
    <mergeCell ref="AM1:AM1000"/>
    <mergeCell ref="B13:H13"/>
    <mergeCell ref="B14:H14"/>
    <mergeCell ref="T16:AA16"/>
    <mergeCell ref="AC16:AJ16"/>
    <mergeCell ref="J17:M17"/>
    <mergeCell ref="N17:Q17"/>
    <mergeCell ref="B15:H15"/>
    <mergeCell ref="B34:G34"/>
    <mergeCell ref="B44:G44"/>
    <mergeCell ref="B55:G55"/>
    <mergeCell ref="B56:G56"/>
  </mergeCells>
  <pageMargins left="0.7" right="0.7" top="0.75" bottom="0.75" header="0" footer="0"/>
  <pageSetup paperSize="5" scale="60" fitToHeight="0" orientation="landscape" r:id="rId1"/>
  <rowBreaks count="1" manualBreakCount="1">
    <brk id="67" max="1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FF"/>
    <outlinePr summaryBelow="0" summaryRight="0"/>
    <pageSetUpPr fitToPage="1"/>
  </sheetPr>
  <dimension ref="A3:BF81"/>
  <sheetViews>
    <sheetView view="pageBreakPreview" zoomScale="60" zoomScaleNormal="100" workbookViewId="0">
      <selection activeCell="BA7" sqref="BA7"/>
    </sheetView>
  </sheetViews>
  <sheetFormatPr defaultColWidth="12.6640625" defaultRowHeight="13.2" x14ac:dyDescent="0.25"/>
  <cols>
    <col min="1" max="1" width="18.109375" customWidth="1"/>
    <col min="2" max="2" width="45.33203125" customWidth="1"/>
    <col min="3" max="3" width="10.109375" hidden="1" customWidth="1"/>
    <col min="4" max="4" width="10.109375" customWidth="1"/>
    <col min="5" max="5" width="5.21875" hidden="1" customWidth="1"/>
    <col min="6" max="6" width="22.6640625" hidden="1" customWidth="1"/>
    <col min="7" max="7" width="34.44140625" hidden="1" customWidth="1"/>
    <col min="8" max="8" width="19.77734375" hidden="1" customWidth="1"/>
    <col min="9" max="9" width="18.33203125" customWidth="1"/>
    <col min="10" max="10" width="12.6640625" hidden="1" customWidth="1"/>
    <col min="11" max="11" width="5" hidden="1" customWidth="1"/>
    <col min="12" max="12" width="13.33203125" hidden="1" customWidth="1"/>
    <col min="13" max="13" width="50.21875" hidden="1" customWidth="1"/>
    <col min="14" max="14" width="8.109375" hidden="1" customWidth="1"/>
    <col min="15" max="15" width="12" hidden="1" customWidth="1"/>
    <col min="16" max="16" width="16.109375" hidden="1" customWidth="1"/>
    <col min="17" max="17" width="3" hidden="1" customWidth="1"/>
    <col min="18" max="20" width="4.44140625" hidden="1" customWidth="1"/>
    <col min="21" max="25" width="12.6640625" customWidth="1"/>
    <col min="26" max="27" width="13.44140625" bestFit="1" customWidth="1"/>
    <col min="28" max="28" width="16.44140625" bestFit="1" customWidth="1"/>
    <col min="29" max="29" width="18.5546875" customWidth="1"/>
    <col min="30" max="48" width="12.6640625" hidden="1" customWidth="1"/>
    <col min="49" max="49" width="21.44140625" style="470" customWidth="1"/>
    <col min="50" max="50" width="21.88671875" customWidth="1"/>
    <col min="51" max="58" width="12.6640625" customWidth="1"/>
  </cols>
  <sheetData>
    <row r="3" spans="1:58" x14ac:dyDescent="0.25">
      <c r="A3" s="132"/>
      <c r="B3" s="133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6"/>
      <c r="Y3" s="136"/>
      <c r="Z3" s="136"/>
      <c r="AA3" s="136"/>
      <c r="AB3" s="136"/>
      <c r="AC3" s="328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327"/>
      <c r="AO3" s="327"/>
      <c r="AP3" s="327"/>
      <c r="AQ3" s="327"/>
      <c r="AR3" s="327"/>
      <c r="AS3" s="327"/>
      <c r="AT3" s="327"/>
      <c r="AU3" s="327"/>
      <c r="AV3" s="327"/>
      <c r="AW3" s="471"/>
      <c r="AX3" s="327"/>
      <c r="AY3" s="327"/>
      <c r="AZ3" s="327"/>
      <c r="BA3" s="327"/>
      <c r="BB3" s="327"/>
      <c r="BC3" s="327"/>
      <c r="BD3" s="327"/>
      <c r="BE3" s="327"/>
      <c r="BF3" s="327"/>
    </row>
    <row r="4" spans="1:58" x14ac:dyDescent="0.25">
      <c r="A4" s="132"/>
      <c r="B4" s="133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6"/>
      <c r="Y4" s="136"/>
      <c r="Z4" s="136"/>
      <c r="AA4" s="136"/>
      <c r="AB4" s="136"/>
      <c r="AC4" s="328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327"/>
      <c r="AO4" s="327"/>
      <c r="AP4" s="327"/>
      <c r="AQ4" s="327"/>
      <c r="AR4" s="327"/>
      <c r="AS4" s="327"/>
      <c r="AT4" s="327"/>
      <c r="AU4" s="327"/>
      <c r="AV4" s="327"/>
      <c r="AW4" s="471"/>
      <c r="AX4" s="327"/>
      <c r="AY4" s="327"/>
      <c r="AZ4" s="327"/>
      <c r="BA4" s="327"/>
      <c r="BB4" s="327"/>
      <c r="BC4" s="327"/>
      <c r="BD4" s="327"/>
      <c r="BE4" s="327"/>
      <c r="BF4" s="327"/>
    </row>
    <row r="5" spans="1:58" x14ac:dyDescent="0.25">
      <c r="A5" s="132"/>
      <c r="B5" s="133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6"/>
      <c r="Y5" s="136"/>
      <c r="Z5" s="136"/>
      <c r="AA5" s="136"/>
      <c r="AB5" s="136"/>
      <c r="AC5" s="328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327"/>
      <c r="AO5" s="327"/>
      <c r="AP5" s="327"/>
      <c r="AQ5" s="327"/>
      <c r="AR5" s="327"/>
      <c r="AS5" s="327"/>
      <c r="AT5" s="327"/>
      <c r="AU5" s="327"/>
      <c r="AV5" s="327"/>
      <c r="AW5" s="471"/>
      <c r="AX5" s="327"/>
      <c r="AY5" s="327"/>
      <c r="AZ5" s="327"/>
      <c r="BA5" s="327"/>
      <c r="BB5" s="327"/>
      <c r="BC5" s="327"/>
      <c r="BD5" s="327"/>
      <c r="BE5" s="327"/>
      <c r="BF5" s="327"/>
    </row>
    <row r="6" spans="1:58" x14ac:dyDescent="0.25">
      <c r="A6" s="132"/>
      <c r="B6" s="133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6"/>
      <c r="Y6" s="136"/>
      <c r="Z6" s="136"/>
      <c r="AA6" s="136"/>
      <c r="AB6" s="136"/>
      <c r="AC6" s="328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327"/>
      <c r="AO6" s="327"/>
      <c r="AP6" s="327"/>
      <c r="AQ6" s="327"/>
      <c r="AR6" s="327"/>
      <c r="AS6" s="327"/>
      <c r="AT6" s="327"/>
      <c r="AU6" s="327"/>
      <c r="AV6" s="327"/>
      <c r="AW6" s="471"/>
      <c r="AX6" s="327"/>
      <c r="AY6" s="327"/>
      <c r="AZ6" s="327"/>
      <c r="BA6" s="327"/>
      <c r="BB6" s="327"/>
      <c r="BC6" s="327"/>
      <c r="BD6" s="327"/>
      <c r="BE6" s="327"/>
      <c r="BF6" s="327"/>
    </row>
    <row r="7" spans="1:58" x14ac:dyDescent="0.25">
      <c r="A7" s="132"/>
      <c r="B7" s="133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6"/>
      <c r="Y7" s="136"/>
      <c r="Z7" s="136"/>
      <c r="AA7" s="136"/>
      <c r="AB7" s="136"/>
      <c r="AC7" s="328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327"/>
      <c r="AO7" s="327"/>
      <c r="AP7" s="327"/>
      <c r="AQ7" s="327"/>
      <c r="AR7" s="327"/>
      <c r="AS7" s="327"/>
      <c r="AT7" s="327"/>
      <c r="AU7" s="327"/>
      <c r="AV7" s="327"/>
      <c r="AW7" s="471"/>
      <c r="AX7" s="327"/>
      <c r="AY7" s="327"/>
      <c r="AZ7" s="327"/>
      <c r="BA7" s="327"/>
      <c r="BB7" s="327"/>
      <c r="BC7" s="327"/>
      <c r="BD7" s="327"/>
      <c r="BE7" s="327"/>
      <c r="BF7" s="327"/>
    </row>
    <row r="8" spans="1:58" x14ac:dyDescent="0.25">
      <c r="A8" s="132"/>
      <c r="B8" s="133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6"/>
      <c r="Y8" s="136"/>
      <c r="Z8" s="136"/>
      <c r="AA8" s="136"/>
      <c r="AB8" s="136"/>
      <c r="AC8" s="328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327"/>
      <c r="AO8" s="327"/>
      <c r="AP8" s="327"/>
      <c r="AQ8" s="327"/>
      <c r="AR8" s="327"/>
      <c r="AS8" s="327"/>
      <c r="AT8" s="327"/>
      <c r="AU8" s="327"/>
      <c r="AV8" s="327"/>
      <c r="AW8" s="471"/>
      <c r="AX8" s="327"/>
      <c r="AY8" s="327"/>
      <c r="AZ8" s="327"/>
      <c r="BA8" s="327"/>
      <c r="BB8" s="327"/>
      <c r="BC8" s="327"/>
      <c r="BD8" s="327"/>
      <c r="BE8" s="327"/>
      <c r="BF8" s="327"/>
    </row>
    <row r="9" spans="1:58" x14ac:dyDescent="0.25">
      <c r="A9" s="132"/>
      <c r="B9" s="133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6"/>
      <c r="Y9" s="136"/>
      <c r="Z9" s="136"/>
      <c r="AA9" s="136"/>
      <c r="AB9" s="136"/>
      <c r="AC9" s="328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327"/>
      <c r="AO9" s="327"/>
      <c r="AP9" s="327"/>
      <c r="AQ9" s="327"/>
      <c r="AR9" s="327"/>
      <c r="AS9" s="327"/>
      <c r="AT9" s="327"/>
      <c r="AU9" s="327"/>
      <c r="AV9" s="327"/>
      <c r="AW9" s="471"/>
      <c r="AX9" s="327"/>
      <c r="AY9" s="327"/>
      <c r="AZ9" s="327"/>
      <c r="BA9" s="327"/>
      <c r="BB9" s="327"/>
      <c r="BC9" s="327"/>
      <c r="BD9" s="327"/>
      <c r="BE9" s="327"/>
      <c r="BF9" s="327"/>
    </row>
    <row r="10" spans="1:58" x14ac:dyDescent="0.25">
      <c r="A10" s="132"/>
      <c r="B10" s="133"/>
      <c r="C10" s="134"/>
      <c r="D10" s="134" t="s">
        <v>74</v>
      </c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6"/>
      <c r="Y10" s="136"/>
      <c r="Z10" s="136"/>
      <c r="AA10" s="136"/>
      <c r="AB10" s="136"/>
      <c r="AC10" s="328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327"/>
      <c r="AO10" s="327"/>
      <c r="AP10" s="327"/>
      <c r="AQ10" s="327"/>
      <c r="AR10" s="327"/>
      <c r="AS10" s="327"/>
      <c r="AT10" s="327"/>
      <c r="AU10" s="327"/>
      <c r="AV10" s="327"/>
      <c r="AW10" s="471"/>
      <c r="AX10" s="327"/>
      <c r="AY10" s="327"/>
      <c r="AZ10" s="327"/>
      <c r="BA10" s="327"/>
      <c r="BB10" s="327"/>
      <c r="BC10" s="327"/>
      <c r="BD10" s="327"/>
      <c r="BE10" s="327"/>
      <c r="BF10" s="327"/>
    </row>
    <row r="11" spans="1:58" x14ac:dyDescent="0.25">
      <c r="A11" s="132"/>
      <c r="B11" s="133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6"/>
      <c r="Y11" s="136"/>
      <c r="Z11" s="136"/>
      <c r="AA11" s="136"/>
      <c r="AB11" s="136"/>
      <c r="AC11" s="328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327"/>
      <c r="AO11" s="327"/>
      <c r="AP11" s="327"/>
      <c r="AQ11" s="327"/>
      <c r="AR11" s="327"/>
      <c r="AS11" s="327"/>
      <c r="AT11" s="327"/>
      <c r="AU11" s="327"/>
      <c r="AV11" s="327"/>
      <c r="AW11" s="471"/>
      <c r="AX11" s="327"/>
      <c r="AY11" s="327"/>
      <c r="AZ11" s="327"/>
      <c r="BA11" s="327"/>
      <c r="BB11" s="327"/>
      <c r="BC11" s="327"/>
      <c r="BD11" s="327"/>
      <c r="BE11" s="327"/>
      <c r="BF11" s="327"/>
    </row>
    <row r="12" spans="1:58" x14ac:dyDescent="0.25">
      <c r="A12" s="132"/>
      <c r="B12" s="133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6"/>
      <c r="Y12" s="136"/>
      <c r="Z12" s="136"/>
      <c r="AA12" s="136"/>
      <c r="AB12" s="136"/>
      <c r="AC12" s="328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327"/>
      <c r="AO12" s="327"/>
      <c r="AP12" s="327"/>
      <c r="AQ12" s="327"/>
      <c r="AR12" s="327"/>
      <c r="AS12" s="327"/>
      <c r="AT12" s="327"/>
      <c r="AU12" s="327"/>
      <c r="AV12" s="327"/>
      <c r="AW12" s="471"/>
      <c r="AX12" s="327"/>
      <c r="AY12" s="327"/>
      <c r="AZ12" s="327"/>
      <c r="BA12" s="327"/>
      <c r="BB12" s="327"/>
      <c r="BC12" s="327"/>
      <c r="BD12" s="327"/>
      <c r="BE12" s="327"/>
      <c r="BF12" s="327"/>
    </row>
    <row r="13" spans="1:58" x14ac:dyDescent="0.25">
      <c r="A13" s="132"/>
      <c r="B13" s="133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6"/>
      <c r="Y13" s="136"/>
      <c r="Z13" s="136"/>
      <c r="AA13" s="136"/>
      <c r="AB13" s="136"/>
      <c r="AC13" s="328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327"/>
      <c r="AO13" s="327"/>
      <c r="AP13" s="327"/>
      <c r="AQ13" s="327"/>
      <c r="AR13" s="327"/>
      <c r="AS13" s="327"/>
      <c r="AT13" s="327"/>
      <c r="AU13" s="327"/>
      <c r="AV13" s="327"/>
      <c r="AW13" s="471"/>
      <c r="AX13" s="327"/>
      <c r="AY13" s="327"/>
      <c r="AZ13" s="327"/>
      <c r="BA13" s="327"/>
      <c r="BB13" s="327"/>
      <c r="BC13" s="327"/>
      <c r="BD13" s="327"/>
      <c r="BE13" s="327"/>
      <c r="BF13" s="327"/>
    </row>
    <row r="14" spans="1:58" x14ac:dyDescent="0.25">
      <c r="A14" s="140" t="s">
        <v>0</v>
      </c>
      <c r="B14" s="504" t="s">
        <v>1</v>
      </c>
      <c r="C14" s="484"/>
      <c r="D14" s="484"/>
      <c r="E14" s="484"/>
      <c r="F14" s="484"/>
      <c r="G14" s="484"/>
      <c r="H14" s="485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6"/>
      <c r="Y14" s="136"/>
      <c r="Z14" s="136"/>
      <c r="AA14" s="136"/>
      <c r="AB14" s="136"/>
      <c r="AC14" s="328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327"/>
      <c r="AO14" s="327"/>
      <c r="AP14" s="327"/>
      <c r="AQ14" s="327"/>
      <c r="AR14" s="327"/>
      <c r="AS14" s="327"/>
      <c r="AT14" s="327"/>
      <c r="AU14" s="327"/>
      <c r="AV14" s="327"/>
      <c r="AW14" s="471"/>
      <c r="AX14" s="327"/>
      <c r="AY14" s="327"/>
      <c r="AZ14" s="327"/>
      <c r="BA14" s="327"/>
      <c r="BB14" s="327"/>
      <c r="BC14" s="327"/>
      <c r="BD14" s="327"/>
      <c r="BE14" s="327"/>
      <c r="BF14" s="327"/>
    </row>
    <row r="15" spans="1:58" x14ac:dyDescent="0.25">
      <c r="A15" s="140" t="s">
        <v>2</v>
      </c>
      <c r="B15" s="504" t="s">
        <v>3</v>
      </c>
      <c r="C15" s="484"/>
      <c r="D15" s="484"/>
      <c r="E15" s="484"/>
      <c r="F15" s="484"/>
      <c r="G15" s="484"/>
      <c r="H15" s="485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6"/>
      <c r="Y15" s="136"/>
      <c r="Z15" s="136"/>
      <c r="AA15" s="136"/>
      <c r="AB15" s="136"/>
      <c r="AC15" s="328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327"/>
      <c r="AO15" s="327"/>
      <c r="AP15" s="327"/>
      <c r="AQ15" s="327"/>
      <c r="AR15" s="327"/>
      <c r="AS15" s="327"/>
      <c r="AT15" s="327"/>
      <c r="AU15" s="327"/>
      <c r="AV15" s="327"/>
      <c r="AW15" s="471"/>
      <c r="AX15" s="327"/>
      <c r="AY15" s="327"/>
      <c r="AZ15" s="327"/>
      <c r="BA15" s="327"/>
      <c r="BB15" s="327"/>
      <c r="BC15" s="327"/>
      <c r="BD15" s="327"/>
      <c r="BE15" s="327"/>
      <c r="BF15" s="327"/>
    </row>
    <row r="16" spans="1:58" x14ac:dyDescent="0.25">
      <c r="A16" s="140" t="s">
        <v>4</v>
      </c>
      <c r="B16" s="497">
        <f ca="1">TODAY()</f>
        <v>46251</v>
      </c>
      <c r="C16" s="484"/>
      <c r="D16" s="484"/>
      <c r="E16" s="484"/>
      <c r="F16" s="484"/>
      <c r="G16" s="484"/>
      <c r="H16" s="485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6"/>
      <c r="Y16" s="136"/>
      <c r="Z16" s="136"/>
      <c r="AA16" s="136"/>
      <c r="AB16" s="136"/>
      <c r="AC16" s="328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327"/>
      <c r="AO16" s="327"/>
      <c r="AP16" s="327"/>
      <c r="AQ16" s="327"/>
      <c r="AR16" s="327"/>
      <c r="AS16" s="327"/>
      <c r="AT16" s="327"/>
      <c r="AU16" s="327"/>
      <c r="AV16" s="327"/>
      <c r="AW16" s="471"/>
      <c r="AX16" s="327"/>
      <c r="AY16" s="327"/>
      <c r="AZ16" s="327"/>
      <c r="BA16" s="327"/>
      <c r="BB16" s="327"/>
      <c r="BC16" s="327"/>
      <c r="BD16" s="327"/>
      <c r="BE16" s="327"/>
      <c r="BF16" s="327"/>
    </row>
    <row r="17" spans="1:58" x14ac:dyDescent="0.25">
      <c r="A17" s="132"/>
      <c r="B17" s="132"/>
      <c r="C17" s="359"/>
      <c r="D17" s="359"/>
      <c r="E17" s="359"/>
      <c r="F17" s="359"/>
      <c r="G17" s="359"/>
      <c r="H17" s="359"/>
      <c r="I17" s="359"/>
      <c r="J17" s="359"/>
      <c r="K17" s="359"/>
      <c r="L17" s="359"/>
      <c r="M17" s="359"/>
      <c r="N17" s="359"/>
      <c r="O17" s="359"/>
      <c r="P17" s="359"/>
      <c r="Q17" s="359"/>
      <c r="R17" s="359"/>
      <c r="S17" s="359"/>
      <c r="T17" s="359"/>
      <c r="U17" s="363"/>
      <c r="V17" s="363"/>
      <c r="W17" s="363"/>
      <c r="X17" s="396"/>
      <c r="Y17" s="396"/>
      <c r="Z17" s="396"/>
      <c r="AA17" s="396"/>
      <c r="AB17" s="396"/>
      <c r="AC17" s="364"/>
      <c r="AD17" s="330"/>
      <c r="AE17" s="505" t="s">
        <v>75</v>
      </c>
      <c r="AF17" s="499"/>
      <c r="AG17" s="499"/>
      <c r="AH17" s="499"/>
      <c r="AI17" s="499"/>
      <c r="AJ17" s="499"/>
      <c r="AK17" s="499"/>
      <c r="AL17" s="499"/>
      <c r="AM17" s="137"/>
      <c r="AN17" s="506" t="s">
        <v>13</v>
      </c>
      <c r="AO17" s="499"/>
      <c r="AP17" s="499"/>
      <c r="AQ17" s="499"/>
      <c r="AR17" s="499"/>
      <c r="AS17" s="499"/>
      <c r="AT17" s="499"/>
      <c r="AU17" s="499"/>
      <c r="AV17" s="141"/>
      <c r="AW17" s="472"/>
      <c r="AY17" s="137"/>
      <c r="AZ17" s="137"/>
      <c r="BA17" s="137"/>
      <c r="BB17" s="137"/>
      <c r="BC17" s="137"/>
      <c r="BD17" s="137"/>
      <c r="BE17" s="137"/>
      <c r="BF17" s="137"/>
    </row>
    <row r="18" spans="1:58" ht="26.4" x14ac:dyDescent="0.25">
      <c r="A18" s="143" t="s">
        <v>8</v>
      </c>
      <c r="B18" s="143" t="s">
        <v>78</v>
      </c>
      <c r="C18" s="145" t="s">
        <v>75</v>
      </c>
      <c r="D18" s="145" t="s">
        <v>75</v>
      </c>
      <c r="E18" s="145" t="s">
        <v>79</v>
      </c>
      <c r="F18" s="145" t="s">
        <v>80</v>
      </c>
      <c r="G18" s="145" t="s">
        <v>81</v>
      </c>
      <c r="H18" s="145" t="s">
        <v>82</v>
      </c>
      <c r="I18" s="145" t="s">
        <v>10</v>
      </c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524" t="s">
        <v>75</v>
      </c>
      <c r="V18" s="492"/>
      <c r="W18" s="492"/>
      <c r="X18" s="512"/>
      <c r="Y18" s="513" t="s">
        <v>13</v>
      </c>
      <c r="Z18" s="492"/>
      <c r="AA18" s="492"/>
      <c r="AB18" s="512"/>
      <c r="AC18" s="147" t="s">
        <v>83</v>
      </c>
      <c r="AD18" s="263"/>
      <c r="AE18" s="148" t="s">
        <v>84</v>
      </c>
      <c r="AF18" s="148" t="s">
        <v>85</v>
      </c>
      <c r="AG18" s="148" t="s">
        <v>86</v>
      </c>
      <c r="AH18" s="148" t="s">
        <v>87</v>
      </c>
      <c r="AI18" s="148" t="s">
        <v>88</v>
      </c>
      <c r="AJ18" s="148" t="s">
        <v>89</v>
      </c>
      <c r="AK18" s="148" t="s">
        <v>90</v>
      </c>
      <c r="AL18" s="148" t="s">
        <v>91</v>
      </c>
      <c r="AM18" s="149"/>
      <c r="AN18" s="150" t="s">
        <v>84</v>
      </c>
      <c r="AO18" s="150" t="s">
        <v>85</v>
      </c>
      <c r="AP18" s="150" t="s">
        <v>86</v>
      </c>
      <c r="AQ18" s="150" t="s">
        <v>87</v>
      </c>
      <c r="AR18" s="150" t="s">
        <v>88</v>
      </c>
      <c r="AS18" s="150" t="s">
        <v>89</v>
      </c>
      <c r="AT18" s="150" t="s">
        <v>90</v>
      </c>
      <c r="AU18" s="150" t="s">
        <v>91</v>
      </c>
      <c r="AV18" s="149"/>
      <c r="AW18" s="473" t="s">
        <v>76</v>
      </c>
      <c r="AY18" s="525" t="s">
        <v>77</v>
      </c>
      <c r="AZ18" s="499"/>
      <c r="BA18" s="499"/>
      <c r="BB18" s="499"/>
      <c r="BC18" s="499"/>
      <c r="BD18" s="499"/>
      <c r="BE18" s="499"/>
      <c r="BF18" s="499"/>
    </row>
    <row r="19" spans="1:58" x14ac:dyDescent="0.25">
      <c r="A19" s="184" t="s">
        <v>35</v>
      </c>
      <c r="B19" s="535" t="s">
        <v>36</v>
      </c>
      <c r="C19" s="501"/>
      <c r="D19" s="501"/>
      <c r="E19" s="501"/>
      <c r="F19" s="501"/>
      <c r="G19" s="501"/>
      <c r="H19" s="502"/>
      <c r="I19" s="185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335" t="s">
        <v>20</v>
      </c>
      <c r="V19" s="336" t="s">
        <v>19</v>
      </c>
      <c r="W19" s="336" t="s">
        <v>21</v>
      </c>
      <c r="X19" s="158" t="s">
        <v>50</v>
      </c>
      <c r="Y19" s="158" t="s">
        <v>20</v>
      </c>
      <c r="Z19" s="158" t="s">
        <v>19</v>
      </c>
      <c r="AA19" s="158" t="s">
        <v>21</v>
      </c>
      <c r="AB19" s="158" t="s">
        <v>50</v>
      </c>
      <c r="AC19" s="159" t="s">
        <v>92</v>
      </c>
      <c r="AD19" s="274"/>
      <c r="AE19" s="274"/>
      <c r="AF19" s="274"/>
      <c r="AG19" s="274"/>
      <c r="AH19" s="274"/>
      <c r="AI19" s="274"/>
      <c r="AJ19" s="274"/>
      <c r="AK19" s="274"/>
      <c r="AL19" s="274"/>
      <c r="AM19" s="274"/>
      <c r="AN19" s="274"/>
      <c r="AO19" s="274"/>
      <c r="AP19" s="274"/>
      <c r="AQ19" s="274"/>
      <c r="AR19" s="274"/>
      <c r="AS19" s="274"/>
      <c r="AT19" s="274"/>
      <c r="AU19" s="274"/>
      <c r="AV19" s="274"/>
      <c r="AW19" s="473" t="s">
        <v>262</v>
      </c>
      <c r="AY19" s="334" t="s">
        <v>84</v>
      </c>
      <c r="AZ19" s="334" t="s">
        <v>85</v>
      </c>
      <c r="BA19" s="334" t="s">
        <v>86</v>
      </c>
      <c r="BB19" s="334" t="s">
        <v>87</v>
      </c>
      <c r="BC19" s="334" t="s">
        <v>88</v>
      </c>
      <c r="BD19" s="334" t="s">
        <v>89</v>
      </c>
      <c r="BE19" s="334" t="s">
        <v>90</v>
      </c>
      <c r="BF19" s="334" t="s">
        <v>91</v>
      </c>
    </row>
    <row r="20" spans="1:58" x14ac:dyDescent="0.25">
      <c r="A20" s="200"/>
      <c r="B20" s="339" t="s">
        <v>436</v>
      </c>
      <c r="C20" s="202"/>
      <c r="D20" s="203"/>
      <c r="E20" s="203"/>
      <c r="F20" s="203"/>
      <c r="G20" s="203"/>
      <c r="H20" s="203"/>
      <c r="I20" s="203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310"/>
      <c r="V20" s="311"/>
      <c r="W20" s="311"/>
      <c r="X20" s="167"/>
      <c r="Y20" s="167"/>
      <c r="Z20" s="167"/>
      <c r="AA20" s="167"/>
      <c r="AB20" s="167"/>
      <c r="AC20" s="168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474"/>
      <c r="AX20" s="137"/>
      <c r="AY20" s="137"/>
      <c r="AZ20" s="137"/>
      <c r="BA20" s="137"/>
      <c r="BB20" s="137"/>
      <c r="BC20" s="137"/>
      <c r="BD20" s="137"/>
      <c r="BE20" s="137"/>
      <c r="BF20" s="137"/>
    </row>
    <row r="21" spans="1:58" x14ac:dyDescent="0.25">
      <c r="A21" s="200"/>
      <c r="B21" s="339" t="s">
        <v>39</v>
      </c>
      <c r="C21" s="202"/>
      <c r="D21" s="203"/>
      <c r="E21" s="203"/>
      <c r="F21" s="203"/>
      <c r="G21" s="203"/>
      <c r="H21" s="203"/>
      <c r="I21" s="203"/>
      <c r="J21" s="137"/>
      <c r="K21" s="137"/>
      <c r="L21" s="397">
        <v>1.1000000000000001</v>
      </c>
      <c r="M21" s="397" t="s">
        <v>75</v>
      </c>
      <c r="N21" s="137"/>
      <c r="O21" s="137"/>
      <c r="P21" s="137"/>
      <c r="Q21" s="137"/>
      <c r="R21" s="137"/>
      <c r="S21" s="137"/>
      <c r="T21" s="137"/>
      <c r="U21" s="310"/>
      <c r="V21" s="311"/>
      <c r="W21" s="311"/>
      <c r="X21" s="167"/>
      <c r="Y21" s="167"/>
      <c r="Z21" s="167"/>
      <c r="AA21" s="167"/>
      <c r="AB21" s="167"/>
      <c r="AC21" s="168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474"/>
      <c r="AX21" s="137"/>
      <c r="AY21" s="137"/>
      <c r="AZ21" s="137"/>
      <c r="BA21" s="137"/>
      <c r="BB21" s="137"/>
      <c r="BC21" s="137"/>
      <c r="BD21" s="137"/>
      <c r="BE21" s="137"/>
      <c r="BF21" s="137"/>
    </row>
    <row r="22" spans="1:58" x14ac:dyDescent="0.25">
      <c r="A22" s="200"/>
      <c r="B22" s="200" t="s">
        <v>437</v>
      </c>
      <c r="C22" s="202">
        <v>9</v>
      </c>
      <c r="D22" s="203">
        <f t="shared" ref="D22:D23" si="0">ROUNDUP(C22*$L$21,0)</f>
        <v>10</v>
      </c>
      <c r="E22" s="203" t="s">
        <v>118</v>
      </c>
      <c r="F22" s="203">
        <f>'electrical labor and materials'!D18</f>
        <v>275</v>
      </c>
      <c r="G22" s="203">
        <f>'electrical labor and materials'!F18</f>
        <v>550</v>
      </c>
      <c r="H22" s="203">
        <f t="shared" ref="H22:H23" si="1">SUM(F22:G22)</f>
        <v>825</v>
      </c>
      <c r="I22" s="203">
        <f t="shared" ref="I22:I23" si="2">H22*D22</f>
        <v>8250</v>
      </c>
      <c r="J22" s="137"/>
      <c r="K22" s="137"/>
      <c r="L22" s="397">
        <v>0.08</v>
      </c>
      <c r="M22" s="397" t="s">
        <v>438</v>
      </c>
      <c r="N22" s="137"/>
      <c r="O22" s="137"/>
      <c r="P22" s="137"/>
      <c r="Q22" s="137"/>
      <c r="R22" s="137"/>
      <c r="S22" s="137"/>
      <c r="T22" s="137"/>
      <c r="U22" s="310">
        <f t="shared" ref="U22:U23" si="3">SUM(AE22:AL22)</f>
        <v>0</v>
      </c>
      <c r="V22" s="311">
        <f t="shared" ref="V22:V23" si="4">D22*AC22</f>
        <v>4</v>
      </c>
      <c r="W22" s="311">
        <f t="shared" ref="W22:W23" si="5">SUM(U22:V22)</f>
        <v>4</v>
      </c>
      <c r="X22" s="167">
        <f t="shared" ref="X22:X23" si="6">D22-W22</f>
        <v>6</v>
      </c>
      <c r="Y22" s="167">
        <f t="shared" ref="Y22:Y23" si="7">SUM(AN22:AU22)</f>
        <v>0</v>
      </c>
      <c r="Z22" s="167">
        <f t="shared" ref="Z22:Z23" si="8">AC22*I22</f>
        <v>3300</v>
      </c>
      <c r="AA22" s="167">
        <f t="shared" ref="AA22:AA23" si="9">SUM(Y22:Z22)</f>
        <v>3300</v>
      </c>
      <c r="AB22" s="167">
        <f t="shared" ref="AB22:AB23" si="10">I22-AA22</f>
        <v>4950</v>
      </c>
      <c r="AC22" s="168">
        <f>SUM(AW22:AX22)</f>
        <v>0.4</v>
      </c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474">
        <v>0.4</v>
      </c>
      <c r="AX22" s="137"/>
      <c r="AY22" s="168">
        <f t="shared" ref="AY22:BF22" si="11">SUM(BS22:BT22)</f>
        <v>0</v>
      </c>
      <c r="AZ22" s="168">
        <f t="shared" si="11"/>
        <v>0</v>
      </c>
      <c r="BA22" s="168">
        <f t="shared" si="11"/>
        <v>0</v>
      </c>
      <c r="BB22" s="168">
        <f t="shared" si="11"/>
        <v>0</v>
      </c>
      <c r="BC22" s="168">
        <f t="shared" si="11"/>
        <v>0</v>
      </c>
      <c r="BD22" s="168">
        <f t="shared" si="11"/>
        <v>0</v>
      </c>
      <c r="BE22" s="168">
        <f t="shared" si="11"/>
        <v>0</v>
      </c>
      <c r="BF22" s="168">
        <f t="shared" si="11"/>
        <v>0</v>
      </c>
    </row>
    <row r="23" spans="1:58" x14ac:dyDescent="0.25">
      <c r="A23" s="200"/>
      <c r="B23" s="200" t="s">
        <v>439</v>
      </c>
      <c r="C23" s="202">
        <v>64</v>
      </c>
      <c r="D23" s="203">
        <f t="shared" si="0"/>
        <v>71</v>
      </c>
      <c r="E23" s="203" t="s">
        <v>118</v>
      </c>
      <c r="F23" s="203">
        <f>'electrical labor and materials'!D19</f>
        <v>275</v>
      </c>
      <c r="G23" s="203">
        <f>'electrical labor and materials'!F19</f>
        <v>550</v>
      </c>
      <c r="H23" s="203">
        <f t="shared" si="1"/>
        <v>825</v>
      </c>
      <c r="I23" s="203">
        <f t="shared" si="2"/>
        <v>58575</v>
      </c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310">
        <f t="shared" si="3"/>
        <v>0</v>
      </c>
      <c r="V23" s="311">
        <f t="shared" si="4"/>
        <v>28.400000000000002</v>
      </c>
      <c r="W23" s="311">
        <f t="shared" si="5"/>
        <v>28.400000000000002</v>
      </c>
      <c r="X23" s="167">
        <f t="shared" si="6"/>
        <v>42.599999999999994</v>
      </c>
      <c r="Y23" s="167">
        <f t="shared" si="7"/>
        <v>0</v>
      </c>
      <c r="Z23" s="167">
        <f t="shared" si="8"/>
        <v>23430</v>
      </c>
      <c r="AA23" s="167">
        <f t="shared" si="9"/>
        <v>23430</v>
      </c>
      <c r="AB23" s="167">
        <f t="shared" si="10"/>
        <v>35145</v>
      </c>
      <c r="AC23" s="168">
        <f t="shared" ref="AC23" si="12">SUM(AW23:AX23)</f>
        <v>0.4</v>
      </c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474">
        <v>0.4</v>
      </c>
      <c r="AX23" s="137"/>
      <c r="AY23" s="168">
        <f t="shared" ref="AY23:BF23" si="13">SUM(BS23:BT23)</f>
        <v>0</v>
      </c>
      <c r="AZ23" s="168">
        <f t="shared" si="13"/>
        <v>0</v>
      </c>
      <c r="BA23" s="168">
        <f t="shared" si="13"/>
        <v>0</v>
      </c>
      <c r="BB23" s="168">
        <f t="shared" si="13"/>
        <v>0</v>
      </c>
      <c r="BC23" s="168">
        <f t="shared" si="13"/>
        <v>0</v>
      </c>
      <c r="BD23" s="168">
        <f t="shared" si="13"/>
        <v>0</v>
      </c>
      <c r="BE23" s="168">
        <f t="shared" si="13"/>
        <v>0</v>
      </c>
      <c r="BF23" s="168">
        <f t="shared" si="13"/>
        <v>0</v>
      </c>
    </row>
    <row r="24" spans="1:58" x14ac:dyDescent="0.25">
      <c r="A24" s="228"/>
      <c r="B24" s="510" t="s">
        <v>440</v>
      </c>
      <c r="C24" s="501"/>
      <c r="D24" s="501"/>
      <c r="E24" s="501"/>
      <c r="F24" s="501"/>
      <c r="G24" s="501"/>
      <c r="H24" s="502"/>
      <c r="I24" s="229">
        <f>SUM(I22:I23)</f>
        <v>66825</v>
      </c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307">
        <f t="shared" ref="U24:AB24" si="14">SUM(U22:U23)</f>
        <v>0</v>
      </c>
      <c r="V24" s="184">
        <f t="shared" si="14"/>
        <v>32.400000000000006</v>
      </c>
      <c r="W24" s="184">
        <f t="shared" si="14"/>
        <v>32.400000000000006</v>
      </c>
      <c r="X24" s="235">
        <f t="shared" si="14"/>
        <v>48.599999999999994</v>
      </c>
      <c r="Y24" s="235">
        <f t="shared" si="14"/>
        <v>0</v>
      </c>
      <c r="Z24" s="235">
        <f t="shared" si="14"/>
        <v>26730</v>
      </c>
      <c r="AA24" s="235">
        <f t="shared" si="14"/>
        <v>26730</v>
      </c>
      <c r="AB24" s="235">
        <f t="shared" si="14"/>
        <v>40095</v>
      </c>
      <c r="AC24" s="308">
        <f>SUM(AC22:AC23)/COUNT(AC22:AC23)</f>
        <v>0.4</v>
      </c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474"/>
      <c r="AX24" s="137"/>
      <c r="AY24" s="308">
        <f t="shared" ref="AY24:BF24" si="15">SUM(AY22:AY23)/COUNT(AY22:AY23)</f>
        <v>0</v>
      </c>
      <c r="AZ24" s="308">
        <f t="shared" si="15"/>
        <v>0</v>
      </c>
      <c r="BA24" s="308">
        <f t="shared" si="15"/>
        <v>0</v>
      </c>
      <c r="BB24" s="308">
        <f t="shared" si="15"/>
        <v>0</v>
      </c>
      <c r="BC24" s="308">
        <f t="shared" si="15"/>
        <v>0</v>
      </c>
      <c r="BD24" s="308">
        <f t="shared" si="15"/>
        <v>0</v>
      </c>
      <c r="BE24" s="308">
        <f t="shared" si="15"/>
        <v>0</v>
      </c>
      <c r="BF24" s="308">
        <f t="shared" si="15"/>
        <v>0</v>
      </c>
    </row>
    <row r="25" spans="1:58" x14ac:dyDescent="0.25">
      <c r="A25" s="200"/>
      <c r="B25" s="339" t="s">
        <v>38</v>
      </c>
      <c r="C25" s="202"/>
      <c r="D25" s="203"/>
      <c r="E25" s="203"/>
      <c r="F25" s="203"/>
      <c r="G25" s="203"/>
      <c r="H25" s="203"/>
      <c r="I25" s="203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310"/>
      <c r="V25" s="311"/>
      <c r="W25" s="311"/>
      <c r="X25" s="167"/>
      <c r="Y25" s="167"/>
      <c r="Z25" s="167"/>
      <c r="AA25" s="167"/>
      <c r="AB25" s="167"/>
      <c r="AC25" s="168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474"/>
      <c r="AX25" s="137"/>
      <c r="AY25" s="168"/>
      <c r="AZ25" s="168"/>
      <c r="BA25" s="168"/>
      <c r="BB25" s="168"/>
      <c r="BC25" s="168"/>
      <c r="BD25" s="168"/>
      <c r="BE25" s="168"/>
      <c r="BF25" s="168"/>
    </row>
    <row r="26" spans="1:58" x14ac:dyDescent="0.25">
      <c r="A26" s="200"/>
      <c r="B26" s="200" t="s">
        <v>441</v>
      </c>
      <c r="C26" s="202">
        <v>15</v>
      </c>
      <c r="D26" s="203">
        <f t="shared" ref="D26:D28" si="16">ROUNDUP(C26*$L$21,0)</f>
        <v>17</v>
      </c>
      <c r="E26" s="203" t="s">
        <v>118</v>
      </c>
      <c r="F26" s="203">
        <f>'electrical labor and materials'!D21</f>
        <v>176</v>
      </c>
      <c r="G26" s="203">
        <f>'electrical labor and materials'!F21</f>
        <v>550</v>
      </c>
      <c r="H26" s="203">
        <f t="shared" ref="H26:H28" si="17">SUM(F26:G26)</f>
        <v>726</v>
      </c>
      <c r="I26" s="203">
        <f t="shared" ref="I26:I28" si="18">H26*D26</f>
        <v>12342</v>
      </c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310">
        <f t="shared" ref="U26:U28" si="19">SUM(AE26:AL26)</f>
        <v>0</v>
      </c>
      <c r="V26" s="311">
        <f t="shared" ref="V26:V28" si="20">D26*AC26</f>
        <v>5.9499999999999993</v>
      </c>
      <c r="W26" s="311">
        <f t="shared" ref="W26:W28" si="21">SUM(U26:V26)</f>
        <v>5.9499999999999993</v>
      </c>
      <c r="X26" s="167">
        <f t="shared" ref="X26:X28" si="22">D26-W26</f>
        <v>11.05</v>
      </c>
      <c r="Y26" s="167">
        <f t="shared" ref="Y26:Y28" si="23">SUM(AN26:AU26)</f>
        <v>0</v>
      </c>
      <c r="Z26" s="167">
        <f t="shared" ref="Z26:Z28" si="24">AC26*I26</f>
        <v>4319.7</v>
      </c>
      <c r="AA26" s="167">
        <f t="shared" ref="AA26:AA28" si="25">SUM(Y26:Z26)</f>
        <v>4319.7</v>
      </c>
      <c r="AB26" s="167">
        <f t="shared" ref="AB26:AB28" si="26">I26-AA26</f>
        <v>8022.3</v>
      </c>
      <c r="AC26" s="168">
        <f t="shared" ref="AC26:AC28" si="27">SUM(AW26:AX26)</f>
        <v>0.35</v>
      </c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474">
        <v>0.35</v>
      </c>
      <c r="AX26" s="137"/>
      <c r="AY26" s="168">
        <f t="shared" ref="AY26:BF26" si="28">SUM(BS26:BT26)</f>
        <v>0</v>
      </c>
      <c r="AZ26" s="168">
        <f t="shared" si="28"/>
        <v>0</v>
      </c>
      <c r="BA26" s="168">
        <f t="shared" si="28"/>
        <v>0</v>
      </c>
      <c r="BB26" s="168">
        <f t="shared" si="28"/>
        <v>0</v>
      </c>
      <c r="BC26" s="168">
        <f t="shared" si="28"/>
        <v>0</v>
      </c>
      <c r="BD26" s="168">
        <f t="shared" si="28"/>
        <v>0</v>
      </c>
      <c r="BE26" s="168">
        <f t="shared" si="28"/>
        <v>0</v>
      </c>
      <c r="BF26" s="168">
        <f t="shared" si="28"/>
        <v>0</v>
      </c>
    </row>
    <row r="27" spans="1:58" x14ac:dyDescent="0.25">
      <c r="A27" s="200"/>
      <c r="B27" s="200" t="s">
        <v>442</v>
      </c>
      <c r="C27" s="202">
        <v>11</v>
      </c>
      <c r="D27" s="203">
        <f t="shared" si="16"/>
        <v>13</v>
      </c>
      <c r="E27" s="203" t="s">
        <v>118</v>
      </c>
      <c r="F27" s="203">
        <f>'electrical labor and materials'!D22</f>
        <v>297</v>
      </c>
      <c r="G27" s="203">
        <f>'electrical labor and materials'!F22</f>
        <v>550</v>
      </c>
      <c r="H27" s="203">
        <f t="shared" si="17"/>
        <v>847</v>
      </c>
      <c r="I27" s="203">
        <f t="shared" si="18"/>
        <v>11011</v>
      </c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310">
        <f t="shared" si="19"/>
        <v>0</v>
      </c>
      <c r="V27" s="311">
        <f t="shared" si="20"/>
        <v>4.55</v>
      </c>
      <c r="W27" s="311">
        <f t="shared" si="21"/>
        <v>4.55</v>
      </c>
      <c r="X27" s="167">
        <f t="shared" si="22"/>
        <v>8.4499999999999993</v>
      </c>
      <c r="Y27" s="167">
        <f t="shared" si="23"/>
        <v>0</v>
      </c>
      <c r="Z27" s="167">
        <f t="shared" si="24"/>
        <v>3853.85</v>
      </c>
      <c r="AA27" s="167">
        <f t="shared" si="25"/>
        <v>3853.85</v>
      </c>
      <c r="AB27" s="167">
        <f t="shared" si="26"/>
        <v>7157.15</v>
      </c>
      <c r="AC27" s="168">
        <f t="shared" si="27"/>
        <v>0.35</v>
      </c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474">
        <v>0.35</v>
      </c>
      <c r="AX27" s="137"/>
      <c r="AY27" s="168">
        <f t="shared" ref="AY27:BF27" si="29">SUM(BS27:BT27)</f>
        <v>0</v>
      </c>
      <c r="AZ27" s="168">
        <f t="shared" si="29"/>
        <v>0</v>
      </c>
      <c r="BA27" s="168">
        <f t="shared" si="29"/>
        <v>0</v>
      </c>
      <c r="BB27" s="168">
        <f t="shared" si="29"/>
        <v>0</v>
      </c>
      <c r="BC27" s="168">
        <f t="shared" si="29"/>
        <v>0</v>
      </c>
      <c r="BD27" s="168">
        <f t="shared" si="29"/>
        <v>0</v>
      </c>
      <c r="BE27" s="168">
        <f t="shared" si="29"/>
        <v>0</v>
      </c>
      <c r="BF27" s="168">
        <f t="shared" si="29"/>
        <v>0</v>
      </c>
    </row>
    <row r="28" spans="1:58" x14ac:dyDescent="0.25">
      <c r="A28" s="200"/>
      <c r="B28" s="200" t="s">
        <v>443</v>
      </c>
      <c r="C28" s="202">
        <v>14</v>
      </c>
      <c r="D28" s="203">
        <f t="shared" si="16"/>
        <v>16</v>
      </c>
      <c r="E28" s="203" t="s">
        <v>118</v>
      </c>
      <c r="F28" s="203">
        <f>'electrical labor and materials'!D23</f>
        <v>418.00000000000006</v>
      </c>
      <c r="G28" s="203">
        <f>'electrical labor and materials'!F23</f>
        <v>550</v>
      </c>
      <c r="H28" s="203">
        <f t="shared" si="17"/>
        <v>968</v>
      </c>
      <c r="I28" s="203">
        <f t="shared" si="18"/>
        <v>15488</v>
      </c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310">
        <f t="shared" si="19"/>
        <v>0</v>
      </c>
      <c r="V28" s="311">
        <f t="shared" si="20"/>
        <v>6.4</v>
      </c>
      <c r="W28" s="311">
        <f t="shared" si="21"/>
        <v>6.4</v>
      </c>
      <c r="X28" s="167">
        <f t="shared" si="22"/>
        <v>9.6</v>
      </c>
      <c r="Y28" s="167">
        <f t="shared" si="23"/>
        <v>0</v>
      </c>
      <c r="Z28" s="167">
        <f t="shared" si="24"/>
        <v>6195.2000000000007</v>
      </c>
      <c r="AA28" s="167">
        <f t="shared" si="25"/>
        <v>6195.2000000000007</v>
      </c>
      <c r="AB28" s="167">
        <f t="shared" si="26"/>
        <v>9292.7999999999993</v>
      </c>
      <c r="AC28" s="168">
        <f t="shared" si="27"/>
        <v>0.4</v>
      </c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474">
        <v>0.4</v>
      </c>
      <c r="AX28" s="137"/>
      <c r="AY28" s="168">
        <f t="shared" ref="AY28:BF28" si="30">SUM(BS28:BT28)</f>
        <v>0</v>
      </c>
      <c r="AZ28" s="168">
        <f t="shared" si="30"/>
        <v>0</v>
      </c>
      <c r="BA28" s="168">
        <f t="shared" si="30"/>
        <v>0</v>
      </c>
      <c r="BB28" s="168">
        <f t="shared" si="30"/>
        <v>0</v>
      </c>
      <c r="BC28" s="168">
        <f t="shared" si="30"/>
        <v>0</v>
      </c>
      <c r="BD28" s="168">
        <f t="shared" si="30"/>
        <v>0</v>
      </c>
      <c r="BE28" s="168">
        <f t="shared" si="30"/>
        <v>0</v>
      </c>
      <c r="BF28" s="168">
        <f t="shared" si="30"/>
        <v>0</v>
      </c>
    </row>
    <row r="29" spans="1:58" x14ac:dyDescent="0.25">
      <c r="A29" s="228"/>
      <c r="B29" s="510" t="s">
        <v>444</v>
      </c>
      <c r="C29" s="501"/>
      <c r="D29" s="501"/>
      <c r="E29" s="501"/>
      <c r="F29" s="501"/>
      <c r="G29" s="501"/>
      <c r="H29" s="502"/>
      <c r="I29" s="229">
        <f>SUM(I26:I28)</f>
        <v>38841</v>
      </c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307">
        <f t="shared" ref="U29:AB29" si="31">SUM(U26:U28)</f>
        <v>0</v>
      </c>
      <c r="V29" s="184">
        <f t="shared" si="31"/>
        <v>16.899999999999999</v>
      </c>
      <c r="W29" s="184">
        <f t="shared" si="31"/>
        <v>16.899999999999999</v>
      </c>
      <c r="X29" s="235">
        <f t="shared" si="31"/>
        <v>29.1</v>
      </c>
      <c r="Y29" s="235">
        <f t="shared" si="31"/>
        <v>0</v>
      </c>
      <c r="Z29" s="235">
        <f t="shared" si="31"/>
        <v>14368.75</v>
      </c>
      <c r="AA29" s="235">
        <f t="shared" si="31"/>
        <v>14368.75</v>
      </c>
      <c r="AB29" s="235">
        <f t="shared" si="31"/>
        <v>24472.25</v>
      </c>
      <c r="AC29" s="308">
        <f>SUM(AC26:AC28)/COUNT(AC26:AC28)</f>
        <v>0.3666666666666667</v>
      </c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474"/>
      <c r="AX29" s="137"/>
      <c r="AY29" s="308">
        <f t="shared" ref="AY29:BF29" si="32">SUM(AY26:AY28)/COUNT(AY26:AY28)</f>
        <v>0</v>
      </c>
      <c r="AZ29" s="308">
        <f t="shared" si="32"/>
        <v>0</v>
      </c>
      <c r="BA29" s="308">
        <f t="shared" si="32"/>
        <v>0</v>
      </c>
      <c r="BB29" s="308">
        <f t="shared" si="32"/>
        <v>0</v>
      </c>
      <c r="BC29" s="308">
        <f t="shared" si="32"/>
        <v>0</v>
      </c>
      <c r="BD29" s="308">
        <f t="shared" si="32"/>
        <v>0</v>
      </c>
      <c r="BE29" s="308">
        <f t="shared" si="32"/>
        <v>0</v>
      </c>
      <c r="BF29" s="308">
        <f t="shared" si="32"/>
        <v>0</v>
      </c>
    </row>
    <row r="30" spans="1:58" x14ac:dyDescent="0.25">
      <c r="A30" s="200"/>
      <c r="B30" s="339" t="s">
        <v>37</v>
      </c>
      <c r="C30" s="202"/>
      <c r="D30" s="203"/>
      <c r="E30" s="203"/>
      <c r="F30" s="203"/>
      <c r="G30" s="203"/>
      <c r="H30" s="203"/>
      <c r="I30" s="203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310"/>
      <c r="V30" s="311"/>
      <c r="W30" s="311"/>
      <c r="X30" s="167"/>
      <c r="Y30" s="167"/>
      <c r="Z30" s="167"/>
      <c r="AA30" s="167"/>
      <c r="AB30" s="167"/>
      <c r="AC30" s="168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474"/>
      <c r="AX30" s="137"/>
      <c r="AY30" s="168"/>
      <c r="AZ30" s="168"/>
      <c r="BA30" s="168"/>
      <c r="BB30" s="168"/>
      <c r="BC30" s="168"/>
      <c r="BD30" s="168"/>
      <c r="BE30" s="168"/>
      <c r="BF30" s="168"/>
    </row>
    <row r="31" spans="1:58" x14ac:dyDescent="0.25">
      <c r="A31" s="200"/>
      <c r="B31" s="200" t="s">
        <v>445</v>
      </c>
      <c r="C31" s="202">
        <v>94</v>
      </c>
      <c r="D31" s="203">
        <f>ROUNDUP(C31*$L$21,0)</f>
        <v>104</v>
      </c>
      <c r="E31" s="203" t="s">
        <v>118</v>
      </c>
      <c r="F31" s="203">
        <f>'electrical labor and materials'!D25</f>
        <v>440.00000000000006</v>
      </c>
      <c r="G31" s="203">
        <f>'electrical labor and materials'!F25</f>
        <v>550</v>
      </c>
      <c r="H31" s="203">
        <f t="shared" ref="H31:H40" si="33">SUM(F31:G31)</f>
        <v>990</v>
      </c>
      <c r="I31" s="203">
        <f t="shared" ref="I31:I40" si="34">H31*D31</f>
        <v>102960</v>
      </c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310">
        <f t="shared" ref="U31:U40" si="35">SUM(AE31:AL31)</f>
        <v>0</v>
      </c>
      <c r="V31" s="311">
        <f t="shared" ref="V31:V40" si="36">D31*AC31</f>
        <v>20.8</v>
      </c>
      <c r="W31" s="311">
        <f t="shared" ref="W31:W40" si="37">SUM(U31:V31)</f>
        <v>20.8</v>
      </c>
      <c r="X31" s="167">
        <f t="shared" ref="X31:X40" si="38">D31-W31</f>
        <v>83.2</v>
      </c>
      <c r="Y31" s="167">
        <f t="shared" ref="Y31:Y40" si="39">SUM(AN31:AU31)</f>
        <v>0</v>
      </c>
      <c r="Z31" s="167">
        <f t="shared" ref="Z31:Z40" si="40">AC31*I31</f>
        <v>20592</v>
      </c>
      <c r="AA31" s="167">
        <f t="shared" ref="AA31:AA40" si="41">SUM(Y31:Z31)</f>
        <v>20592</v>
      </c>
      <c r="AB31" s="167">
        <f t="shared" ref="AB31:AB40" si="42">I31-AA31</f>
        <v>82368</v>
      </c>
      <c r="AC31" s="168">
        <f t="shared" ref="AC31:AC40" si="43">SUM(AW31:AX31)</f>
        <v>0.2</v>
      </c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474">
        <v>0.2</v>
      </c>
      <c r="AX31" s="137"/>
      <c r="AY31" s="168">
        <f t="shared" ref="AY31:BF31" si="44">SUM(BS31:BT31)</f>
        <v>0</v>
      </c>
      <c r="AZ31" s="168">
        <f t="shared" si="44"/>
        <v>0</v>
      </c>
      <c r="BA31" s="168">
        <f t="shared" si="44"/>
        <v>0</v>
      </c>
      <c r="BB31" s="168">
        <f t="shared" si="44"/>
        <v>0</v>
      </c>
      <c r="BC31" s="168">
        <f t="shared" si="44"/>
        <v>0</v>
      </c>
      <c r="BD31" s="168">
        <f t="shared" si="44"/>
        <v>0</v>
      </c>
      <c r="BE31" s="168">
        <f t="shared" si="44"/>
        <v>0</v>
      </c>
      <c r="BF31" s="168">
        <f t="shared" si="44"/>
        <v>0</v>
      </c>
    </row>
    <row r="32" spans="1:58" x14ac:dyDescent="0.25">
      <c r="A32" s="200"/>
      <c r="B32" s="200" t="s">
        <v>446</v>
      </c>
      <c r="C32" s="202">
        <v>18</v>
      </c>
      <c r="D32" s="203">
        <v>18</v>
      </c>
      <c r="E32" s="203" t="s">
        <v>118</v>
      </c>
      <c r="F32" s="203">
        <f>'electrical labor and materials'!D24</f>
        <v>730.00000000000011</v>
      </c>
      <c r="G32" s="203">
        <f>'electrical labor and materials'!F24</f>
        <v>550</v>
      </c>
      <c r="H32" s="203">
        <f t="shared" si="33"/>
        <v>1280</v>
      </c>
      <c r="I32" s="203">
        <f t="shared" si="34"/>
        <v>23040</v>
      </c>
      <c r="J32" s="137"/>
      <c r="K32" s="137"/>
      <c r="L32" s="137"/>
      <c r="M32" s="263" t="s">
        <v>447</v>
      </c>
      <c r="N32" s="137"/>
      <c r="O32" s="137"/>
      <c r="P32" s="137"/>
      <c r="Q32" s="137"/>
      <c r="R32" s="137"/>
      <c r="S32" s="137"/>
      <c r="T32" s="137"/>
      <c r="U32" s="310">
        <f t="shared" si="35"/>
        <v>0</v>
      </c>
      <c r="V32" s="311">
        <f t="shared" si="36"/>
        <v>3.6</v>
      </c>
      <c r="W32" s="311">
        <f t="shared" si="37"/>
        <v>3.6</v>
      </c>
      <c r="X32" s="167">
        <f t="shared" si="38"/>
        <v>14.4</v>
      </c>
      <c r="Y32" s="167">
        <f t="shared" si="39"/>
        <v>0</v>
      </c>
      <c r="Z32" s="167">
        <f t="shared" si="40"/>
        <v>4608</v>
      </c>
      <c r="AA32" s="167">
        <f t="shared" si="41"/>
        <v>4608</v>
      </c>
      <c r="AB32" s="167">
        <f t="shared" si="42"/>
        <v>18432</v>
      </c>
      <c r="AC32" s="168">
        <f t="shared" si="43"/>
        <v>0.2</v>
      </c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474">
        <v>0.2</v>
      </c>
      <c r="AX32" s="137"/>
      <c r="AY32" s="168">
        <f t="shared" ref="AY32:BF32" si="45">SUM(BS32:BT32)</f>
        <v>0</v>
      </c>
      <c r="AZ32" s="168">
        <f t="shared" si="45"/>
        <v>0</v>
      </c>
      <c r="BA32" s="168">
        <f t="shared" si="45"/>
        <v>0</v>
      </c>
      <c r="BB32" s="168">
        <f t="shared" si="45"/>
        <v>0</v>
      </c>
      <c r="BC32" s="168">
        <f t="shared" si="45"/>
        <v>0</v>
      </c>
      <c r="BD32" s="168">
        <f t="shared" si="45"/>
        <v>0</v>
      </c>
      <c r="BE32" s="168">
        <f t="shared" si="45"/>
        <v>0</v>
      </c>
      <c r="BF32" s="168">
        <f t="shared" si="45"/>
        <v>0</v>
      </c>
    </row>
    <row r="33" spans="1:58" x14ac:dyDescent="0.25">
      <c r="A33" s="200"/>
      <c r="B33" s="200" t="s">
        <v>448</v>
      </c>
      <c r="C33" s="202">
        <v>120</v>
      </c>
      <c r="D33" s="203">
        <f>ROUNDUP(C33*$L$21,0)</f>
        <v>132</v>
      </c>
      <c r="E33" s="203" t="s">
        <v>203</v>
      </c>
      <c r="F33" s="203">
        <f>'electrical labor and materials'!D26</f>
        <v>132</v>
      </c>
      <c r="G33" s="203">
        <f>'electrical labor and materials'!F26</f>
        <v>550</v>
      </c>
      <c r="H33" s="203">
        <f t="shared" si="33"/>
        <v>682</v>
      </c>
      <c r="I33" s="203">
        <f t="shared" si="34"/>
        <v>90024</v>
      </c>
      <c r="J33" s="137"/>
      <c r="K33" s="137"/>
      <c r="L33" s="137"/>
      <c r="M33" s="327"/>
      <c r="N33" s="137"/>
      <c r="O33" s="137"/>
      <c r="P33" s="137"/>
      <c r="Q33" s="137"/>
      <c r="R33" s="137"/>
      <c r="S33" s="137"/>
      <c r="T33" s="137"/>
      <c r="U33" s="310">
        <f t="shared" si="35"/>
        <v>0</v>
      </c>
      <c r="V33" s="311">
        <f t="shared" si="36"/>
        <v>26.400000000000002</v>
      </c>
      <c r="W33" s="311">
        <f t="shared" si="37"/>
        <v>26.400000000000002</v>
      </c>
      <c r="X33" s="167">
        <f t="shared" si="38"/>
        <v>105.6</v>
      </c>
      <c r="Y33" s="167">
        <f t="shared" si="39"/>
        <v>0</v>
      </c>
      <c r="Z33" s="167">
        <f t="shared" si="40"/>
        <v>18004.8</v>
      </c>
      <c r="AA33" s="167">
        <f t="shared" si="41"/>
        <v>18004.8</v>
      </c>
      <c r="AB33" s="167">
        <f t="shared" si="42"/>
        <v>72019.199999999997</v>
      </c>
      <c r="AC33" s="168">
        <f t="shared" si="43"/>
        <v>0.2</v>
      </c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474">
        <v>0.2</v>
      </c>
      <c r="AX33" s="137"/>
      <c r="AY33" s="168">
        <f t="shared" ref="AY33:BF33" si="46">SUM(BS33:BT33)</f>
        <v>0</v>
      </c>
      <c r="AZ33" s="168">
        <f t="shared" si="46"/>
        <v>0</v>
      </c>
      <c r="BA33" s="168">
        <f t="shared" si="46"/>
        <v>0</v>
      </c>
      <c r="BB33" s="168">
        <f t="shared" si="46"/>
        <v>0</v>
      </c>
      <c r="BC33" s="168">
        <f t="shared" si="46"/>
        <v>0</v>
      </c>
      <c r="BD33" s="168">
        <f t="shared" si="46"/>
        <v>0</v>
      </c>
      <c r="BE33" s="168">
        <f t="shared" si="46"/>
        <v>0</v>
      </c>
      <c r="BF33" s="168">
        <f t="shared" si="46"/>
        <v>0</v>
      </c>
    </row>
    <row r="34" spans="1:58" x14ac:dyDescent="0.25">
      <c r="A34" s="200"/>
      <c r="B34" s="200" t="s">
        <v>449</v>
      </c>
      <c r="C34" s="202"/>
      <c r="D34" s="203">
        <v>5</v>
      </c>
      <c r="E34" s="203" t="s">
        <v>118</v>
      </c>
      <c r="F34" s="203">
        <f>'electrical labor and materials'!D27</f>
        <v>1100</v>
      </c>
      <c r="G34" s="203">
        <f>'electrical labor and materials'!F27</f>
        <v>550</v>
      </c>
      <c r="H34" s="203">
        <f t="shared" si="33"/>
        <v>1650</v>
      </c>
      <c r="I34" s="203">
        <f t="shared" si="34"/>
        <v>8250</v>
      </c>
      <c r="J34" s="137"/>
      <c r="K34" s="137"/>
      <c r="L34" s="137"/>
      <c r="M34" s="398"/>
      <c r="N34" s="399"/>
      <c r="O34" s="137"/>
      <c r="P34" s="137"/>
      <c r="Q34" s="137"/>
      <c r="R34" s="137"/>
      <c r="S34" s="137"/>
      <c r="T34" s="137"/>
      <c r="U34" s="310">
        <f t="shared" si="35"/>
        <v>0</v>
      </c>
      <c r="V34" s="311">
        <f t="shared" si="36"/>
        <v>1</v>
      </c>
      <c r="W34" s="311">
        <f t="shared" si="37"/>
        <v>1</v>
      </c>
      <c r="X34" s="167">
        <f t="shared" si="38"/>
        <v>4</v>
      </c>
      <c r="Y34" s="167">
        <f t="shared" si="39"/>
        <v>0</v>
      </c>
      <c r="Z34" s="167">
        <f t="shared" si="40"/>
        <v>1650</v>
      </c>
      <c r="AA34" s="167">
        <f t="shared" si="41"/>
        <v>1650</v>
      </c>
      <c r="AB34" s="167">
        <f t="shared" si="42"/>
        <v>6600</v>
      </c>
      <c r="AC34" s="168">
        <f t="shared" si="43"/>
        <v>0.2</v>
      </c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474">
        <v>0.2</v>
      </c>
      <c r="AX34" s="137"/>
      <c r="AY34" s="168">
        <f t="shared" ref="AY34:BF34" si="47">SUM(BS34:BT34)</f>
        <v>0</v>
      </c>
      <c r="AZ34" s="168">
        <f t="shared" si="47"/>
        <v>0</v>
      </c>
      <c r="BA34" s="168">
        <f t="shared" si="47"/>
        <v>0</v>
      </c>
      <c r="BB34" s="168">
        <f t="shared" si="47"/>
        <v>0</v>
      </c>
      <c r="BC34" s="168">
        <f t="shared" si="47"/>
        <v>0</v>
      </c>
      <c r="BD34" s="168">
        <f t="shared" si="47"/>
        <v>0</v>
      </c>
      <c r="BE34" s="168">
        <f t="shared" si="47"/>
        <v>0</v>
      </c>
      <c r="BF34" s="168">
        <f t="shared" si="47"/>
        <v>0</v>
      </c>
    </row>
    <row r="35" spans="1:58" x14ac:dyDescent="0.25">
      <c r="A35" s="200"/>
      <c r="B35" s="200" t="s">
        <v>450</v>
      </c>
      <c r="C35" s="202"/>
      <c r="D35" s="203">
        <v>3</v>
      </c>
      <c r="E35" s="203" t="s">
        <v>118</v>
      </c>
      <c r="F35" s="203">
        <f>'electrical labor and materials'!D28</f>
        <v>1100</v>
      </c>
      <c r="G35" s="203">
        <f>'electrical labor and materials'!F28</f>
        <v>550</v>
      </c>
      <c r="H35" s="203">
        <f t="shared" si="33"/>
        <v>1650</v>
      </c>
      <c r="I35" s="203">
        <f t="shared" si="34"/>
        <v>4950</v>
      </c>
      <c r="J35" s="137"/>
      <c r="K35" s="137"/>
      <c r="L35" s="137"/>
      <c r="M35" s="398">
        <v>387</v>
      </c>
      <c r="N35" s="398" t="s">
        <v>451</v>
      </c>
      <c r="O35" s="149" t="s">
        <v>452</v>
      </c>
      <c r="P35" s="137"/>
      <c r="Q35" s="137"/>
      <c r="R35" s="137"/>
      <c r="S35" s="137"/>
      <c r="T35" s="137"/>
      <c r="U35" s="310">
        <f t="shared" si="35"/>
        <v>0</v>
      </c>
      <c r="V35" s="311">
        <f t="shared" si="36"/>
        <v>0.60000000000000009</v>
      </c>
      <c r="W35" s="311">
        <f t="shared" si="37"/>
        <v>0.60000000000000009</v>
      </c>
      <c r="X35" s="167">
        <f t="shared" si="38"/>
        <v>2.4</v>
      </c>
      <c r="Y35" s="167">
        <f t="shared" si="39"/>
        <v>0</v>
      </c>
      <c r="Z35" s="167">
        <f t="shared" si="40"/>
        <v>990</v>
      </c>
      <c r="AA35" s="167">
        <f t="shared" si="41"/>
        <v>990</v>
      </c>
      <c r="AB35" s="167">
        <f t="shared" si="42"/>
        <v>3960</v>
      </c>
      <c r="AC35" s="168">
        <f t="shared" si="43"/>
        <v>0.2</v>
      </c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474">
        <v>0.2</v>
      </c>
      <c r="AX35" s="137"/>
      <c r="AY35" s="168">
        <f t="shared" ref="AY35:BF35" si="48">SUM(BS35:BT35)</f>
        <v>0</v>
      </c>
      <c r="AZ35" s="168">
        <f t="shared" si="48"/>
        <v>0</v>
      </c>
      <c r="BA35" s="168">
        <f t="shared" si="48"/>
        <v>0</v>
      </c>
      <c r="BB35" s="168">
        <f t="shared" si="48"/>
        <v>0</v>
      </c>
      <c r="BC35" s="168">
        <f t="shared" si="48"/>
        <v>0</v>
      </c>
      <c r="BD35" s="168">
        <f t="shared" si="48"/>
        <v>0</v>
      </c>
      <c r="BE35" s="168">
        <f t="shared" si="48"/>
        <v>0</v>
      </c>
      <c r="BF35" s="168">
        <f t="shared" si="48"/>
        <v>0</v>
      </c>
    </row>
    <row r="36" spans="1:58" x14ac:dyDescent="0.25">
      <c r="A36" s="200"/>
      <c r="B36" s="200" t="s">
        <v>453</v>
      </c>
      <c r="C36" s="202">
        <v>15</v>
      </c>
      <c r="D36" s="203">
        <v>12</v>
      </c>
      <c r="E36" s="203" t="s">
        <v>118</v>
      </c>
      <c r="F36" s="203">
        <f>'electrical labor and materials'!D29</f>
        <v>7700.0000000000009</v>
      </c>
      <c r="G36" s="203">
        <f>'electrical labor and materials'!F29</f>
        <v>550</v>
      </c>
      <c r="H36" s="203">
        <f t="shared" si="33"/>
        <v>8250</v>
      </c>
      <c r="I36" s="203">
        <f t="shared" si="34"/>
        <v>99000</v>
      </c>
      <c r="J36" s="137"/>
      <c r="K36" s="137"/>
      <c r="L36" s="137"/>
      <c r="M36" s="263" t="s">
        <v>454</v>
      </c>
      <c r="N36" s="400">
        <f>M35*3</f>
        <v>1161</v>
      </c>
      <c r="O36" s="348">
        <f>D47</f>
        <v>1098.0200000000002</v>
      </c>
      <c r="P36" s="401" t="str">
        <f t="shared" ref="P36:P38" si="49">IF(O36&gt;N36,"OVERKILL",IF(N36&gt;O36,"Good"))</f>
        <v>Good</v>
      </c>
      <c r="Q36" s="137"/>
      <c r="R36" s="137"/>
      <c r="S36" s="137"/>
      <c r="T36" s="137"/>
      <c r="U36" s="310">
        <f t="shared" si="35"/>
        <v>0</v>
      </c>
      <c r="V36" s="311">
        <f t="shared" si="36"/>
        <v>2.4000000000000004</v>
      </c>
      <c r="W36" s="311">
        <f t="shared" si="37"/>
        <v>2.4000000000000004</v>
      </c>
      <c r="X36" s="167">
        <f t="shared" si="38"/>
        <v>9.6</v>
      </c>
      <c r="Y36" s="167">
        <f t="shared" si="39"/>
        <v>0</v>
      </c>
      <c r="Z36" s="167">
        <f t="shared" si="40"/>
        <v>19800</v>
      </c>
      <c r="AA36" s="167">
        <f t="shared" si="41"/>
        <v>19800</v>
      </c>
      <c r="AB36" s="167">
        <f t="shared" si="42"/>
        <v>79200</v>
      </c>
      <c r="AC36" s="168">
        <f t="shared" si="43"/>
        <v>0.2</v>
      </c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474">
        <v>0.2</v>
      </c>
      <c r="AX36" s="137"/>
      <c r="AY36" s="168">
        <f t="shared" ref="AY36:BF36" si="50">SUM(BS36:BT36)</f>
        <v>0</v>
      </c>
      <c r="AZ36" s="168">
        <f t="shared" si="50"/>
        <v>0</v>
      </c>
      <c r="BA36" s="168">
        <f t="shared" si="50"/>
        <v>0</v>
      </c>
      <c r="BB36" s="168">
        <f t="shared" si="50"/>
        <v>0</v>
      </c>
      <c r="BC36" s="168">
        <f t="shared" si="50"/>
        <v>0</v>
      </c>
      <c r="BD36" s="168">
        <f t="shared" si="50"/>
        <v>0</v>
      </c>
      <c r="BE36" s="168">
        <f t="shared" si="50"/>
        <v>0</v>
      </c>
      <c r="BF36" s="168">
        <f t="shared" si="50"/>
        <v>0</v>
      </c>
    </row>
    <row r="37" spans="1:58" x14ac:dyDescent="0.25">
      <c r="A37" s="200"/>
      <c r="B37" s="200" t="s">
        <v>455</v>
      </c>
      <c r="C37" s="202"/>
      <c r="D37" s="203">
        <v>1</v>
      </c>
      <c r="E37" s="203" t="s">
        <v>118</v>
      </c>
      <c r="F37" s="203">
        <f>'electrical labor and materials'!D30</f>
        <v>140250</v>
      </c>
      <c r="G37" s="203">
        <f>'electrical labor and materials'!F30</f>
        <v>7700.0000000000009</v>
      </c>
      <c r="H37" s="203">
        <f t="shared" si="33"/>
        <v>147950</v>
      </c>
      <c r="I37" s="203">
        <f t="shared" si="34"/>
        <v>147950</v>
      </c>
      <c r="J37" s="137"/>
      <c r="K37" s="137"/>
      <c r="L37" s="137"/>
      <c r="M37" s="263" t="s">
        <v>456</v>
      </c>
      <c r="N37" s="169">
        <f>M35*1</f>
        <v>387</v>
      </c>
      <c r="O37" s="348">
        <f t="shared" ref="O37:O38" si="51">D44</f>
        <v>381.70000000000005</v>
      </c>
      <c r="P37" s="401" t="str">
        <f t="shared" si="49"/>
        <v>Good</v>
      </c>
      <c r="Q37" s="137"/>
      <c r="R37" s="137"/>
      <c r="S37" s="137"/>
      <c r="T37" s="137"/>
      <c r="U37" s="310">
        <f t="shared" si="35"/>
        <v>0</v>
      </c>
      <c r="V37" s="311">
        <f t="shared" si="36"/>
        <v>0.2</v>
      </c>
      <c r="W37" s="311">
        <f t="shared" si="37"/>
        <v>0.2</v>
      </c>
      <c r="X37" s="167">
        <f t="shared" si="38"/>
        <v>0.8</v>
      </c>
      <c r="Y37" s="167">
        <f t="shared" si="39"/>
        <v>0</v>
      </c>
      <c r="Z37" s="167">
        <f t="shared" si="40"/>
        <v>29590</v>
      </c>
      <c r="AA37" s="167">
        <f t="shared" si="41"/>
        <v>29590</v>
      </c>
      <c r="AB37" s="167">
        <f t="shared" si="42"/>
        <v>118360</v>
      </c>
      <c r="AC37" s="168">
        <f t="shared" si="43"/>
        <v>0.2</v>
      </c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474">
        <v>0.2</v>
      </c>
      <c r="AX37" s="137"/>
      <c r="AY37" s="168">
        <f t="shared" ref="AY37:BF37" si="52">SUM(BS37:BT37)</f>
        <v>0</v>
      </c>
      <c r="AZ37" s="168">
        <f t="shared" si="52"/>
        <v>0</v>
      </c>
      <c r="BA37" s="168">
        <f t="shared" si="52"/>
        <v>0</v>
      </c>
      <c r="BB37" s="168">
        <f t="shared" si="52"/>
        <v>0</v>
      </c>
      <c r="BC37" s="168">
        <f t="shared" si="52"/>
        <v>0</v>
      </c>
      <c r="BD37" s="168">
        <f t="shared" si="52"/>
        <v>0</v>
      </c>
      <c r="BE37" s="168">
        <f t="shared" si="52"/>
        <v>0</v>
      </c>
      <c r="BF37" s="168">
        <f t="shared" si="52"/>
        <v>0</v>
      </c>
    </row>
    <row r="38" spans="1:58" ht="26.4" x14ac:dyDescent="0.25">
      <c r="A38" s="200"/>
      <c r="B38" s="200" t="s">
        <v>457</v>
      </c>
      <c r="C38" s="202"/>
      <c r="D38" s="203">
        <v>5</v>
      </c>
      <c r="E38" s="203" t="s">
        <v>118</v>
      </c>
      <c r="F38" s="203">
        <f>'electrical labor and materials'!D31</f>
        <v>5500</v>
      </c>
      <c r="G38" s="203">
        <f>'electrical labor and materials'!F31</f>
        <v>550</v>
      </c>
      <c r="H38" s="203">
        <f t="shared" si="33"/>
        <v>6050</v>
      </c>
      <c r="I38" s="203">
        <f t="shared" si="34"/>
        <v>30250</v>
      </c>
      <c r="J38" s="137"/>
      <c r="K38" s="137"/>
      <c r="L38" s="137"/>
      <c r="M38" s="263" t="s">
        <v>458</v>
      </c>
      <c r="N38" s="169">
        <f>M35*0.65</f>
        <v>251.55</v>
      </c>
      <c r="O38" s="348">
        <f t="shared" si="51"/>
        <v>247.50000000000003</v>
      </c>
      <c r="P38" s="401" t="str">
        <f t="shared" si="49"/>
        <v>Good</v>
      </c>
      <c r="Q38" s="137"/>
      <c r="R38" s="137"/>
      <c r="S38" s="137"/>
      <c r="T38" s="137"/>
      <c r="U38" s="310">
        <f t="shared" si="35"/>
        <v>0</v>
      </c>
      <c r="V38" s="311">
        <f t="shared" si="36"/>
        <v>1</v>
      </c>
      <c r="W38" s="311">
        <f t="shared" si="37"/>
        <v>1</v>
      </c>
      <c r="X38" s="167">
        <f t="shared" si="38"/>
        <v>4</v>
      </c>
      <c r="Y38" s="167">
        <f t="shared" si="39"/>
        <v>0</v>
      </c>
      <c r="Z38" s="167">
        <f t="shared" si="40"/>
        <v>6050</v>
      </c>
      <c r="AA38" s="167">
        <f t="shared" si="41"/>
        <v>6050</v>
      </c>
      <c r="AB38" s="167">
        <f t="shared" si="42"/>
        <v>24200</v>
      </c>
      <c r="AC38" s="168">
        <f t="shared" si="43"/>
        <v>0.2</v>
      </c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474">
        <v>0.2</v>
      </c>
      <c r="AX38" s="137"/>
      <c r="AY38" s="168">
        <f t="shared" ref="AY38:BF38" si="53">SUM(BS38:BT38)</f>
        <v>0</v>
      </c>
      <c r="AZ38" s="168">
        <f t="shared" si="53"/>
        <v>0</v>
      </c>
      <c r="BA38" s="168">
        <f t="shared" si="53"/>
        <v>0</v>
      </c>
      <c r="BB38" s="168">
        <f t="shared" si="53"/>
        <v>0</v>
      </c>
      <c r="BC38" s="168">
        <f t="shared" si="53"/>
        <v>0</v>
      </c>
      <c r="BD38" s="168">
        <f t="shared" si="53"/>
        <v>0</v>
      </c>
      <c r="BE38" s="168">
        <f t="shared" si="53"/>
        <v>0</v>
      </c>
      <c r="BF38" s="168">
        <f t="shared" si="53"/>
        <v>0</v>
      </c>
    </row>
    <row r="39" spans="1:58" x14ac:dyDescent="0.25">
      <c r="A39" s="200"/>
      <c r="B39" s="200" t="s">
        <v>459</v>
      </c>
      <c r="C39" s="202"/>
      <c r="D39" s="203">
        <v>3</v>
      </c>
      <c r="E39" s="203" t="s">
        <v>118</v>
      </c>
      <c r="F39" s="203">
        <f>'electrical labor and materials'!D32</f>
        <v>11000</v>
      </c>
      <c r="G39" s="203">
        <f>'electrical labor and materials'!F32</f>
        <v>550</v>
      </c>
      <c r="H39" s="203">
        <f t="shared" si="33"/>
        <v>11550</v>
      </c>
      <c r="I39" s="203">
        <f t="shared" si="34"/>
        <v>34650</v>
      </c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310">
        <f t="shared" si="35"/>
        <v>0</v>
      </c>
      <c r="V39" s="311">
        <f t="shared" si="36"/>
        <v>0.60000000000000009</v>
      </c>
      <c r="W39" s="311">
        <f t="shared" si="37"/>
        <v>0.60000000000000009</v>
      </c>
      <c r="X39" s="167">
        <f t="shared" si="38"/>
        <v>2.4</v>
      </c>
      <c r="Y39" s="167">
        <f t="shared" si="39"/>
        <v>0</v>
      </c>
      <c r="Z39" s="167">
        <f t="shared" si="40"/>
        <v>6930</v>
      </c>
      <c r="AA39" s="167">
        <f t="shared" si="41"/>
        <v>6930</v>
      </c>
      <c r="AB39" s="167">
        <f t="shared" si="42"/>
        <v>27720</v>
      </c>
      <c r="AC39" s="168">
        <f t="shared" si="43"/>
        <v>0.2</v>
      </c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474">
        <v>0.2</v>
      </c>
      <c r="AX39" s="137"/>
      <c r="AY39" s="168">
        <f t="shared" ref="AY39:BF39" si="54">SUM(BS39:BT39)</f>
        <v>0</v>
      </c>
      <c r="AZ39" s="168">
        <f t="shared" si="54"/>
        <v>0</v>
      </c>
      <c r="BA39" s="168">
        <f t="shared" si="54"/>
        <v>0</v>
      </c>
      <c r="BB39" s="168">
        <f t="shared" si="54"/>
        <v>0</v>
      </c>
      <c r="BC39" s="168">
        <f t="shared" si="54"/>
        <v>0</v>
      </c>
      <c r="BD39" s="168">
        <f t="shared" si="54"/>
        <v>0</v>
      </c>
      <c r="BE39" s="168">
        <f t="shared" si="54"/>
        <v>0</v>
      </c>
      <c r="BF39" s="168">
        <f t="shared" si="54"/>
        <v>0</v>
      </c>
    </row>
    <row r="40" spans="1:58" x14ac:dyDescent="0.25">
      <c r="A40" s="200"/>
      <c r="B40" s="200" t="s">
        <v>460</v>
      </c>
      <c r="C40" s="202">
        <v>9.4</v>
      </c>
      <c r="D40" s="203">
        <f>ROUNDUP(C40*$L$21,0)</f>
        <v>11</v>
      </c>
      <c r="E40" s="203" t="s">
        <v>114</v>
      </c>
      <c r="F40" s="203">
        <f>'electrical labor and materials'!D33</f>
        <v>5500</v>
      </c>
      <c r="G40" s="203">
        <f>'electrical labor and materials'!F33</f>
        <v>550</v>
      </c>
      <c r="H40" s="203">
        <f t="shared" si="33"/>
        <v>6050</v>
      </c>
      <c r="I40" s="203">
        <f t="shared" si="34"/>
        <v>66550</v>
      </c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310">
        <f t="shared" si="35"/>
        <v>0</v>
      </c>
      <c r="V40" s="311">
        <f t="shared" si="36"/>
        <v>2.2000000000000002</v>
      </c>
      <c r="W40" s="311">
        <f t="shared" si="37"/>
        <v>2.2000000000000002</v>
      </c>
      <c r="X40" s="167">
        <f t="shared" si="38"/>
        <v>8.8000000000000007</v>
      </c>
      <c r="Y40" s="167">
        <f t="shared" si="39"/>
        <v>0</v>
      </c>
      <c r="Z40" s="167">
        <f t="shared" si="40"/>
        <v>13310</v>
      </c>
      <c r="AA40" s="167">
        <f t="shared" si="41"/>
        <v>13310</v>
      </c>
      <c r="AB40" s="167">
        <f t="shared" si="42"/>
        <v>53240</v>
      </c>
      <c r="AC40" s="168">
        <f t="shared" si="43"/>
        <v>0.2</v>
      </c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474">
        <v>0.2</v>
      </c>
      <c r="AX40" s="137"/>
      <c r="AY40" s="168">
        <f t="shared" ref="AY40:BF40" si="55">SUM(BS40:BT40)</f>
        <v>0</v>
      </c>
      <c r="AZ40" s="168">
        <f t="shared" si="55"/>
        <v>0</v>
      </c>
      <c r="BA40" s="168">
        <f t="shared" si="55"/>
        <v>0</v>
      </c>
      <c r="BB40" s="168">
        <f t="shared" si="55"/>
        <v>0</v>
      </c>
      <c r="BC40" s="168">
        <f t="shared" si="55"/>
        <v>0</v>
      </c>
      <c r="BD40" s="168">
        <f t="shared" si="55"/>
        <v>0</v>
      </c>
      <c r="BE40" s="168">
        <f t="shared" si="55"/>
        <v>0</v>
      </c>
      <c r="BF40" s="168">
        <f t="shared" si="55"/>
        <v>0</v>
      </c>
    </row>
    <row r="41" spans="1:58" ht="26.4" x14ac:dyDescent="0.25">
      <c r="A41" s="228"/>
      <c r="B41" s="510" t="s">
        <v>461</v>
      </c>
      <c r="C41" s="501"/>
      <c r="D41" s="501"/>
      <c r="E41" s="501"/>
      <c r="F41" s="501"/>
      <c r="G41" s="501"/>
      <c r="H41" s="502"/>
      <c r="I41" s="229">
        <f>SUM(I31:I40)</f>
        <v>607624</v>
      </c>
      <c r="J41" s="137"/>
      <c r="K41" s="397">
        <v>0.05</v>
      </c>
      <c r="L41" s="397" t="s">
        <v>462</v>
      </c>
      <c r="M41" s="137"/>
      <c r="N41" s="137"/>
      <c r="O41" s="137"/>
      <c r="P41" s="137"/>
      <c r="Q41" s="137"/>
      <c r="R41" s="137"/>
      <c r="S41" s="137"/>
      <c r="T41" s="137"/>
      <c r="U41" s="307">
        <f t="shared" ref="U41:AB41" si="56">SUM(U31:U40)</f>
        <v>0</v>
      </c>
      <c r="V41" s="184">
        <f t="shared" si="56"/>
        <v>58.800000000000011</v>
      </c>
      <c r="W41" s="184">
        <f t="shared" si="56"/>
        <v>58.800000000000011</v>
      </c>
      <c r="X41" s="235">
        <f t="shared" si="56"/>
        <v>235.20000000000002</v>
      </c>
      <c r="Y41" s="235">
        <f t="shared" si="56"/>
        <v>0</v>
      </c>
      <c r="Z41" s="235">
        <f t="shared" si="56"/>
        <v>121524.8</v>
      </c>
      <c r="AA41" s="235">
        <f t="shared" si="56"/>
        <v>121524.8</v>
      </c>
      <c r="AB41" s="235">
        <f t="shared" si="56"/>
        <v>486099.20000000001</v>
      </c>
      <c r="AC41" s="308">
        <f>SUM(AC31:AC40)/COUNT(AC31:AC40)</f>
        <v>0.19999999999999998</v>
      </c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474"/>
      <c r="AX41" s="137"/>
      <c r="AY41" s="308">
        <f t="shared" ref="AY41:BF41" si="57">SUM(AY31:AY40)/COUNT(AY31:AY40)</f>
        <v>0</v>
      </c>
      <c r="AZ41" s="308">
        <f t="shared" si="57"/>
        <v>0</v>
      </c>
      <c r="BA41" s="308">
        <f t="shared" si="57"/>
        <v>0</v>
      </c>
      <c r="BB41" s="308">
        <f t="shared" si="57"/>
        <v>0</v>
      </c>
      <c r="BC41" s="308">
        <f t="shared" si="57"/>
        <v>0</v>
      </c>
      <c r="BD41" s="308">
        <f t="shared" si="57"/>
        <v>0</v>
      </c>
      <c r="BE41" s="308">
        <f t="shared" si="57"/>
        <v>0</v>
      </c>
      <c r="BF41" s="308">
        <f t="shared" si="57"/>
        <v>0</v>
      </c>
    </row>
    <row r="42" spans="1:58" x14ac:dyDescent="0.25">
      <c r="A42" s="200"/>
      <c r="B42" s="339" t="s">
        <v>40</v>
      </c>
      <c r="C42" s="202"/>
      <c r="D42" s="203"/>
      <c r="E42" s="203"/>
      <c r="F42" s="203"/>
      <c r="G42" s="203"/>
      <c r="H42" s="203"/>
      <c r="I42" s="203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310"/>
      <c r="V42" s="311"/>
      <c r="W42" s="311"/>
      <c r="X42" s="167"/>
      <c r="Y42" s="167"/>
      <c r="Z42" s="167"/>
      <c r="AA42" s="167"/>
      <c r="AB42" s="167"/>
      <c r="AC42" s="168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474"/>
      <c r="AX42" s="137"/>
      <c r="AY42" s="137"/>
      <c r="AZ42" s="137"/>
      <c r="BA42" s="137"/>
      <c r="BB42" s="137"/>
      <c r="BC42" s="137"/>
      <c r="BD42" s="137"/>
      <c r="BE42" s="137"/>
      <c r="BF42" s="137"/>
    </row>
    <row r="43" spans="1:58" x14ac:dyDescent="0.25">
      <c r="A43" s="200"/>
      <c r="B43" s="339" t="s">
        <v>463</v>
      </c>
      <c r="C43" s="202"/>
      <c r="D43" s="203"/>
      <c r="E43" s="203"/>
      <c r="F43" s="203"/>
      <c r="G43" s="203"/>
      <c r="H43" s="203"/>
      <c r="I43" s="203"/>
      <c r="J43" s="137"/>
      <c r="K43" s="137"/>
      <c r="L43" s="137"/>
      <c r="M43" s="137"/>
      <c r="N43" s="137"/>
      <c r="O43" s="137"/>
      <c r="P43" s="137" t="s">
        <v>464</v>
      </c>
      <c r="Q43" s="137"/>
      <c r="R43" s="137"/>
      <c r="S43" s="137"/>
      <c r="T43" s="137"/>
      <c r="U43" s="310"/>
      <c r="V43" s="311"/>
      <c r="W43" s="311"/>
      <c r="X43" s="167"/>
      <c r="Y43" s="167"/>
      <c r="Z43" s="167"/>
      <c r="AA43" s="167"/>
      <c r="AB43" s="167"/>
      <c r="AC43" s="168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474"/>
      <c r="AX43" s="137"/>
      <c r="AY43" s="137"/>
      <c r="AZ43" s="137"/>
      <c r="BA43" s="137"/>
      <c r="BB43" s="137"/>
      <c r="BC43" s="137"/>
      <c r="BD43" s="137"/>
      <c r="BE43" s="137"/>
      <c r="BF43" s="137"/>
    </row>
    <row r="44" spans="1:58" x14ac:dyDescent="0.25">
      <c r="A44" s="200"/>
      <c r="B44" s="200" t="s">
        <v>465</v>
      </c>
      <c r="C44" s="202">
        <v>347</v>
      </c>
      <c r="D44" s="203">
        <f t="shared" ref="D44:D45" si="58">C44*$K$44</f>
        <v>381.70000000000005</v>
      </c>
      <c r="E44" s="203" t="s">
        <v>114</v>
      </c>
      <c r="F44" s="203">
        <f>'electrical labor and materials'!D36</f>
        <v>41.360000000000007</v>
      </c>
      <c r="G44" s="203">
        <f>'electrical labor and materials'!F36</f>
        <v>165</v>
      </c>
      <c r="H44" s="203">
        <f t="shared" ref="H44:H45" si="59">SUM(F44:G44)</f>
        <v>206.36</v>
      </c>
      <c r="I44" s="203">
        <f t="shared" ref="I44:I45" si="60">H44*D44</f>
        <v>78767.612000000008</v>
      </c>
      <c r="J44" s="137"/>
      <c r="K44" s="397">
        <v>1.1000000000000001</v>
      </c>
      <c r="L44" s="397" t="s">
        <v>75</v>
      </c>
      <c r="M44" s="137"/>
      <c r="N44" s="137"/>
      <c r="O44" s="137">
        <v>8.6</v>
      </c>
      <c r="P44" s="137">
        <f>O44*4</f>
        <v>34.4</v>
      </c>
      <c r="Q44" s="137"/>
      <c r="R44" s="137"/>
      <c r="S44" s="137"/>
      <c r="T44" s="137"/>
      <c r="U44" s="310">
        <f t="shared" ref="U44:U45" si="61">SUM(AE44:AL44)</f>
        <v>0</v>
      </c>
      <c r="V44" s="311">
        <f t="shared" ref="V44:V45" si="62">D44*AC44</f>
        <v>76.340000000000018</v>
      </c>
      <c r="W44" s="311">
        <f t="shared" ref="W44:W45" si="63">SUM(U44:V44)</f>
        <v>76.340000000000018</v>
      </c>
      <c r="X44" s="167">
        <f t="shared" ref="X44:X45" si="64">D44-W44</f>
        <v>305.36</v>
      </c>
      <c r="Y44" s="167">
        <f t="shared" ref="Y44:Y45" si="65">SUM(AN44:AU44)</f>
        <v>0</v>
      </c>
      <c r="Z44" s="167">
        <f t="shared" ref="Z44:Z45" si="66">AC44*I44</f>
        <v>15753.522400000002</v>
      </c>
      <c r="AA44" s="167">
        <f t="shared" ref="AA44:AA45" si="67">SUM(Y44:Z44)</f>
        <v>15753.522400000002</v>
      </c>
      <c r="AB44" s="167">
        <f t="shared" ref="AB44:AB45" si="68">I44-AA44</f>
        <v>63014.089600000007</v>
      </c>
      <c r="AC44" s="168">
        <f t="shared" ref="AC44:AC45" si="69">SUM(AW44:AX44)</f>
        <v>0.2</v>
      </c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474">
        <v>0.2</v>
      </c>
      <c r="AX44" s="137"/>
      <c r="AY44" s="251">
        <v>0.5</v>
      </c>
      <c r="AZ44" s="251">
        <v>0.3</v>
      </c>
      <c r="BA44" s="137">
        <v>0</v>
      </c>
      <c r="BB44" s="137">
        <v>0</v>
      </c>
      <c r="BC44" s="137">
        <v>0</v>
      </c>
      <c r="BD44" s="137">
        <v>0</v>
      </c>
      <c r="BE44" s="137">
        <v>0</v>
      </c>
      <c r="BF44" s="137">
        <v>0</v>
      </c>
    </row>
    <row r="45" spans="1:58" x14ac:dyDescent="0.25">
      <c r="A45" s="200"/>
      <c r="B45" s="200" t="s">
        <v>466</v>
      </c>
      <c r="C45" s="202">
        <v>225</v>
      </c>
      <c r="D45" s="203">
        <f t="shared" si="58"/>
        <v>247.50000000000003</v>
      </c>
      <c r="E45" s="203" t="s">
        <v>114</v>
      </c>
      <c r="F45" s="203">
        <f>'electrical labor and materials'!D37</f>
        <v>58.52000000000001</v>
      </c>
      <c r="G45" s="203">
        <f>'electrical labor and materials'!F37</f>
        <v>165</v>
      </c>
      <c r="H45" s="203">
        <f t="shared" si="59"/>
        <v>223.52</v>
      </c>
      <c r="I45" s="203">
        <f t="shared" si="60"/>
        <v>55321.200000000012</v>
      </c>
      <c r="J45" s="137"/>
      <c r="K45" s="137"/>
      <c r="L45" s="137"/>
      <c r="M45" s="137"/>
      <c r="N45" s="137"/>
      <c r="O45" s="137"/>
      <c r="P45" s="137">
        <f>4.8*2</f>
        <v>9.6</v>
      </c>
      <c r="Q45" s="137"/>
      <c r="R45" s="137"/>
      <c r="S45" s="137"/>
      <c r="T45" s="137"/>
      <c r="U45" s="310">
        <f t="shared" si="61"/>
        <v>0</v>
      </c>
      <c r="V45" s="311">
        <f t="shared" si="62"/>
        <v>49.500000000000007</v>
      </c>
      <c r="W45" s="311">
        <f t="shared" si="63"/>
        <v>49.500000000000007</v>
      </c>
      <c r="X45" s="167">
        <f t="shared" si="64"/>
        <v>198.00000000000003</v>
      </c>
      <c r="Y45" s="167">
        <f t="shared" si="65"/>
        <v>0</v>
      </c>
      <c r="Z45" s="167">
        <f t="shared" si="66"/>
        <v>11064.240000000003</v>
      </c>
      <c r="AA45" s="167">
        <f t="shared" si="67"/>
        <v>11064.240000000003</v>
      </c>
      <c r="AB45" s="167">
        <f t="shared" si="68"/>
        <v>44256.960000000006</v>
      </c>
      <c r="AC45" s="168">
        <f t="shared" si="69"/>
        <v>0.2</v>
      </c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474">
        <v>0.2</v>
      </c>
      <c r="AX45" s="137"/>
      <c r="AY45" s="251">
        <v>0.4</v>
      </c>
      <c r="AZ45" s="251">
        <v>0.4</v>
      </c>
      <c r="BA45" s="137"/>
      <c r="BB45" s="137"/>
      <c r="BC45" s="137"/>
      <c r="BD45" s="137"/>
      <c r="BE45" s="137"/>
      <c r="BF45" s="137"/>
    </row>
    <row r="46" spans="1:58" x14ac:dyDescent="0.25">
      <c r="A46" s="200"/>
      <c r="B46" s="339" t="s">
        <v>467</v>
      </c>
      <c r="C46" s="202"/>
      <c r="D46" s="203"/>
      <c r="E46" s="203"/>
      <c r="F46" s="203"/>
      <c r="G46" s="203"/>
      <c r="H46" s="203"/>
      <c r="I46" s="203"/>
      <c r="J46" s="137"/>
      <c r="K46" s="137"/>
      <c r="L46" s="137"/>
      <c r="M46" s="137"/>
      <c r="N46" s="137"/>
      <c r="O46" s="137"/>
      <c r="P46" s="137">
        <v>25.9</v>
      </c>
      <c r="Q46" s="137"/>
      <c r="R46" s="137"/>
      <c r="S46" s="137"/>
      <c r="T46" s="137"/>
      <c r="U46" s="310"/>
      <c r="V46" s="311"/>
      <c r="W46" s="311"/>
      <c r="X46" s="167"/>
      <c r="Y46" s="167"/>
      <c r="Z46" s="167"/>
      <c r="AA46" s="167"/>
      <c r="AB46" s="167"/>
      <c r="AC46" s="168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474"/>
      <c r="AX46" s="137"/>
      <c r="AY46" s="146"/>
      <c r="AZ46" s="146"/>
      <c r="BA46" s="137"/>
      <c r="BB46" s="137"/>
      <c r="BC46" s="137"/>
      <c r="BD46" s="137"/>
      <c r="BE46" s="137"/>
      <c r="BF46" s="137"/>
    </row>
    <row r="47" spans="1:58" x14ac:dyDescent="0.25">
      <c r="A47" s="200"/>
      <c r="B47" s="200" t="s">
        <v>468</v>
      </c>
      <c r="C47" s="202">
        <v>998.2</v>
      </c>
      <c r="D47" s="203">
        <f>C47*K47</f>
        <v>1098.0200000000002</v>
      </c>
      <c r="E47" s="203" t="s">
        <v>114</v>
      </c>
      <c r="F47" s="203">
        <f>'electrical labor and materials'!D39</f>
        <v>38.5</v>
      </c>
      <c r="G47" s="203">
        <f>'electrical labor and materials'!F39</f>
        <v>165</v>
      </c>
      <c r="H47" s="203">
        <f>SUM(F47:G47)</f>
        <v>203.5</v>
      </c>
      <c r="I47" s="203">
        <f>H47*D47</f>
        <v>223447.07000000004</v>
      </c>
      <c r="J47" s="137"/>
      <c r="K47" s="397">
        <v>1.1000000000000001</v>
      </c>
      <c r="L47" s="137"/>
      <c r="M47" s="137"/>
      <c r="N47" s="137"/>
      <c r="O47" s="137"/>
      <c r="P47" s="137">
        <v>68.2</v>
      </c>
      <c r="Q47" s="137"/>
      <c r="R47" s="137"/>
      <c r="S47" s="137"/>
      <c r="T47" s="137"/>
      <c r="U47" s="310">
        <f t="shared" ref="U47:U48" si="70">SUM(AE47:AL47)</f>
        <v>0</v>
      </c>
      <c r="V47" s="311">
        <f t="shared" ref="V47:V48" si="71">D47*AC47</f>
        <v>329.40600000000006</v>
      </c>
      <c r="W47" s="311">
        <f t="shared" ref="W47:W48" si="72">SUM(U47:V47)</f>
        <v>329.40600000000006</v>
      </c>
      <c r="X47" s="167">
        <f t="shared" ref="X47:X48" si="73">D47-W47</f>
        <v>768.61400000000015</v>
      </c>
      <c r="Y47" s="167">
        <f t="shared" ref="Y47:Y48" si="74">SUM(AN47:AU47)</f>
        <v>0</v>
      </c>
      <c r="Z47" s="167">
        <f t="shared" ref="Z47:Z48" si="75">AC47*I47</f>
        <v>67034.121000000014</v>
      </c>
      <c r="AA47" s="167">
        <f t="shared" ref="AA47:AA48" si="76">SUM(Y47:Z47)</f>
        <v>67034.121000000014</v>
      </c>
      <c r="AB47" s="167">
        <f t="shared" ref="AB47:AB48" si="77">I47-AA47</f>
        <v>156412.94900000002</v>
      </c>
      <c r="AC47" s="168">
        <f t="shared" ref="AC47:AC48" si="78">SUM(AW47:AX47)</f>
        <v>0.3</v>
      </c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474">
        <v>0.3</v>
      </c>
      <c r="AX47" s="137"/>
      <c r="AY47" s="251">
        <v>0.2</v>
      </c>
      <c r="AZ47" s="251">
        <v>0.2</v>
      </c>
      <c r="BA47" s="137"/>
      <c r="BB47" s="137"/>
      <c r="BC47" s="137"/>
      <c r="BD47" s="137"/>
      <c r="BE47" s="137"/>
      <c r="BF47" s="137"/>
    </row>
    <row r="48" spans="1:58" x14ac:dyDescent="0.25">
      <c r="A48" s="200"/>
      <c r="B48" s="200" t="s">
        <v>469</v>
      </c>
      <c r="C48" s="202"/>
      <c r="D48" s="203">
        <v>1</v>
      </c>
      <c r="E48" s="203" t="s">
        <v>94</v>
      </c>
      <c r="F48" s="203"/>
      <c r="G48" s="203"/>
      <c r="H48" s="203"/>
      <c r="I48" s="203">
        <f>SUM(I43:I47)*K41</f>
        <v>17876.794100000006</v>
      </c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310">
        <f t="shared" si="70"/>
        <v>0</v>
      </c>
      <c r="V48" s="311">
        <f t="shared" si="71"/>
        <v>0.15</v>
      </c>
      <c r="W48" s="311">
        <f t="shared" si="72"/>
        <v>0.15</v>
      </c>
      <c r="X48" s="167">
        <f t="shared" si="73"/>
        <v>0.85</v>
      </c>
      <c r="Y48" s="167">
        <f t="shared" si="74"/>
        <v>0</v>
      </c>
      <c r="Z48" s="167">
        <f t="shared" si="75"/>
        <v>2681.519115000001</v>
      </c>
      <c r="AA48" s="167">
        <f t="shared" si="76"/>
        <v>2681.519115000001</v>
      </c>
      <c r="AB48" s="167">
        <f t="shared" si="77"/>
        <v>15195.274985000005</v>
      </c>
      <c r="AC48" s="168">
        <f t="shared" si="78"/>
        <v>0.15</v>
      </c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474">
        <v>0.15</v>
      </c>
      <c r="AX48" s="137"/>
      <c r="AY48" s="251">
        <v>0.49</v>
      </c>
      <c r="AZ48" s="251">
        <v>0.3</v>
      </c>
      <c r="BA48" s="137"/>
      <c r="BB48" s="137"/>
      <c r="BC48" s="137"/>
      <c r="BD48" s="137"/>
      <c r="BE48" s="137"/>
      <c r="BF48" s="137"/>
    </row>
    <row r="49" spans="1:58" x14ac:dyDescent="0.25">
      <c r="A49" s="228"/>
      <c r="B49" s="510" t="s">
        <v>470</v>
      </c>
      <c r="C49" s="501"/>
      <c r="D49" s="501"/>
      <c r="E49" s="501"/>
      <c r="F49" s="501"/>
      <c r="G49" s="501"/>
      <c r="H49" s="502"/>
      <c r="I49" s="229">
        <f>SUM(I44:I48)</f>
        <v>375412.6761000001</v>
      </c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307">
        <f t="shared" ref="U49:AB49" si="79">SUM(U44:U48)</f>
        <v>0</v>
      </c>
      <c r="V49" s="184">
        <f t="shared" si="79"/>
        <v>455.39600000000007</v>
      </c>
      <c r="W49" s="184">
        <f t="shared" si="79"/>
        <v>455.39600000000007</v>
      </c>
      <c r="X49" s="235">
        <f t="shared" si="79"/>
        <v>1272.8240000000001</v>
      </c>
      <c r="Y49" s="235">
        <f t="shared" si="79"/>
        <v>0</v>
      </c>
      <c r="Z49" s="235">
        <f t="shared" si="79"/>
        <v>96533.402515000023</v>
      </c>
      <c r="AA49" s="235">
        <f t="shared" si="79"/>
        <v>96533.402515000023</v>
      </c>
      <c r="AB49" s="235">
        <f t="shared" si="79"/>
        <v>278879.27358500008</v>
      </c>
      <c r="AC49" s="308">
        <f>SUM(AC44:AC48)/COUNT(AC44:AC48)</f>
        <v>0.21249999999999999</v>
      </c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474"/>
      <c r="AX49" s="137"/>
      <c r="AY49" s="308">
        <f t="shared" ref="AY49:BF49" si="80">SUM(AY44:AY48)/COUNT(AY44:AY48)</f>
        <v>0.39750000000000002</v>
      </c>
      <c r="AZ49" s="308">
        <f t="shared" si="80"/>
        <v>0.3</v>
      </c>
      <c r="BA49" s="308">
        <f t="shared" si="80"/>
        <v>0</v>
      </c>
      <c r="BB49" s="308">
        <f t="shared" si="80"/>
        <v>0</v>
      </c>
      <c r="BC49" s="308">
        <f t="shared" si="80"/>
        <v>0</v>
      </c>
      <c r="BD49" s="308">
        <f t="shared" si="80"/>
        <v>0</v>
      </c>
      <c r="BE49" s="308">
        <f t="shared" si="80"/>
        <v>0</v>
      </c>
      <c r="BF49" s="308">
        <f t="shared" si="80"/>
        <v>0</v>
      </c>
    </row>
    <row r="50" spans="1:58" x14ac:dyDescent="0.25">
      <c r="A50" s="200"/>
      <c r="B50" s="201" t="s">
        <v>41</v>
      </c>
      <c r="C50" s="343"/>
      <c r="D50" s="160"/>
      <c r="E50" s="160"/>
      <c r="F50" s="160"/>
      <c r="G50" s="160"/>
      <c r="H50" s="160"/>
      <c r="I50" s="164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310"/>
      <c r="V50" s="311"/>
      <c r="W50" s="311"/>
      <c r="X50" s="167"/>
      <c r="Y50" s="167"/>
      <c r="Z50" s="167"/>
      <c r="AA50" s="167"/>
      <c r="AB50" s="167"/>
      <c r="AC50" s="168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474"/>
      <c r="AX50" s="137"/>
      <c r="AY50" s="168"/>
      <c r="AZ50" s="137"/>
      <c r="BA50" s="137"/>
      <c r="BB50" s="137"/>
      <c r="BC50" s="137"/>
      <c r="BD50" s="137"/>
      <c r="BE50" s="137"/>
      <c r="BF50" s="137"/>
    </row>
    <row r="51" spans="1:58" x14ac:dyDescent="0.25">
      <c r="A51" s="200"/>
      <c r="B51" s="201" t="s">
        <v>471</v>
      </c>
      <c r="C51" s="343"/>
      <c r="D51" s="160"/>
      <c r="E51" s="160"/>
      <c r="F51" s="203"/>
      <c r="G51" s="203"/>
      <c r="H51" s="203"/>
      <c r="I51" s="203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310"/>
      <c r="V51" s="311"/>
      <c r="W51" s="311"/>
      <c r="X51" s="167"/>
      <c r="Y51" s="167"/>
      <c r="Z51" s="167"/>
      <c r="AA51" s="167"/>
      <c r="AB51" s="167"/>
      <c r="AC51" s="168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474"/>
      <c r="AX51" s="137"/>
      <c r="AY51" s="168"/>
      <c r="AZ51" s="137"/>
      <c r="BA51" s="137"/>
      <c r="BB51" s="137"/>
      <c r="BC51" s="137"/>
      <c r="BD51" s="137"/>
      <c r="BE51" s="137"/>
      <c r="BF51" s="137"/>
    </row>
    <row r="52" spans="1:58" x14ac:dyDescent="0.25">
      <c r="A52" s="200"/>
      <c r="B52" s="204" t="s">
        <v>472</v>
      </c>
      <c r="C52" s="340">
        <v>30</v>
      </c>
      <c r="D52" s="203">
        <f t="shared" ref="D52:D53" si="81">C52*$K$44</f>
        <v>33</v>
      </c>
      <c r="E52" s="311" t="s">
        <v>114</v>
      </c>
      <c r="F52" s="203">
        <f>'electrical labor and materials'!D51</f>
        <v>661</v>
      </c>
      <c r="G52" s="203">
        <f>'electrical labor and materials'!F51</f>
        <v>350</v>
      </c>
      <c r="H52" s="203">
        <f t="shared" ref="H52:H53" si="82">SUM(F52:G52)</f>
        <v>1011</v>
      </c>
      <c r="I52" s="203">
        <f t="shared" ref="I52:I53" si="83">H52*D52</f>
        <v>33363</v>
      </c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310">
        <f t="shared" ref="U52:U53" si="84">SUM(AE52:AL52)</f>
        <v>0</v>
      </c>
      <c r="V52" s="311">
        <f t="shared" ref="V52:V53" si="85">D52*AC52</f>
        <v>6.6000000000000005</v>
      </c>
      <c r="W52" s="311">
        <f t="shared" ref="W52:W53" si="86">SUM(U52:V52)</f>
        <v>6.6000000000000005</v>
      </c>
      <c r="X52" s="167">
        <f t="shared" ref="X52:X53" si="87">D52-W52</f>
        <v>26.4</v>
      </c>
      <c r="Y52" s="167">
        <f t="shared" ref="Y52:Y53" si="88">SUM(AN52:AU52)</f>
        <v>0</v>
      </c>
      <c r="Z52" s="167">
        <f t="shared" ref="Z52:Z53" si="89">AC52*I52</f>
        <v>6672.6</v>
      </c>
      <c r="AA52" s="167">
        <f t="shared" ref="AA52:AA53" si="90">SUM(Y52:Z52)</f>
        <v>6672.6</v>
      </c>
      <c r="AB52" s="167">
        <f t="shared" ref="AB52:AB53" si="91">I52-AA52</f>
        <v>26690.400000000001</v>
      </c>
      <c r="AC52" s="168">
        <f t="shared" ref="AC52:AC53" si="92">SUM(AW52:AX52)</f>
        <v>0.2</v>
      </c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474">
        <v>0.2</v>
      </c>
      <c r="AX52" s="137"/>
      <c r="AY52" s="168">
        <f t="shared" ref="AY52:BF52" si="93">SUM(BS52:BT52)</f>
        <v>0</v>
      </c>
      <c r="AZ52" s="168">
        <f t="shared" si="93"/>
        <v>0</v>
      </c>
      <c r="BA52" s="168">
        <f t="shared" si="93"/>
        <v>0</v>
      </c>
      <c r="BB52" s="168">
        <f t="shared" si="93"/>
        <v>0</v>
      </c>
      <c r="BC52" s="168">
        <f t="shared" si="93"/>
        <v>0</v>
      </c>
      <c r="BD52" s="168">
        <f t="shared" si="93"/>
        <v>0</v>
      </c>
      <c r="BE52" s="168">
        <f t="shared" si="93"/>
        <v>0</v>
      </c>
      <c r="BF52" s="168">
        <f t="shared" si="93"/>
        <v>0</v>
      </c>
    </row>
    <row r="53" spans="1:58" x14ac:dyDescent="0.25">
      <c r="A53" s="200"/>
      <c r="B53" s="204" t="s">
        <v>473</v>
      </c>
      <c r="C53" s="340">
        <v>15</v>
      </c>
      <c r="D53" s="203">
        <f t="shared" si="81"/>
        <v>16.5</v>
      </c>
      <c r="E53" s="311" t="s">
        <v>114</v>
      </c>
      <c r="F53" s="203">
        <f>'electrical labor and materials'!D52</f>
        <v>132</v>
      </c>
      <c r="G53" s="203">
        <f>'electrical labor and materials'!F52</f>
        <v>275</v>
      </c>
      <c r="H53" s="203">
        <f t="shared" si="82"/>
        <v>407</v>
      </c>
      <c r="I53" s="203">
        <f t="shared" si="83"/>
        <v>6715.5</v>
      </c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310">
        <f t="shared" si="84"/>
        <v>0</v>
      </c>
      <c r="V53" s="311">
        <f t="shared" si="85"/>
        <v>3.3000000000000003</v>
      </c>
      <c r="W53" s="311">
        <f t="shared" si="86"/>
        <v>3.3000000000000003</v>
      </c>
      <c r="X53" s="167">
        <f t="shared" si="87"/>
        <v>13.2</v>
      </c>
      <c r="Y53" s="167">
        <f t="shared" si="88"/>
        <v>0</v>
      </c>
      <c r="Z53" s="167">
        <f t="shared" si="89"/>
        <v>1343.1000000000001</v>
      </c>
      <c r="AA53" s="167">
        <f t="shared" si="90"/>
        <v>1343.1000000000001</v>
      </c>
      <c r="AB53" s="167">
        <f t="shared" si="91"/>
        <v>5372.4</v>
      </c>
      <c r="AC53" s="168">
        <f t="shared" si="92"/>
        <v>0.2</v>
      </c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474">
        <v>0.2</v>
      </c>
      <c r="AX53" s="137"/>
      <c r="AY53" s="168">
        <f t="shared" ref="AY53:BF53" si="94">SUM(BS53:BT53)</f>
        <v>0</v>
      </c>
      <c r="AZ53" s="168">
        <f t="shared" si="94"/>
        <v>0</v>
      </c>
      <c r="BA53" s="168">
        <f t="shared" si="94"/>
        <v>0</v>
      </c>
      <c r="BB53" s="168">
        <f t="shared" si="94"/>
        <v>0</v>
      </c>
      <c r="BC53" s="168">
        <f t="shared" si="94"/>
        <v>0</v>
      </c>
      <c r="BD53" s="168">
        <f t="shared" si="94"/>
        <v>0</v>
      </c>
      <c r="BE53" s="168">
        <f t="shared" si="94"/>
        <v>0</v>
      </c>
      <c r="BF53" s="168">
        <f t="shared" si="94"/>
        <v>0</v>
      </c>
    </row>
    <row r="54" spans="1:58" x14ac:dyDescent="0.25">
      <c r="A54" s="200"/>
      <c r="B54" s="204"/>
      <c r="C54" s="340"/>
      <c r="D54" s="311"/>
      <c r="E54" s="311"/>
      <c r="F54" s="311"/>
      <c r="G54" s="311"/>
      <c r="H54" s="311"/>
      <c r="I54" s="203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310"/>
      <c r="V54" s="311"/>
      <c r="W54" s="311"/>
      <c r="X54" s="167"/>
      <c r="Y54" s="167"/>
      <c r="Z54" s="167"/>
      <c r="AA54" s="167"/>
      <c r="AB54" s="167"/>
      <c r="AC54" s="168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474"/>
      <c r="AX54" s="137"/>
      <c r="AY54" s="168"/>
      <c r="AZ54" s="168"/>
      <c r="BA54" s="168"/>
      <c r="BB54" s="168"/>
      <c r="BC54" s="168"/>
      <c r="BD54" s="168"/>
      <c r="BE54" s="168"/>
      <c r="BF54" s="168"/>
    </row>
    <row r="55" spans="1:58" x14ac:dyDescent="0.25">
      <c r="A55" s="200"/>
      <c r="B55" s="201" t="s">
        <v>474</v>
      </c>
      <c r="C55" s="340"/>
      <c r="D55" s="311"/>
      <c r="E55" s="311"/>
      <c r="F55" s="311"/>
      <c r="G55" s="311"/>
      <c r="H55" s="311"/>
      <c r="I55" s="203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310"/>
      <c r="V55" s="311"/>
      <c r="W55" s="311"/>
      <c r="X55" s="167"/>
      <c r="Y55" s="167"/>
      <c r="Z55" s="167"/>
      <c r="AA55" s="167"/>
      <c r="AB55" s="167"/>
      <c r="AC55" s="168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474"/>
      <c r="AX55" s="137"/>
      <c r="AY55" s="168"/>
      <c r="AZ55" s="168"/>
      <c r="BA55" s="168"/>
      <c r="BB55" s="168"/>
      <c r="BC55" s="168"/>
      <c r="BD55" s="168"/>
      <c r="BE55" s="168"/>
      <c r="BF55" s="168"/>
    </row>
    <row r="56" spans="1:58" ht="26.4" x14ac:dyDescent="0.25">
      <c r="A56" s="200"/>
      <c r="B56" s="291" t="s">
        <v>475</v>
      </c>
      <c r="C56" s="340"/>
      <c r="D56" s="311">
        <v>1</v>
      </c>
      <c r="E56" s="203" t="s">
        <v>476</v>
      </c>
      <c r="F56" s="167">
        <f>'electrical labor and materials'!D54</f>
        <v>35200</v>
      </c>
      <c r="G56" s="167">
        <f>'electrical labor and materials'!F54</f>
        <v>19360</v>
      </c>
      <c r="H56" s="203">
        <f>SUM(F56:G56)</f>
        <v>54560</v>
      </c>
      <c r="I56" s="203">
        <f>H56*D56</f>
        <v>54560</v>
      </c>
      <c r="J56" s="137"/>
      <c r="K56" s="397"/>
      <c r="L56" s="397"/>
      <c r="M56" s="137"/>
      <c r="N56" s="137"/>
      <c r="O56" s="137"/>
      <c r="P56" s="137"/>
      <c r="Q56" s="137"/>
      <c r="R56" s="137"/>
      <c r="S56" s="137"/>
      <c r="T56" s="137"/>
      <c r="U56" s="310">
        <f>SUM(AE56:AL56)</f>
        <v>0</v>
      </c>
      <c r="V56" s="311">
        <f>D56*AC56</f>
        <v>0.1</v>
      </c>
      <c r="W56" s="311">
        <f>SUM(U56:V56)</f>
        <v>0.1</v>
      </c>
      <c r="X56" s="167">
        <f>D56-W56</f>
        <v>0.9</v>
      </c>
      <c r="Y56" s="167">
        <f>SUM(AN56:AU56)</f>
        <v>0</v>
      </c>
      <c r="Z56" s="167">
        <f>AC56*I56</f>
        <v>5456</v>
      </c>
      <c r="AA56" s="167">
        <f>SUM(Y56:Z56)</f>
        <v>5456</v>
      </c>
      <c r="AB56" s="167">
        <f>I56-AA56</f>
        <v>49104</v>
      </c>
      <c r="AC56" s="168">
        <f>SUM(AW56:AX56)</f>
        <v>0.1</v>
      </c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474">
        <v>0.1</v>
      </c>
      <c r="AX56" s="137"/>
      <c r="AY56" s="168">
        <f t="shared" ref="AY56:BF56" si="95">SUM(BS56:BT56)</f>
        <v>0</v>
      </c>
      <c r="AZ56" s="168">
        <f t="shared" si="95"/>
        <v>0</v>
      </c>
      <c r="BA56" s="168">
        <f t="shared" si="95"/>
        <v>0</v>
      </c>
      <c r="BB56" s="168">
        <f t="shared" si="95"/>
        <v>0</v>
      </c>
      <c r="BC56" s="168">
        <f t="shared" si="95"/>
        <v>0</v>
      </c>
      <c r="BD56" s="168">
        <f t="shared" si="95"/>
        <v>0</v>
      </c>
      <c r="BE56" s="168">
        <f t="shared" si="95"/>
        <v>0</v>
      </c>
      <c r="BF56" s="168">
        <f t="shared" si="95"/>
        <v>0</v>
      </c>
    </row>
    <row r="57" spans="1:58" x14ac:dyDescent="0.25">
      <c r="A57" s="200"/>
      <c r="B57" s="291"/>
      <c r="C57" s="340"/>
      <c r="D57" s="311"/>
      <c r="E57" s="203"/>
      <c r="F57" s="167"/>
      <c r="G57" s="167"/>
      <c r="H57" s="203"/>
      <c r="I57" s="203"/>
      <c r="J57" s="137"/>
      <c r="K57" s="397"/>
      <c r="L57" s="397"/>
      <c r="M57" s="137"/>
      <c r="N57" s="137"/>
      <c r="O57" s="137"/>
      <c r="P57" s="137"/>
      <c r="Q57" s="137"/>
      <c r="R57" s="137"/>
      <c r="S57" s="137"/>
      <c r="T57" s="137"/>
      <c r="U57" s="310"/>
      <c r="V57" s="311"/>
      <c r="W57" s="311"/>
      <c r="X57" s="167"/>
      <c r="Y57" s="167"/>
      <c r="Z57" s="167"/>
      <c r="AA57" s="167"/>
      <c r="AB57" s="167"/>
      <c r="AC57" s="168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474"/>
      <c r="AX57" s="137"/>
      <c r="AY57" s="168"/>
      <c r="AZ57" s="168"/>
      <c r="BA57" s="168"/>
      <c r="BB57" s="168"/>
      <c r="BC57" s="168"/>
      <c r="BD57" s="168"/>
      <c r="BE57" s="168"/>
      <c r="BF57" s="168"/>
    </row>
    <row r="58" spans="1:58" x14ac:dyDescent="0.25">
      <c r="A58" s="200"/>
      <c r="B58" s="291" t="s">
        <v>477</v>
      </c>
      <c r="C58" s="340"/>
      <c r="D58" s="311"/>
      <c r="E58" s="203"/>
      <c r="F58" s="167"/>
      <c r="G58" s="167"/>
      <c r="H58" s="203"/>
      <c r="I58" s="203"/>
      <c r="J58" s="137"/>
      <c r="K58" s="397"/>
      <c r="L58" s="397"/>
      <c r="M58" s="137"/>
      <c r="N58" s="137"/>
      <c r="O58" s="137"/>
      <c r="P58" s="137"/>
      <c r="Q58" s="137"/>
      <c r="R58" s="137"/>
      <c r="S58" s="137"/>
      <c r="T58" s="137"/>
      <c r="U58" s="310"/>
      <c r="V58" s="311"/>
      <c r="W58" s="311"/>
      <c r="X58" s="167"/>
      <c r="Y58" s="167"/>
      <c r="Z58" s="167"/>
      <c r="AA58" s="167"/>
      <c r="AB58" s="167"/>
      <c r="AC58" s="168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474"/>
      <c r="AX58" s="137"/>
      <c r="AY58" s="168"/>
      <c r="AZ58" s="168"/>
      <c r="BA58" s="168"/>
      <c r="BB58" s="168"/>
      <c r="BC58" s="168"/>
      <c r="BD58" s="168"/>
      <c r="BE58" s="168"/>
      <c r="BF58" s="168"/>
    </row>
    <row r="59" spans="1:58" x14ac:dyDescent="0.25">
      <c r="A59" s="200"/>
      <c r="B59" s="291" t="s">
        <v>478</v>
      </c>
      <c r="C59" s="340"/>
      <c r="D59" s="311"/>
      <c r="E59" s="203"/>
      <c r="F59" s="167"/>
      <c r="G59" s="167"/>
      <c r="H59" s="203"/>
      <c r="I59" s="203"/>
      <c r="J59" s="137"/>
      <c r="K59" s="397"/>
      <c r="L59" s="397"/>
      <c r="M59" s="137"/>
      <c r="N59" s="137"/>
      <c r="O59" s="137"/>
      <c r="P59" s="137"/>
      <c r="Q59" s="137"/>
      <c r="R59" s="137"/>
      <c r="S59" s="137"/>
      <c r="T59" s="137"/>
      <c r="U59" s="310"/>
      <c r="V59" s="311"/>
      <c r="W59" s="311"/>
      <c r="X59" s="167"/>
      <c r="Y59" s="167"/>
      <c r="Z59" s="167"/>
      <c r="AA59" s="167"/>
      <c r="AB59" s="167"/>
      <c r="AC59" s="168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474"/>
      <c r="AX59" s="137"/>
      <c r="AY59" s="168"/>
      <c r="AZ59" s="168"/>
      <c r="BA59" s="168"/>
      <c r="BB59" s="168"/>
      <c r="BC59" s="168"/>
      <c r="BD59" s="168"/>
      <c r="BE59" s="168"/>
      <c r="BF59" s="168"/>
    </row>
    <row r="60" spans="1:58" x14ac:dyDescent="0.25">
      <c r="A60" s="200"/>
      <c r="B60" s="291" t="s">
        <v>479</v>
      </c>
      <c r="C60" s="340"/>
      <c r="D60" s="311"/>
      <c r="E60" s="203"/>
      <c r="F60" s="167"/>
      <c r="G60" s="167"/>
      <c r="H60" s="203"/>
      <c r="I60" s="203"/>
      <c r="J60" s="137"/>
      <c r="K60" s="397"/>
      <c r="L60" s="397"/>
      <c r="M60" s="137"/>
      <c r="N60" s="137"/>
      <c r="O60" s="137"/>
      <c r="P60" s="137"/>
      <c r="Q60" s="137"/>
      <c r="R60" s="137"/>
      <c r="S60" s="137"/>
      <c r="T60" s="137"/>
      <c r="U60" s="310"/>
      <c r="V60" s="311"/>
      <c r="W60" s="311"/>
      <c r="X60" s="167"/>
      <c r="Y60" s="167"/>
      <c r="Z60" s="167"/>
      <c r="AA60" s="167"/>
      <c r="AB60" s="167"/>
      <c r="AC60" s="168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474"/>
      <c r="AX60" s="137"/>
      <c r="AY60" s="168"/>
      <c r="AZ60" s="168"/>
      <c r="BA60" s="168"/>
      <c r="BB60" s="168"/>
      <c r="BC60" s="168"/>
      <c r="BD60" s="168"/>
      <c r="BE60" s="168"/>
      <c r="BF60" s="168"/>
    </row>
    <row r="61" spans="1:58" x14ac:dyDescent="0.25">
      <c r="A61" s="200"/>
      <c r="B61" s="291" t="s">
        <v>480</v>
      </c>
      <c r="C61" s="340"/>
      <c r="D61" s="311"/>
      <c r="E61" s="203"/>
      <c r="F61" s="167"/>
      <c r="G61" s="167"/>
      <c r="H61" s="203"/>
      <c r="I61" s="203"/>
      <c r="J61" s="137"/>
      <c r="K61" s="397"/>
      <c r="L61" s="397"/>
      <c r="M61" s="137"/>
      <c r="N61" s="137"/>
      <c r="O61" s="137"/>
      <c r="P61" s="137"/>
      <c r="Q61" s="137"/>
      <c r="R61" s="137"/>
      <c r="S61" s="137"/>
      <c r="T61" s="137"/>
      <c r="U61" s="310"/>
      <c r="V61" s="311"/>
      <c r="W61" s="311"/>
      <c r="X61" s="167"/>
      <c r="Y61" s="167"/>
      <c r="Z61" s="167"/>
      <c r="AA61" s="167"/>
      <c r="AB61" s="167"/>
      <c r="AC61" s="168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474"/>
      <c r="AX61" s="137"/>
      <c r="AY61" s="168"/>
      <c r="AZ61" s="168"/>
      <c r="BA61" s="168"/>
      <c r="BB61" s="168"/>
      <c r="BC61" s="168"/>
      <c r="BD61" s="168"/>
      <c r="BE61" s="168"/>
      <c r="BF61" s="168"/>
    </row>
    <row r="62" spans="1:58" ht="26.4" x14ac:dyDescent="0.25">
      <c r="A62" s="200"/>
      <c r="B62" s="291" t="s">
        <v>481</v>
      </c>
      <c r="C62" s="340"/>
      <c r="D62" s="311"/>
      <c r="E62" s="203"/>
      <c r="F62" s="167"/>
      <c r="G62" s="167"/>
      <c r="H62" s="203"/>
      <c r="I62" s="203"/>
      <c r="J62" s="137"/>
      <c r="K62" s="397">
        <v>0.2</v>
      </c>
      <c r="L62" s="397" t="s">
        <v>462</v>
      </c>
      <c r="M62" s="137"/>
      <c r="N62" s="137"/>
      <c r="O62" s="137"/>
      <c r="P62" s="137"/>
      <c r="Q62" s="137"/>
      <c r="R62" s="137"/>
      <c r="S62" s="137"/>
      <c r="T62" s="137"/>
      <c r="U62" s="310"/>
      <c r="V62" s="311"/>
      <c r="W62" s="311"/>
      <c r="X62" s="167"/>
      <c r="Y62" s="167"/>
      <c r="Z62" s="167"/>
      <c r="AA62" s="167"/>
      <c r="AB62" s="167"/>
      <c r="AC62" s="168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474"/>
      <c r="AX62" s="137"/>
      <c r="AY62" s="168"/>
      <c r="AZ62" s="168"/>
      <c r="BA62" s="168"/>
      <c r="BB62" s="168"/>
      <c r="BC62" s="168"/>
      <c r="BD62" s="168"/>
      <c r="BE62" s="168"/>
      <c r="BF62" s="168"/>
    </row>
    <row r="63" spans="1:58" x14ac:dyDescent="0.25">
      <c r="A63" s="200"/>
      <c r="B63" s="291"/>
      <c r="C63" s="340"/>
      <c r="D63" s="311"/>
      <c r="E63" s="311"/>
      <c r="F63" s="311"/>
      <c r="G63" s="311"/>
      <c r="H63" s="311"/>
      <c r="I63" s="203"/>
      <c r="J63" s="137"/>
      <c r="K63" s="137"/>
      <c r="L63" s="137"/>
      <c r="M63" s="137"/>
      <c r="N63" s="137"/>
      <c r="O63" s="137"/>
      <c r="P63" s="137">
        <v>27340</v>
      </c>
      <c r="Q63" s="137"/>
      <c r="R63" s="137"/>
      <c r="S63" s="137"/>
      <c r="T63" s="137"/>
      <c r="U63" s="310"/>
      <c r="V63" s="311"/>
      <c r="W63" s="311"/>
      <c r="X63" s="167"/>
      <c r="Y63" s="167"/>
      <c r="Z63" s="167"/>
      <c r="AA63" s="167"/>
      <c r="AB63" s="167"/>
      <c r="AC63" s="168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474"/>
      <c r="AX63" s="137"/>
      <c r="AY63" s="168"/>
      <c r="AZ63" s="168"/>
      <c r="BA63" s="168"/>
      <c r="BB63" s="168"/>
      <c r="BC63" s="168"/>
      <c r="BD63" s="168"/>
      <c r="BE63" s="168"/>
      <c r="BF63" s="168"/>
    </row>
    <row r="64" spans="1:58" x14ac:dyDescent="0.25">
      <c r="A64" s="200"/>
      <c r="B64" s="291" t="s">
        <v>482</v>
      </c>
      <c r="C64" s="340">
        <v>45</v>
      </c>
      <c r="D64" s="203">
        <f>C64*$K$44</f>
        <v>49.500000000000007</v>
      </c>
      <c r="E64" s="311" t="s">
        <v>114</v>
      </c>
      <c r="F64" s="203">
        <f>'electrical labor and materials'!D49</f>
        <v>154</v>
      </c>
      <c r="G64" s="167">
        <f t="shared" ref="G64:G65" si="96">F64*0.3</f>
        <v>46.199999999999996</v>
      </c>
      <c r="H64" s="303">
        <f t="shared" ref="H64:H65" si="97">SUM(F64:G64)</f>
        <v>200.2</v>
      </c>
      <c r="I64" s="303">
        <f t="shared" ref="I64:I65" si="98">H64*D64</f>
        <v>9909.9000000000015</v>
      </c>
      <c r="J64" s="137"/>
      <c r="K64" s="137"/>
      <c r="L64" s="137"/>
      <c r="M64" s="137"/>
      <c r="N64" s="137"/>
      <c r="O64" s="137"/>
      <c r="P64" s="137" t="e">
        <f>#REF!/P63</f>
        <v>#REF!</v>
      </c>
      <c r="Q64" s="137"/>
      <c r="R64" s="137"/>
      <c r="S64" s="137"/>
      <c r="T64" s="137"/>
      <c r="U64" s="310">
        <f t="shared" ref="U64:U65" si="99">SUM(AE64:AL64)</f>
        <v>0</v>
      </c>
      <c r="V64" s="311">
        <f t="shared" ref="V64:V65" si="100">D64*AC64</f>
        <v>0</v>
      </c>
      <c r="W64" s="311">
        <f t="shared" ref="W64:W65" si="101">SUM(U64:V64)</f>
        <v>0</v>
      </c>
      <c r="X64" s="167">
        <f t="shared" ref="X64:X65" si="102">D64-W64</f>
        <v>49.500000000000007</v>
      </c>
      <c r="Y64" s="167">
        <f t="shared" ref="Y64:Y65" si="103">SUM(AN64:AU64)</f>
        <v>0</v>
      </c>
      <c r="Z64" s="167">
        <f t="shared" ref="Z64:Z65" si="104">AC64*I64</f>
        <v>0</v>
      </c>
      <c r="AA64" s="167">
        <f t="shared" ref="AA64:AA65" si="105">SUM(Y64:Z64)</f>
        <v>0</v>
      </c>
      <c r="AB64" s="167">
        <f t="shared" ref="AB64:AB65" si="106">I64-AA64</f>
        <v>9909.9000000000015</v>
      </c>
      <c r="AC64" s="168">
        <f t="shared" ref="AC64:AC65" si="107">SUM(AW64:AX64)</f>
        <v>0</v>
      </c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474"/>
      <c r="AX64" s="137"/>
      <c r="AY64" s="168">
        <f t="shared" ref="AY64:BF64" si="108">SUM(BS64:BT64)</f>
        <v>0</v>
      </c>
      <c r="AZ64" s="168">
        <f t="shared" si="108"/>
        <v>0</v>
      </c>
      <c r="BA64" s="168">
        <f t="shared" si="108"/>
        <v>0</v>
      </c>
      <c r="BB64" s="168">
        <f t="shared" si="108"/>
        <v>0</v>
      </c>
      <c r="BC64" s="168">
        <f t="shared" si="108"/>
        <v>0</v>
      </c>
      <c r="BD64" s="168">
        <f t="shared" si="108"/>
        <v>0</v>
      </c>
      <c r="BE64" s="168">
        <f t="shared" si="108"/>
        <v>0</v>
      </c>
      <c r="BF64" s="168">
        <f t="shared" si="108"/>
        <v>0</v>
      </c>
    </row>
    <row r="65" spans="1:58" x14ac:dyDescent="0.25">
      <c r="A65" s="200"/>
      <c r="B65" s="291" t="s">
        <v>483</v>
      </c>
      <c r="C65" s="340"/>
      <c r="D65" s="311">
        <v>1</v>
      </c>
      <c r="E65" s="311" t="s">
        <v>118</v>
      </c>
      <c r="F65" s="203">
        <f>'electrical labor and materials'!D50</f>
        <v>126.50000000000001</v>
      </c>
      <c r="G65" s="167">
        <f t="shared" si="96"/>
        <v>37.950000000000003</v>
      </c>
      <c r="H65" s="303">
        <f t="shared" si="97"/>
        <v>164.45000000000002</v>
      </c>
      <c r="I65" s="303">
        <f t="shared" si="98"/>
        <v>164.45000000000002</v>
      </c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310">
        <f t="shared" si="99"/>
        <v>0</v>
      </c>
      <c r="V65" s="311">
        <f t="shared" si="100"/>
        <v>0</v>
      </c>
      <c r="W65" s="311">
        <f t="shared" si="101"/>
        <v>0</v>
      </c>
      <c r="X65" s="167">
        <f t="shared" si="102"/>
        <v>1</v>
      </c>
      <c r="Y65" s="167">
        <f t="shared" si="103"/>
        <v>0</v>
      </c>
      <c r="Z65" s="167">
        <f t="shared" si="104"/>
        <v>0</v>
      </c>
      <c r="AA65" s="167">
        <f t="shared" si="105"/>
        <v>0</v>
      </c>
      <c r="AB65" s="167">
        <f t="shared" si="106"/>
        <v>164.45000000000002</v>
      </c>
      <c r="AC65" s="168">
        <f t="shared" si="107"/>
        <v>0</v>
      </c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474"/>
      <c r="AX65" s="137"/>
      <c r="AY65" s="168">
        <f t="shared" ref="AY65:BF65" si="109">SUM(BS65:BT65)</f>
        <v>0</v>
      </c>
      <c r="AZ65" s="168">
        <f t="shared" si="109"/>
        <v>0</v>
      </c>
      <c r="BA65" s="168">
        <f t="shared" si="109"/>
        <v>0</v>
      </c>
      <c r="BB65" s="168">
        <f t="shared" si="109"/>
        <v>0</v>
      </c>
      <c r="BC65" s="168">
        <f t="shared" si="109"/>
        <v>0</v>
      </c>
      <c r="BD65" s="168">
        <f t="shared" si="109"/>
        <v>0</v>
      </c>
      <c r="BE65" s="168">
        <f t="shared" si="109"/>
        <v>0</v>
      </c>
      <c r="BF65" s="168">
        <f t="shared" si="109"/>
        <v>0</v>
      </c>
    </row>
    <row r="66" spans="1:58" x14ac:dyDescent="0.25">
      <c r="A66" s="200"/>
      <c r="B66" s="201"/>
      <c r="C66" s="340"/>
      <c r="D66" s="311"/>
      <c r="E66" s="311"/>
      <c r="F66" s="311"/>
      <c r="G66" s="311"/>
      <c r="H66" s="311"/>
      <c r="I66" s="203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310"/>
      <c r="V66" s="311"/>
      <c r="W66" s="311"/>
      <c r="X66" s="167"/>
      <c r="Y66" s="167"/>
      <c r="Z66" s="167"/>
      <c r="AA66" s="167"/>
      <c r="AB66" s="167"/>
      <c r="AC66" s="168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474"/>
      <c r="AX66" s="137"/>
      <c r="AY66" s="168"/>
      <c r="AZ66" s="168"/>
      <c r="BA66" s="168"/>
      <c r="BB66" s="168"/>
      <c r="BC66" s="168"/>
      <c r="BD66" s="168"/>
      <c r="BE66" s="168"/>
      <c r="BF66" s="168"/>
    </row>
    <row r="67" spans="1:58" x14ac:dyDescent="0.25">
      <c r="A67" s="200"/>
      <c r="B67" s="201" t="s">
        <v>121</v>
      </c>
      <c r="C67" s="340"/>
      <c r="D67" s="311">
        <v>1</v>
      </c>
      <c r="E67" s="311" t="s">
        <v>94</v>
      </c>
      <c r="F67" s="311"/>
      <c r="G67" s="311"/>
      <c r="H67" s="311"/>
      <c r="I67" s="203">
        <f>SUM(I52:I65)*K62</f>
        <v>20942.57</v>
      </c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310">
        <f>SUM(AE67:AL67)</f>
        <v>0</v>
      </c>
      <c r="V67" s="311">
        <f>D67*AC67</f>
        <v>0</v>
      </c>
      <c r="W67" s="311">
        <f>SUM(U67:V67)</f>
        <v>0</v>
      </c>
      <c r="X67" s="167">
        <f>D67-W67</f>
        <v>1</v>
      </c>
      <c r="Y67" s="167">
        <f>SUM(AN67:AU67)</f>
        <v>0</v>
      </c>
      <c r="Z67" s="167">
        <f>AC67*I67</f>
        <v>0</v>
      </c>
      <c r="AA67" s="167">
        <f>SUM(Y67:Z67)</f>
        <v>0</v>
      </c>
      <c r="AB67" s="167">
        <f>I67-AA67</f>
        <v>20942.57</v>
      </c>
      <c r="AC67" s="168">
        <f>SUM(AW67:AX67)</f>
        <v>0</v>
      </c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474"/>
      <c r="AX67" s="137"/>
      <c r="AY67" s="168">
        <f t="shared" ref="AY67:BF67" si="110">SUM(BS67:BT67)</f>
        <v>0</v>
      </c>
      <c r="AZ67" s="168">
        <f t="shared" si="110"/>
        <v>0</v>
      </c>
      <c r="BA67" s="168">
        <f t="shared" si="110"/>
        <v>0</v>
      </c>
      <c r="BB67" s="168">
        <f t="shared" si="110"/>
        <v>0</v>
      </c>
      <c r="BC67" s="168">
        <f t="shared" si="110"/>
        <v>0</v>
      </c>
      <c r="BD67" s="168">
        <f t="shared" si="110"/>
        <v>0</v>
      </c>
      <c r="BE67" s="168">
        <f t="shared" si="110"/>
        <v>0</v>
      </c>
      <c r="BF67" s="168">
        <f t="shared" si="110"/>
        <v>0</v>
      </c>
    </row>
    <row r="68" spans="1:58" x14ac:dyDescent="0.25">
      <c r="A68" s="200"/>
      <c r="B68" s="204" t="s">
        <v>484</v>
      </c>
      <c r="C68" s="340"/>
      <c r="D68" s="311"/>
      <c r="E68" s="311"/>
      <c r="F68" s="311"/>
      <c r="G68" s="311"/>
      <c r="H68" s="311"/>
      <c r="I68" s="203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310"/>
      <c r="V68" s="311"/>
      <c r="W68" s="311"/>
      <c r="X68" s="167"/>
      <c r="Y68" s="167"/>
      <c r="Z68" s="167"/>
      <c r="AA68" s="167"/>
      <c r="AB68" s="167"/>
      <c r="AC68" s="168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474"/>
      <c r="AX68" s="137"/>
      <c r="AY68" s="168"/>
      <c r="AZ68" s="168"/>
      <c r="BA68" s="168"/>
      <c r="BB68" s="168"/>
      <c r="BC68" s="168"/>
      <c r="BD68" s="168"/>
      <c r="BE68" s="168"/>
      <c r="BF68" s="168"/>
    </row>
    <row r="69" spans="1:58" x14ac:dyDescent="0.25">
      <c r="A69" s="200"/>
      <c r="B69" s="204" t="s">
        <v>485</v>
      </c>
      <c r="C69" s="340"/>
      <c r="D69" s="311"/>
      <c r="E69" s="311"/>
      <c r="F69" s="311"/>
      <c r="G69" s="311"/>
      <c r="H69" s="311"/>
      <c r="I69" s="203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310"/>
      <c r="V69" s="311"/>
      <c r="W69" s="311"/>
      <c r="X69" s="167"/>
      <c r="Y69" s="167"/>
      <c r="Z69" s="167"/>
      <c r="AA69" s="167"/>
      <c r="AB69" s="167"/>
      <c r="AC69" s="168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474"/>
      <c r="AX69" s="137"/>
      <c r="AY69" s="168"/>
      <c r="AZ69" s="168"/>
      <c r="BA69" s="168"/>
      <c r="BB69" s="168"/>
      <c r="BC69" s="168"/>
      <c r="BD69" s="168"/>
      <c r="BE69" s="168"/>
      <c r="BF69" s="168"/>
    </row>
    <row r="70" spans="1:58" x14ac:dyDescent="0.25">
      <c r="A70" s="200"/>
      <c r="B70" s="204" t="s">
        <v>486</v>
      </c>
      <c r="C70" s="340"/>
      <c r="D70" s="311"/>
      <c r="E70" s="311"/>
      <c r="F70" s="311"/>
      <c r="G70" s="311"/>
      <c r="H70" s="311"/>
      <c r="I70" s="203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310"/>
      <c r="V70" s="311"/>
      <c r="W70" s="311"/>
      <c r="X70" s="167"/>
      <c r="Y70" s="167"/>
      <c r="Z70" s="167"/>
      <c r="AA70" s="167"/>
      <c r="AB70" s="167"/>
      <c r="AC70" s="168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474"/>
      <c r="AX70" s="137"/>
      <c r="AY70" s="168"/>
      <c r="AZ70" s="168"/>
      <c r="BA70" s="168"/>
      <c r="BB70" s="168"/>
      <c r="BC70" s="168"/>
      <c r="BD70" s="168"/>
      <c r="BE70" s="168"/>
      <c r="BF70" s="168"/>
    </row>
    <row r="71" spans="1:58" x14ac:dyDescent="0.25">
      <c r="A71" s="200"/>
      <c r="B71" s="204" t="s">
        <v>487</v>
      </c>
      <c r="C71" s="340"/>
      <c r="D71" s="311"/>
      <c r="E71" s="311"/>
      <c r="F71" s="311"/>
      <c r="G71" s="311"/>
      <c r="H71" s="311"/>
      <c r="I71" s="203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310"/>
      <c r="V71" s="311"/>
      <c r="W71" s="311"/>
      <c r="X71" s="167"/>
      <c r="Y71" s="167"/>
      <c r="Z71" s="167"/>
      <c r="AA71" s="167"/>
      <c r="AB71" s="167"/>
      <c r="AC71" s="168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474"/>
      <c r="AX71" s="137"/>
      <c r="AY71" s="168"/>
      <c r="AZ71" s="168"/>
      <c r="BA71" s="168"/>
      <c r="BB71" s="168"/>
      <c r="BC71" s="168"/>
      <c r="BD71" s="168"/>
      <c r="BE71" s="168"/>
      <c r="BF71" s="168"/>
    </row>
    <row r="72" spans="1:58" x14ac:dyDescent="0.25">
      <c r="A72" s="200"/>
      <c r="B72" s="204" t="s">
        <v>488</v>
      </c>
      <c r="C72" s="340"/>
      <c r="D72" s="311"/>
      <c r="E72" s="311"/>
      <c r="F72" s="311"/>
      <c r="G72" s="311"/>
      <c r="H72" s="311"/>
      <c r="I72" s="203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310"/>
      <c r="V72" s="311"/>
      <c r="W72" s="311"/>
      <c r="X72" s="167"/>
      <c r="Y72" s="167"/>
      <c r="Z72" s="167"/>
      <c r="AA72" s="167"/>
      <c r="AB72" s="167"/>
      <c r="AC72" s="168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474"/>
      <c r="AX72" s="137"/>
      <c r="AY72" s="168"/>
      <c r="AZ72" s="168"/>
      <c r="BA72" s="168"/>
      <c r="BB72" s="168"/>
      <c r="BC72" s="168"/>
      <c r="BD72" s="168"/>
      <c r="BE72" s="168"/>
      <c r="BF72" s="168"/>
    </row>
    <row r="73" spans="1:58" x14ac:dyDescent="0.25">
      <c r="A73" s="200"/>
      <c r="B73" s="204" t="s">
        <v>489</v>
      </c>
      <c r="C73" s="340"/>
      <c r="D73" s="311"/>
      <c r="E73" s="311"/>
      <c r="F73" s="311"/>
      <c r="G73" s="311"/>
      <c r="H73" s="311"/>
      <c r="I73" s="203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310"/>
      <c r="V73" s="311"/>
      <c r="W73" s="311"/>
      <c r="X73" s="167"/>
      <c r="Y73" s="167"/>
      <c r="Z73" s="167"/>
      <c r="AA73" s="167"/>
      <c r="AB73" s="167"/>
      <c r="AC73" s="168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474"/>
      <c r="AX73" s="137"/>
      <c r="AY73" s="168"/>
      <c r="AZ73" s="168"/>
      <c r="BA73" s="168"/>
      <c r="BB73" s="168"/>
      <c r="BC73" s="168"/>
      <c r="BD73" s="168"/>
      <c r="BE73" s="168"/>
      <c r="BF73" s="168"/>
    </row>
    <row r="74" spans="1:58" x14ac:dyDescent="0.25">
      <c r="A74" s="200"/>
      <c r="B74" s="204" t="s">
        <v>490</v>
      </c>
      <c r="C74" s="340"/>
      <c r="D74" s="311"/>
      <c r="E74" s="311"/>
      <c r="F74" s="311"/>
      <c r="G74" s="311"/>
      <c r="H74" s="311"/>
      <c r="I74" s="203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310"/>
      <c r="V74" s="311"/>
      <c r="W74" s="311"/>
      <c r="X74" s="167"/>
      <c r="Y74" s="167"/>
      <c r="Z74" s="167"/>
      <c r="AA74" s="167"/>
      <c r="AB74" s="167"/>
      <c r="AC74" s="168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474"/>
      <c r="AX74" s="137"/>
      <c r="AY74" s="168"/>
      <c r="AZ74" s="168"/>
      <c r="BA74" s="168"/>
      <c r="BB74" s="168"/>
      <c r="BC74" s="168"/>
      <c r="BD74" s="168"/>
      <c r="BE74" s="168"/>
      <c r="BF74" s="168"/>
    </row>
    <row r="75" spans="1:58" x14ac:dyDescent="0.25">
      <c r="A75" s="200"/>
      <c r="B75" s="204" t="s">
        <v>491</v>
      </c>
      <c r="C75" s="340"/>
      <c r="D75" s="311"/>
      <c r="E75" s="311"/>
      <c r="F75" s="311"/>
      <c r="G75" s="311"/>
      <c r="H75" s="311"/>
      <c r="I75" s="203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310"/>
      <c r="V75" s="311"/>
      <c r="W75" s="311"/>
      <c r="X75" s="167"/>
      <c r="Y75" s="167"/>
      <c r="Z75" s="167"/>
      <c r="AA75" s="167"/>
      <c r="AB75" s="167"/>
      <c r="AC75" s="168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474"/>
      <c r="AX75" s="137"/>
      <c r="AY75" s="168"/>
      <c r="AZ75" s="168"/>
      <c r="BA75" s="168"/>
      <c r="BB75" s="168"/>
      <c r="BC75" s="168"/>
      <c r="BD75" s="168"/>
      <c r="BE75" s="168"/>
      <c r="BF75" s="168"/>
    </row>
    <row r="76" spans="1:58" x14ac:dyDescent="0.25">
      <c r="A76" s="200"/>
      <c r="B76" s="204"/>
      <c r="C76" s="340"/>
      <c r="D76" s="311"/>
      <c r="E76" s="311"/>
      <c r="F76" s="311"/>
      <c r="G76" s="311"/>
      <c r="H76" s="311"/>
      <c r="I76" s="203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310"/>
      <c r="V76" s="311"/>
      <c r="W76" s="311"/>
      <c r="X76" s="167"/>
      <c r="Y76" s="167"/>
      <c r="Z76" s="167"/>
      <c r="AA76" s="167"/>
      <c r="AB76" s="167"/>
      <c r="AC76" s="168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474"/>
      <c r="AX76" s="137"/>
      <c r="AY76" s="168"/>
      <c r="AZ76" s="168"/>
      <c r="BA76" s="168"/>
      <c r="BB76" s="168"/>
      <c r="BC76" s="168"/>
      <c r="BD76" s="168"/>
      <c r="BE76" s="168"/>
      <c r="BF76" s="168"/>
    </row>
    <row r="77" spans="1:58" x14ac:dyDescent="0.25">
      <c r="A77" s="228"/>
      <c r="B77" s="510" t="s">
        <v>492</v>
      </c>
      <c r="C77" s="501"/>
      <c r="D77" s="501"/>
      <c r="E77" s="501"/>
      <c r="F77" s="501"/>
      <c r="G77" s="501"/>
      <c r="H77" s="502"/>
      <c r="I77" s="229">
        <f>SUM(I50:I70)</f>
        <v>125655.41999999998</v>
      </c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307">
        <f t="shared" ref="U77:AB77" si="111">SUM(U51:U76)</f>
        <v>0</v>
      </c>
      <c r="V77" s="184">
        <f t="shared" si="111"/>
        <v>10</v>
      </c>
      <c r="W77" s="184">
        <f t="shared" si="111"/>
        <v>10</v>
      </c>
      <c r="X77" s="235">
        <f t="shared" si="111"/>
        <v>92</v>
      </c>
      <c r="Y77" s="235">
        <f t="shared" si="111"/>
        <v>0</v>
      </c>
      <c r="Z77" s="235">
        <f t="shared" si="111"/>
        <v>13471.7</v>
      </c>
      <c r="AA77" s="235">
        <f t="shared" si="111"/>
        <v>13471.7</v>
      </c>
      <c r="AB77" s="235">
        <f t="shared" si="111"/>
        <v>112183.72</v>
      </c>
      <c r="AC77" s="308">
        <f>SUM(AC51:AC76)/COUNT(AC51:AC76)</f>
        <v>8.3333333333333329E-2</v>
      </c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474"/>
      <c r="AX77" s="137"/>
      <c r="AY77" s="308">
        <f t="shared" ref="AY77:BF77" si="112">SUM(AY51:AY76)/COUNT(AY51:AY76)</f>
        <v>0</v>
      </c>
      <c r="AZ77" s="308">
        <f t="shared" si="112"/>
        <v>0</v>
      </c>
      <c r="BA77" s="308">
        <f t="shared" si="112"/>
        <v>0</v>
      </c>
      <c r="BB77" s="308">
        <f t="shared" si="112"/>
        <v>0</v>
      </c>
      <c r="BC77" s="308">
        <f t="shared" si="112"/>
        <v>0</v>
      </c>
      <c r="BD77" s="308">
        <f t="shared" si="112"/>
        <v>0</v>
      </c>
      <c r="BE77" s="308">
        <f t="shared" si="112"/>
        <v>0</v>
      </c>
      <c r="BF77" s="308">
        <f t="shared" si="112"/>
        <v>0</v>
      </c>
    </row>
    <row r="78" spans="1:58" x14ac:dyDescent="0.25">
      <c r="A78" s="402"/>
      <c r="B78" s="534" t="s">
        <v>493</v>
      </c>
      <c r="C78" s="508"/>
      <c r="D78" s="508"/>
      <c r="E78" s="508"/>
      <c r="F78" s="508"/>
      <c r="G78" s="508"/>
      <c r="H78" s="491"/>
      <c r="I78" s="403">
        <f>SUM(I24,I29,I41,I49,I77)</f>
        <v>1214358.0961</v>
      </c>
      <c r="J78" s="137"/>
      <c r="K78" s="137"/>
      <c r="L78" s="137"/>
      <c r="M78" s="137"/>
      <c r="N78" s="137"/>
      <c r="O78" s="137"/>
      <c r="P78" s="137"/>
      <c r="Q78" s="137">
        <v>1</v>
      </c>
      <c r="R78" s="137">
        <v>2</v>
      </c>
      <c r="S78" s="137">
        <v>3</v>
      </c>
      <c r="T78" s="137"/>
      <c r="U78" s="404">
        <f t="shared" ref="U78:AB78" si="113">SUM(U77,U49,U41,U29,U24)</f>
        <v>0</v>
      </c>
      <c r="V78" s="405">
        <f t="shared" si="113"/>
        <v>573.49600000000009</v>
      </c>
      <c r="W78" s="405">
        <f t="shared" si="113"/>
        <v>573.49600000000009</v>
      </c>
      <c r="X78" s="247">
        <f t="shared" si="113"/>
        <v>1677.7239999999999</v>
      </c>
      <c r="Y78" s="247">
        <f t="shared" si="113"/>
        <v>0</v>
      </c>
      <c r="Z78" s="247">
        <f t="shared" si="113"/>
        <v>272628.65251500002</v>
      </c>
      <c r="AA78" s="247">
        <f t="shared" si="113"/>
        <v>272628.65251500002</v>
      </c>
      <c r="AB78" s="247">
        <f t="shared" si="113"/>
        <v>941729.443585</v>
      </c>
      <c r="AC78" s="406">
        <f>SUM(AC77,AC49,AC41,AC29,AC24)/5</f>
        <v>0.25250000000000006</v>
      </c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474"/>
      <c r="AX78" s="137"/>
      <c r="AY78" s="406">
        <f t="shared" ref="AY78:BF78" si="114">SUM(AY77,AY49,AY41,AY29,AY24)/5</f>
        <v>7.9500000000000001E-2</v>
      </c>
      <c r="AZ78" s="406">
        <f t="shared" si="114"/>
        <v>0.06</v>
      </c>
      <c r="BA78" s="406">
        <f t="shared" si="114"/>
        <v>0</v>
      </c>
      <c r="BB78" s="406">
        <f t="shared" si="114"/>
        <v>0</v>
      </c>
      <c r="BC78" s="406">
        <f t="shared" si="114"/>
        <v>0</v>
      </c>
      <c r="BD78" s="406">
        <f t="shared" si="114"/>
        <v>0</v>
      </c>
      <c r="BE78" s="406">
        <f t="shared" si="114"/>
        <v>0</v>
      </c>
      <c r="BF78" s="406">
        <f t="shared" si="114"/>
        <v>0</v>
      </c>
    </row>
    <row r="79" spans="1:58" x14ac:dyDescent="0.25">
      <c r="A79" s="132"/>
      <c r="B79" s="132"/>
      <c r="C79" s="359"/>
      <c r="D79" s="359"/>
      <c r="E79" s="359"/>
      <c r="F79" s="359"/>
      <c r="G79" s="359"/>
      <c r="H79" s="359"/>
      <c r="I79" s="359"/>
      <c r="J79" s="132"/>
      <c r="K79" s="137"/>
      <c r="L79" s="137"/>
      <c r="M79" s="137"/>
      <c r="N79" s="137"/>
      <c r="O79" s="137"/>
      <c r="P79" s="200" t="s">
        <v>445</v>
      </c>
      <c r="Q79" s="137">
        <v>18</v>
      </c>
      <c r="R79" s="137">
        <v>40</v>
      </c>
      <c r="S79" s="137">
        <v>35</v>
      </c>
      <c r="T79" s="137">
        <f t="shared" ref="T79:T81" si="115">SUM(Q79:S79)</f>
        <v>93</v>
      </c>
      <c r="U79" s="146"/>
      <c r="V79" s="146"/>
      <c r="W79" s="146"/>
      <c r="X79" s="250"/>
      <c r="Y79" s="250"/>
      <c r="Z79" s="250"/>
      <c r="AA79" s="250"/>
      <c r="AB79" s="250"/>
      <c r="AC79" s="251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474"/>
      <c r="AX79" s="137"/>
      <c r="AY79" s="137"/>
      <c r="AZ79" s="137"/>
      <c r="BA79" s="137"/>
      <c r="BB79" s="137"/>
      <c r="BC79" s="137"/>
      <c r="BD79" s="137"/>
      <c r="BE79" s="137"/>
      <c r="BF79" s="137"/>
    </row>
    <row r="80" spans="1:58" x14ac:dyDescent="0.25">
      <c r="A80" s="132"/>
      <c r="B80" s="132"/>
      <c r="C80" s="359"/>
      <c r="D80" s="359"/>
      <c r="E80" s="359"/>
      <c r="F80" s="359"/>
      <c r="G80" s="359"/>
      <c r="H80" s="359"/>
      <c r="I80" s="359"/>
      <c r="J80" s="132"/>
      <c r="K80" s="137"/>
      <c r="L80" s="137"/>
      <c r="M80" s="137"/>
      <c r="N80" s="137"/>
      <c r="O80" s="137"/>
      <c r="P80" s="200" t="s">
        <v>494</v>
      </c>
      <c r="Q80" s="137"/>
      <c r="R80" s="137"/>
      <c r="S80" s="137"/>
      <c r="T80" s="137">
        <f t="shared" si="115"/>
        <v>0</v>
      </c>
      <c r="U80" s="146"/>
      <c r="V80" s="146"/>
      <c r="W80" s="146"/>
      <c r="X80" s="250"/>
      <c r="Y80" s="250"/>
      <c r="Z80" s="250"/>
      <c r="AA80" s="250"/>
      <c r="AB80" s="250"/>
      <c r="AC80" s="251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474"/>
      <c r="AX80" s="137"/>
      <c r="AY80" s="137"/>
      <c r="AZ80" s="137"/>
      <c r="BA80" s="137"/>
      <c r="BB80" s="137"/>
      <c r="BC80" s="137"/>
      <c r="BD80" s="137"/>
      <c r="BE80" s="137"/>
      <c r="BF80" s="137"/>
    </row>
    <row r="81" spans="1:58" x14ac:dyDescent="0.25">
      <c r="A81" s="132"/>
      <c r="B81" s="132"/>
      <c r="C81" s="359"/>
      <c r="D81" s="359"/>
      <c r="E81" s="359"/>
      <c r="F81" s="359"/>
      <c r="G81" s="359"/>
      <c r="H81" s="359"/>
      <c r="I81" s="359"/>
      <c r="J81" s="132"/>
      <c r="K81" s="137"/>
      <c r="L81" s="137"/>
      <c r="M81" s="137"/>
      <c r="N81" s="137"/>
      <c r="O81" s="137"/>
      <c r="P81" s="200" t="s">
        <v>453</v>
      </c>
      <c r="Q81" s="137">
        <v>3</v>
      </c>
      <c r="R81" s="137">
        <v>7</v>
      </c>
      <c r="S81" s="137">
        <v>4</v>
      </c>
      <c r="T81" s="137">
        <f t="shared" si="115"/>
        <v>14</v>
      </c>
      <c r="U81" s="146"/>
      <c r="V81" s="146"/>
      <c r="W81" s="146"/>
      <c r="X81" s="250"/>
      <c r="Y81" s="250"/>
      <c r="Z81" s="250"/>
      <c r="AA81" s="250"/>
      <c r="AB81" s="250"/>
      <c r="AC81" s="251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474"/>
      <c r="AX81" s="137"/>
      <c r="AY81" s="137"/>
      <c r="AZ81" s="137"/>
      <c r="BA81" s="137"/>
      <c r="BB81" s="137"/>
      <c r="BC81" s="137"/>
      <c r="BD81" s="137"/>
      <c r="BE81" s="137"/>
      <c r="BF81" s="137"/>
    </row>
  </sheetData>
  <mergeCells count="15">
    <mergeCell ref="AE17:AL17"/>
    <mergeCell ref="AN17:AU17"/>
    <mergeCell ref="U18:X18"/>
    <mergeCell ref="Y18:AB18"/>
    <mergeCell ref="AY18:BF18"/>
    <mergeCell ref="B49:H49"/>
    <mergeCell ref="B77:H77"/>
    <mergeCell ref="B78:H78"/>
    <mergeCell ref="B14:H14"/>
    <mergeCell ref="B15:H15"/>
    <mergeCell ref="B16:H16"/>
    <mergeCell ref="B19:H19"/>
    <mergeCell ref="B24:H24"/>
    <mergeCell ref="B29:H29"/>
    <mergeCell ref="B41:H41"/>
  </mergeCells>
  <pageMargins left="0.7" right="0.7" top="0.75" bottom="0.75" header="0" footer="0"/>
  <pageSetup paperSize="5" scale="75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FF"/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1" max="1" width="25.6640625" customWidth="1"/>
    <col min="2" max="2" width="37.88671875" customWidth="1"/>
    <col min="3" max="3" width="12.6640625" customWidth="1"/>
    <col min="4" max="4" width="17.88671875" customWidth="1"/>
    <col min="5" max="5" width="12.6640625" customWidth="1"/>
    <col min="6" max="6" width="15.6640625" customWidth="1"/>
    <col min="11" max="11" width="13.77734375" customWidth="1"/>
  </cols>
  <sheetData>
    <row r="1" spans="1:26" ht="15.75" customHeight="1" x14ac:dyDescent="0.25">
      <c r="A1" s="274"/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</row>
    <row r="2" spans="1:26" ht="15.75" customHeight="1" x14ac:dyDescent="0.25">
      <c r="A2" s="274"/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</row>
    <row r="3" spans="1:26" ht="15.75" customHeight="1" x14ac:dyDescent="0.25">
      <c r="A3" s="274"/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</row>
    <row r="4" spans="1:26" ht="15.75" customHeight="1" x14ac:dyDescent="0.25">
      <c r="A4" s="274"/>
      <c r="B4" s="274"/>
      <c r="C4" s="274"/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</row>
    <row r="5" spans="1:26" ht="15.75" customHeight="1" x14ac:dyDescent="0.25">
      <c r="A5" s="274"/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</row>
    <row r="6" spans="1:26" ht="15.75" customHeight="1" x14ac:dyDescent="0.25">
      <c r="A6" s="274"/>
      <c r="B6" s="274"/>
      <c r="C6" s="274"/>
      <c r="D6" s="274"/>
      <c r="E6" s="274"/>
      <c r="F6" s="274"/>
      <c r="G6" s="274"/>
      <c r="H6" s="274"/>
      <c r="I6" s="274"/>
      <c r="J6" s="274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</row>
    <row r="7" spans="1:26" ht="15.75" customHeight="1" x14ac:dyDescent="0.25">
      <c r="A7" s="407" t="s">
        <v>495</v>
      </c>
      <c r="B7" s="407" t="s">
        <v>496</v>
      </c>
      <c r="C7" s="407" t="s">
        <v>497</v>
      </c>
      <c r="D7" s="407" t="s">
        <v>498</v>
      </c>
      <c r="E7" s="407" t="s">
        <v>499</v>
      </c>
      <c r="F7" s="407" t="s">
        <v>500</v>
      </c>
      <c r="G7" s="407" t="s">
        <v>501</v>
      </c>
      <c r="H7" s="407" t="s">
        <v>502</v>
      </c>
      <c r="I7" s="274"/>
      <c r="J7" s="274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</row>
    <row r="8" spans="1:26" ht="15.75" customHeight="1" x14ac:dyDescent="0.25">
      <c r="A8" s="274"/>
      <c r="B8" s="408" t="s">
        <v>112</v>
      </c>
      <c r="C8" s="409">
        <v>200</v>
      </c>
      <c r="D8" s="274">
        <f t="shared" ref="D8:D18" si="0">C8*$J$11+G8</f>
        <v>250.00000000000003</v>
      </c>
      <c r="E8" s="410">
        <v>300</v>
      </c>
      <c r="F8" s="274">
        <f t="shared" ref="F8:F18" si="1">E8*$J$12+H8</f>
        <v>350</v>
      </c>
      <c r="G8" s="409">
        <v>30</v>
      </c>
      <c r="H8" s="410">
        <v>20</v>
      </c>
      <c r="I8" s="274"/>
      <c r="J8" s="274"/>
      <c r="K8" s="274"/>
      <c r="L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</row>
    <row r="9" spans="1:26" ht="15.75" customHeight="1" x14ac:dyDescent="0.25">
      <c r="A9" s="274"/>
      <c r="B9" s="408" t="s">
        <v>113</v>
      </c>
      <c r="C9" s="409">
        <v>115</v>
      </c>
      <c r="D9" s="274">
        <f t="shared" si="0"/>
        <v>126.50000000000001</v>
      </c>
      <c r="E9" s="410">
        <f t="shared" ref="E9:E10" si="2">C9/2</f>
        <v>57.5</v>
      </c>
      <c r="F9" s="274">
        <f t="shared" si="1"/>
        <v>70</v>
      </c>
      <c r="G9" s="409"/>
      <c r="H9" s="410">
        <v>6.75</v>
      </c>
      <c r="I9" s="274"/>
      <c r="J9" s="274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</row>
    <row r="10" spans="1:26" ht="15.75" customHeight="1" x14ac:dyDescent="0.25">
      <c r="A10" s="274"/>
      <c r="B10" s="408" t="s">
        <v>115</v>
      </c>
      <c r="C10" s="409">
        <v>115</v>
      </c>
      <c r="D10" s="274">
        <f t="shared" si="0"/>
        <v>126.50000000000001</v>
      </c>
      <c r="E10" s="410">
        <f t="shared" si="2"/>
        <v>57.5</v>
      </c>
      <c r="F10" s="274">
        <f t="shared" si="1"/>
        <v>70</v>
      </c>
      <c r="G10" s="409"/>
      <c r="H10" s="410">
        <v>6.75</v>
      </c>
      <c r="I10" s="274"/>
      <c r="J10" s="274"/>
      <c r="K10" s="274"/>
      <c r="L10" s="274"/>
      <c r="M10" s="274"/>
      <c r="N10" s="274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</row>
    <row r="11" spans="1:26" ht="15.75" customHeight="1" x14ac:dyDescent="0.25">
      <c r="A11" s="274"/>
      <c r="B11" s="408" t="s">
        <v>117</v>
      </c>
      <c r="C11" s="409">
        <v>25</v>
      </c>
      <c r="D11" s="274">
        <f t="shared" si="0"/>
        <v>30.000000000000004</v>
      </c>
      <c r="E11" s="410">
        <v>15</v>
      </c>
      <c r="F11" s="274">
        <f t="shared" si="1"/>
        <v>20</v>
      </c>
      <c r="G11" s="409">
        <v>2.5</v>
      </c>
      <c r="H11" s="410">
        <v>3.5</v>
      </c>
      <c r="I11" s="274"/>
      <c r="J11" s="411">
        <v>1.1000000000000001</v>
      </c>
      <c r="K11" s="412" t="s">
        <v>503</v>
      </c>
      <c r="L11" s="413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</row>
    <row r="12" spans="1:26" ht="15.75" customHeight="1" x14ac:dyDescent="0.25">
      <c r="A12" s="274"/>
      <c r="B12" s="408" t="s">
        <v>119</v>
      </c>
      <c r="C12" s="409">
        <v>5</v>
      </c>
      <c r="D12" s="274">
        <f t="shared" si="0"/>
        <v>10</v>
      </c>
      <c r="E12" s="410">
        <v>15</v>
      </c>
      <c r="F12" s="274">
        <f t="shared" si="1"/>
        <v>20</v>
      </c>
      <c r="G12" s="409">
        <v>4.5</v>
      </c>
      <c r="H12" s="410">
        <v>3.5</v>
      </c>
      <c r="I12" s="274"/>
      <c r="J12" s="411">
        <v>1.1000000000000001</v>
      </c>
      <c r="K12" s="412" t="s">
        <v>504</v>
      </c>
      <c r="L12" s="413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</row>
    <row r="13" spans="1:26" ht="15.75" customHeight="1" x14ac:dyDescent="0.25">
      <c r="A13" s="274"/>
      <c r="B13" s="408" t="s">
        <v>120</v>
      </c>
      <c r="C13" s="409">
        <v>100</v>
      </c>
      <c r="D13" s="274">
        <f t="shared" si="0"/>
        <v>110.00000000000001</v>
      </c>
      <c r="E13" s="410">
        <f>C13/2</f>
        <v>50</v>
      </c>
      <c r="F13" s="274">
        <f t="shared" si="1"/>
        <v>60.000000000000007</v>
      </c>
      <c r="G13" s="409"/>
      <c r="H13" s="410">
        <v>5</v>
      </c>
      <c r="I13" s="274"/>
      <c r="J13" s="412">
        <v>0.5</v>
      </c>
      <c r="K13" s="412" t="s">
        <v>505</v>
      </c>
      <c r="L13" s="413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</row>
    <row r="14" spans="1:26" ht="15.75" customHeight="1" x14ac:dyDescent="0.25">
      <c r="A14" s="274"/>
      <c r="B14" s="408" t="s">
        <v>124</v>
      </c>
      <c r="C14" s="409">
        <v>200</v>
      </c>
      <c r="D14" s="274">
        <f t="shared" si="0"/>
        <v>250.00000000000003</v>
      </c>
      <c r="E14" s="410">
        <v>300</v>
      </c>
      <c r="F14" s="274">
        <f t="shared" si="1"/>
        <v>350</v>
      </c>
      <c r="G14" s="409">
        <v>30</v>
      </c>
      <c r="H14" s="410">
        <v>20</v>
      </c>
      <c r="I14" s="274"/>
      <c r="J14" s="413"/>
      <c r="K14" s="413"/>
      <c r="L14" s="413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</row>
    <row r="15" spans="1:26" ht="15.75" customHeight="1" x14ac:dyDescent="0.25">
      <c r="A15" s="274"/>
      <c r="B15" s="408" t="s">
        <v>506</v>
      </c>
      <c r="C15" s="409">
        <v>200</v>
      </c>
      <c r="D15" s="274">
        <f t="shared" si="0"/>
        <v>250.00000000000003</v>
      </c>
      <c r="E15" s="410">
        <v>300</v>
      </c>
      <c r="F15" s="274">
        <f t="shared" si="1"/>
        <v>350</v>
      </c>
      <c r="G15" s="409">
        <v>30</v>
      </c>
      <c r="H15" s="410">
        <v>20</v>
      </c>
      <c r="I15" s="274"/>
      <c r="J15" s="274">
        <v>0.4</v>
      </c>
      <c r="K15" s="274" t="s">
        <v>507</v>
      </c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4"/>
      <c r="Z15" s="274"/>
    </row>
    <row r="16" spans="1:26" ht="15.75" customHeight="1" x14ac:dyDescent="0.25">
      <c r="A16" s="274"/>
      <c r="B16" s="408" t="s">
        <v>508</v>
      </c>
      <c r="C16" s="409">
        <v>100</v>
      </c>
      <c r="D16" s="274">
        <f t="shared" si="0"/>
        <v>110.00000000000001</v>
      </c>
      <c r="E16" s="410">
        <v>15</v>
      </c>
      <c r="F16" s="274">
        <f t="shared" si="1"/>
        <v>20</v>
      </c>
      <c r="G16" s="409"/>
      <c r="H16" s="410">
        <v>3.5</v>
      </c>
      <c r="I16" s="274"/>
      <c r="J16" s="274"/>
      <c r="K16" s="274"/>
      <c r="L16" s="274"/>
      <c r="M16" s="274"/>
      <c r="N16" s="274"/>
      <c r="O16" s="274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</row>
    <row r="17" spans="1:26" ht="15.75" customHeight="1" x14ac:dyDescent="0.25">
      <c r="A17" s="274"/>
      <c r="B17" s="408" t="s">
        <v>509</v>
      </c>
      <c r="C17" s="409">
        <v>100</v>
      </c>
      <c r="D17" s="274">
        <f t="shared" si="0"/>
        <v>110.00000000000001</v>
      </c>
      <c r="E17" s="410">
        <v>15</v>
      </c>
      <c r="F17" s="274">
        <f t="shared" si="1"/>
        <v>20</v>
      </c>
      <c r="G17" s="409"/>
      <c r="H17" s="410">
        <v>3.5</v>
      </c>
      <c r="I17" s="274"/>
      <c r="J17" s="274"/>
      <c r="K17" s="274"/>
      <c r="L17" s="274"/>
      <c r="M17" s="274"/>
      <c r="N17" s="274"/>
      <c r="O17" s="274"/>
      <c r="P17" s="274"/>
      <c r="Q17" s="274"/>
      <c r="R17" s="274"/>
      <c r="S17" s="274"/>
      <c r="T17" s="274"/>
      <c r="U17" s="274"/>
      <c r="V17" s="274"/>
      <c r="W17" s="274"/>
      <c r="X17" s="274"/>
      <c r="Y17" s="274"/>
      <c r="Z17" s="274"/>
    </row>
    <row r="18" spans="1:26" ht="15.75" customHeight="1" x14ac:dyDescent="0.25">
      <c r="A18" s="274"/>
      <c r="B18" s="408" t="s">
        <v>510</v>
      </c>
      <c r="C18" s="409">
        <v>200</v>
      </c>
      <c r="D18" s="274">
        <f t="shared" si="0"/>
        <v>250.00000000000003</v>
      </c>
      <c r="E18" s="410">
        <v>300</v>
      </c>
      <c r="F18" s="274">
        <f t="shared" si="1"/>
        <v>350</v>
      </c>
      <c r="G18" s="409">
        <v>30</v>
      </c>
      <c r="H18" s="410">
        <v>20</v>
      </c>
      <c r="I18" s="274"/>
      <c r="J18" s="274"/>
      <c r="K18" s="274"/>
      <c r="L18" s="274"/>
      <c r="M18" s="274"/>
      <c r="N18" s="274"/>
      <c r="O18" s="274"/>
      <c r="P18" s="274"/>
      <c r="Q18" s="274"/>
      <c r="R18" s="274"/>
      <c r="S18" s="274"/>
      <c r="T18" s="274"/>
      <c r="U18" s="274"/>
      <c r="V18" s="274"/>
      <c r="W18" s="274"/>
      <c r="X18" s="274"/>
      <c r="Y18" s="274"/>
      <c r="Z18" s="274"/>
    </row>
    <row r="19" spans="1:26" ht="15.75" customHeight="1" x14ac:dyDescent="0.25">
      <c r="A19" s="274"/>
      <c r="B19" s="408"/>
      <c r="C19" s="409"/>
      <c r="D19" s="274"/>
      <c r="E19" s="410"/>
      <c r="F19" s="274"/>
      <c r="G19" s="409"/>
      <c r="H19" s="410"/>
      <c r="I19" s="274"/>
      <c r="J19" s="274"/>
      <c r="K19" s="274"/>
      <c r="L19" s="274"/>
      <c r="M19" s="274"/>
      <c r="N19" s="274"/>
      <c r="O19" s="274">
        <v>2.98</v>
      </c>
      <c r="P19" s="274"/>
      <c r="Q19" s="274"/>
      <c r="R19" s="274"/>
      <c r="S19" s="274"/>
      <c r="T19" s="274"/>
      <c r="U19" s="274"/>
      <c r="V19" s="274"/>
      <c r="W19" s="274"/>
      <c r="X19" s="274"/>
      <c r="Y19" s="274"/>
      <c r="Z19" s="274"/>
    </row>
    <row r="20" spans="1:26" ht="15.75" customHeight="1" x14ac:dyDescent="0.25">
      <c r="A20" s="274"/>
      <c r="B20" s="4" t="s">
        <v>266</v>
      </c>
      <c r="C20" s="414">
        <v>500</v>
      </c>
      <c r="D20" s="274">
        <f t="shared" ref="D20:D37" si="3">C20*$J$11+G20</f>
        <v>555</v>
      </c>
      <c r="E20" s="410">
        <f t="shared" ref="E20:E27" si="4">C20*$J$13</f>
        <v>250</v>
      </c>
      <c r="F20" s="274">
        <f t="shared" ref="F20:F37" si="5">E20*$J$12+H20</f>
        <v>300</v>
      </c>
      <c r="G20" s="409">
        <v>5</v>
      </c>
      <c r="H20" s="410">
        <v>25</v>
      </c>
      <c r="I20" s="274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</row>
    <row r="21" spans="1:26" ht="15.75" customHeight="1" x14ac:dyDescent="0.25">
      <c r="A21" s="274"/>
      <c r="B21" s="4" t="s">
        <v>511</v>
      </c>
      <c r="C21" s="414">
        <v>520</v>
      </c>
      <c r="D21" s="274">
        <f t="shared" si="3"/>
        <v>576</v>
      </c>
      <c r="E21" s="410">
        <f t="shared" si="4"/>
        <v>260</v>
      </c>
      <c r="F21" s="274">
        <f t="shared" si="5"/>
        <v>300</v>
      </c>
      <c r="G21" s="409">
        <v>4</v>
      </c>
      <c r="H21" s="410">
        <v>14</v>
      </c>
      <c r="I21" s="274"/>
      <c r="J21" s="274"/>
      <c r="K21" s="274"/>
      <c r="L21" s="274" t="s">
        <v>511</v>
      </c>
      <c r="M21" s="274"/>
      <c r="N21" s="274">
        <v>1530</v>
      </c>
      <c r="O21" s="274">
        <f t="shared" ref="O21:O22" si="6">ROUNDUP(N21/$O$19,0)</f>
        <v>514</v>
      </c>
      <c r="P21" s="274"/>
      <c r="Q21" s="274"/>
      <c r="R21" s="274"/>
      <c r="S21" s="274"/>
      <c r="T21" s="274"/>
      <c r="U21" s="274"/>
      <c r="V21" s="274"/>
      <c r="W21" s="274"/>
      <c r="X21" s="274"/>
      <c r="Y21" s="274"/>
      <c r="Z21" s="274"/>
    </row>
    <row r="22" spans="1:26" ht="15.75" customHeight="1" x14ac:dyDescent="0.25">
      <c r="A22" s="274"/>
      <c r="B22" s="4" t="s">
        <v>268</v>
      </c>
      <c r="C22" s="414">
        <v>800</v>
      </c>
      <c r="D22" s="274">
        <f t="shared" si="3"/>
        <v>880.00000000000011</v>
      </c>
      <c r="E22" s="410">
        <f t="shared" si="4"/>
        <v>400</v>
      </c>
      <c r="F22" s="274">
        <f t="shared" si="5"/>
        <v>450.00000000000006</v>
      </c>
      <c r="G22" s="409"/>
      <c r="H22" s="410">
        <v>10</v>
      </c>
      <c r="I22" s="274"/>
      <c r="J22" s="274"/>
      <c r="K22" s="274"/>
      <c r="L22" s="274" t="s">
        <v>512</v>
      </c>
      <c r="M22" s="274"/>
      <c r="N22" s="274">
        <v>820</v>
      </c>
      <c r="O22" s="274">
        <f t="shared" si="6"/>
        <v>276</v>
      </c>
      <c r="P22" s="274"/>
      <c r="Q22" s="274"/>
      <c r="R22" s="274"/>
      <c r="S22" s="274"/>
      <c r="T22" s="274"/>
      <c r="U22" s="274"/>
      <c r="V22" s="274"/>
      <c r="W22" s="274"/>
      <c r="X22" s="274"/>
      <c r="Y22" s="274"/>
      <c r="Z22" s="274"/>
    </row>
    <row r="23" spans="1:26" ht="15.75" customHeight="1" x14ac:dyDescent="0.25">
      <c r="A23" s="274"/>
      <c r="B23" s="4" t="s">
        <v>512</v>
      </c>
      <c r="C23" s="414">
        <v>300</v>
      </c>
      <c r="D23" s="274">
        <f t="shared" si="3"/>
        <v>330</v>
      </c>
      <c r="E23" s="410">
        <f t="shared" si="4"/>
        <v>150</v>
      </c>
      <c r="F23" s="274">
        <f t="shared" si="5"/>
        <v>165</v>
      </c>
      <c r="G23" s="409"/>
      <c r="H23" s="410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4"/>
      <c r="W23" s="274"/>
      <c r="X23" s="274"/>
      <c r="Y23" s="274"/>
      <c r="Z23" s="274"/>
    </row>
    <row r="24" spans="1:26" ht="15.75" customHeight="1" x14ac:dyDescent="0.25">
      <c r="A24" s="274"/>
      <c r="B24" s="4" t="s">
        <v>270</v>
      </c>
      <c r="C24" s="414">
        <v>200</v>
      </c>
      <c r="D24" s="274">
        <f t="shared" si="3"/>
        <v>220.00000000000003</v>
      </c>
      <c r="E24" s="410">
        <f t="shared" si="4"/>
        <v>100</v>
      </c>
      <c r="F24" s="274">
        <f t="shared" si="5"/>
        <v>110.00000000000001</v>
      </c>
      <c r="G24" s="409"/>
      <c r="H24" s="410"/>
      <c r="I24" s="274"/>
      <c r="J24" s="274"/>
      <c r="K24" s="274"/>
      <c r="L24" s="274"/>
      <c r="M24" s="274"/>
      <c r="N24" s="274"/>
      <c r="O24" s="274"/>
      <c r="P24" s="274"/>
      <c r="Q24" s="274"/>
      <c r="R24" s="274"/>
      <c r="S24" s="274"/>
      <c r="T24" s="274"/>
      <c r="U24" s="274"/>
      <c r="V24" s="274"/>
      <c r="W24" s="274"/>
      <c r="X24" s="274"/>
      <c r="Y24" s="274"/>
      <c r="Z24" s="274"/>
    </row>
    <row r="25" spans="1:26" ht="15.75" customHeight="1" x14ac:dyDescent="0.25">
      <c r="A25" s="274"/>
      <c r="B25" s="4" t="s">
        <v>271</v>
      </c>
      <c r="C25" s="414">
        <v>500</v>
      </c>
      <c r="D25" s="274">
        <f t="shared" si="3"/>
        <v>555</v>
      </c>
      <c r="E25" s="410">
        <f t="shared" si="4"/>
        <v>250</v>
      </c>
      <c r="F25" s="274">
        <f t="shared" si="5"/>
        <v>275</v>
      </c>
      <c r="G25" s="409">
        <v>5</v>
      </c>
      <c r="H25" s="410"/>
      <c r="I25" s="274"/>
      <c r="J25" s="274"/>
      <c r="K25" s="274"/>
      <c r="L25" s="274"/>
      <c r="M25" s="274"/>
      <c r="N25" s="274"/>
      <c r="O25" s="274"/>
      <c r="P25" s="274"/>
      <c r="Q25" s="274"/>
      <c r="R25" s="274"/>
      <c r="S25" s="274"/>
      <c r="T25" s="274"/>
      <c r="U25" s="274"/>
      <c r="V25" s="274"/>
      <c r="W25" s="274"/>
      <c r="X25" s="274"/>
      <c r="Y25" s="274"/>
      <c r="Z25" s="274"/>
    </row>
    <row r="26" spans="1:26" ht="15.75" customHeight="1" x14ac:dyDescent="0.25">
      <c r="A26" s="274"/>
      <c r="B26" s="4" t="s">
        <v>275</v>
      </c>
      <c r="C26" s="409">
        <v>500</v>
      </c>
      <c r="D26" s="274">
        <f t="shared" si="3"/>
        <v>555</v>
      </c>
      <c r="E26" s="410">
        <f t="shared" si="4"/>
        <v>250</v>
      </c>
      <c r="F26" s="274">
        <f t="shared" si="5"/>
        <v>275</v>
      </c>
      <c r="G26" s="409">
        <v>5</v>
      </c>
      <c r="H26" s="410"/>
      <c r="I26" s="274"/>
      <c r="J26" s="274"/>
      <c r="K26" s="274"/>
      <c r="L26" s="274"/>
      <c r="M26" s="274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</row>
    <row r="27" spans="1:26" ht="15.75" customHeight="1" x14ac:dyDescent="0.25">
      <c r="A27" s="274"/>
      <c r="B27" s="4" t="s">
        <v>278</v>
      </c>
      <c r="C27" s="409">
        <v>6000</v>
      </c>
      <c r="D27" s="274">
        <f t="shared" si="3"/>
        <v>6600.0000000000009</v>
      </c>
      <c r="E27" s="410">
        <f t="shared" si="4"/>
        <v>3000</v>
      </c>
      <c r="F27" s="274">
        <f t="shared" si="5"/>
        <v>3300.0000000000005</v>
      </c>
      <c r="G27" s="409"/>
      <c r="H27" s="410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</row>
    <row r="28" spans="1:26" ht="15.75" customHeight="1" x14ac:dyDescent="0.25">
      <c r="A28" s="274"/>
      <c r="B28" s="408" t="s">
        <v>310</v>
      </c>
      <c r="C28" s="409">
        <v>2400</v>
      </c>
      <c r="D28" s="274">
        <f t="shared" si="3"/>
        <v>2640</v>
      </c>
      <c r="E28" s="410">
        <f>D28*0.3</f>
        <v>792</v>
      </c>
      <c r="F28" s="274">
        <f t="shared" si="5"/>
        <v>880</v>
      </c>
      <c r="G28" s="409"/>
      <c r="H28" s="410">
        <v>8.8000000000000007</v>
      </c>
      <c r="I28" s="274"/>
      <c r="J28" s="274"/>
      <c r="K28" s="274"/>
      <c r="L28" s="274"/>
      <c r="M28" s="274"/>
      <c r="N28" s="274"/>
      <c r="O28" s="274"/>
      <c r="P28" s="274"/>
      <c r="Q28" s="274"/>
      <c r="R28" s="274"/>
      <c r="S28" s="274"/>
      <c r="T28" s="274"/>
      <c r="U28" s="274"/>
      <c r="V28" s="274"/>
      <c r="W28" s="274"/>
      <c r="X28" s="274"/>
      <c r="Y28" s="274"/>
      <c r="Z28" s="274"/>
    </row>
    <row r="29" spans="1:26" ht="15.75" customHeight="1" x14ac:dyDescent="0.25">
      <c r="A29" s="274"/>
      <c r="B29" s="408" t="s">
        <v>286</v>
      </c>
      <c r="C29" s="409">
        <v>680</v>
      </c>
      <c r="D29" s="274">
        <f t="shared" si="3"/>
        <v>748.00000000000011</v>
      </c>
      <c r="E29" s="410">
        <f t="shared" ref="E29:E37" si="7">C29*$J$13</f>
        <v>340</v>
      </c>
      <c r="F29" s="274">
        <f t="shared" si="5"/>
        <v>380.00000000000006</v>
      </c>
      <c r="G29" s="409"/>
      <c r="H29" s="410">
        <v>6</v>
      </c>
      <c r="I29" s="274"/>
      <c r="J29" s="274"/>
      <c r="K29" s="274"/>
      <c r="L29" s="274"/>
      <c r="M29" s="274"/>
      <c r="N29" s="274"/>
      <c r="O29" s="274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</row>
    <row r="30" spans="1:26" ht="15.75" customHeight="1" x14ac:dyDescent="0.25">
      <c r="A30" s="274"/>
      <c r="B30" s="408" t="s">
        <v>285</v>
      </c>
      <c r="C30" s="409">
        <v>63.8</v>
      </c>
      <c r="D30" s="274">
        <f t="shared" si="3"/>
        <v>70.180000000000007</v>
      </c>
      <c r="E30" s="410">
        <f t="shared" si="7"/>
        <v>31.9</v>
      </c>
      <c r="F30" s="274">
        <f t="shared" si="5"/>
        <v>35.090000000000003</v>
      </c>
      <c r="G30" s="409"/>
      <c r="H30" s="410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</row>
    <row r="31" spans="1:26" ht="15.75" customHeight="1" x14ac:dyDescent="0.25">
      <c r="A31" s="274"/>
      <c r="B31" s="408" t="s">
        <v>289</v>
      </c>
      <c r="C31" s="409">
        <v>250</v>
      </c>
      <c r="D31" s="274">
        <f t="shared" si="3"/>
        <v>275</v>
      </c>
      <c r="E31" s="410">
        <f t="shared" si="7"/>
        <v>125</v>
      </c>
      <c r="F31" s="274">
        <f t="shared" si="5"/>
        <v>140</v>
      </c>
      <c r="G31" s="409"/>
      <c r="H31" s="410">
        <v>2.5</v>
      </c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</row>
    <row r="32" spans="1:26" ht="15.75" customHeight="1" x14ac:dyDescent="0.25">
      <c r="A32" s="274"/>
      <c r="B32" s="408" t="s">
        <v>288</v>
      </c>
      <c r="C32" s="409">
        <v>50</v>
      </c>
      <c r="D32" s="274">
        <f t="shared" si="3"/>
        <v>55.000000000000007</v>
      </c>
      <c r="E32" s="410">
        <f t="shared" si="7"/>
        <v>25</v>
      </c>
      <c r="F32" s="274">
        <f t="shared" si="5"/>
        <v>30.000000000000004</v>
      </c>
      <c r="G32" s="409"/>
      <c r="H32" s="410">
        <v>2.5</v>
      </c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</row>
    <row r="33" spans="1:26" ht="15.75" customHeight="1" x14ac:dyDescent="0.25">
      <c r="A33" s="274"/>
      <c r="B33" s="4" t="s">
        <v>296</v>
      </c>
      <c r="C33" s="409">
        <v>300</v>
      </c>
      <c r="D33" s="274">
        <f t="shared" si="3"/>
        <v>330</v>
      </c>
      <c r="E33" s="410">
        <f t="shared" si="7"/>
        <v>150</v>
      </c>
      <c r="F33" s="274">
        <f t="shared" si="5"/>
        <v>165</v>
      </c>
      <c r="G33" s="409"/>
      <c r="H33" s="410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</row>
    <row r="34" spans="1:26" ht="15.75" customHeight="1" x14ac:dyDescent="0.25">
      <c r="A34" s="274"/>
      <c r="B34" s="408" t="s">
        <v>513</v>
      </c>
      <c r="C34" s="409">
        <v>1150</v>
      </c>
      <c r="D34" s="274">
        <f t="shared" si="3"/>
        <v>1265</v>
      </c>
      <c r="E34" s="410">
        <f t="shared" si="7"/>
        <v>575</v>
      </c>
      <c r="F34" s="274">
        <f t="shared" si="5"/>
        <v>640</v>
      </c>
      <c r="G34" s="409"/>
      <c r="H34" s="410">
        <v>7.5</v>
      </c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</row>
    <row r="35" spans="1:26" ht="15.75" customHeight="1" x14ac:dyDescent="0.25">
      <c r="A35" s="274"/>
      <c r="B35" s="408" t="s">
        <v>305</v>
      </c>
      <c r="C35" s="409">
        <v>63.8</v>
      </c>
      <c r="D35" s="274">
        <f t="shared" si="3"/>
        <v>70.180000000000007</v>
      </c>
      <c r="E35" s="410">
        <f t="shared" si="7"/>
        <v>31.9</v>
      </c>
      <c r="F35" s="274">
        <f t="shared" si="5"/>
        <v>35.090000000000003</v>
      </c>
      <c r="G35" s="409"/>
      <c r="H35" s="410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</row>
    <row r="36" spans="1:26" ht="15.75" customHeight="1" x14ac:dyDescent="0.25">
      <c r="A36" s="274"/>
      <c r="B36" s="408" t="s">
        <v>514</v>
      </c>
      <c r="C36" s="409">
        <v>500</v>
      </c>
      <c r="D36" s="274">
        <f t="shared" si="3"/>
        <v>550</v>
      </c>
      <c r="E36" s="410">
        <f t="shared" si="7"/>
        <v>250</v>
      </c>
      <c r="F36" s="274">
        <f t="shared" si="5"/>
        <v>275</v>
      </c>
      <c r="G36" s="409"/>
      <c r="H36" s="410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</row>
    <row r="37" spans="1:26" ht="15.75" customHeight="1" x14ac:dyDescent="0.25">
      <c r="A37" s="274"/>
      <c r="B37" s="408" t="s">
        <v>325</v>
      </c>
      <c r="C37" s="409">
        <v>6000</v>
      </c>
      <c r="D37" s="274">
        <f t="shared" si="3"/>
        <v>6600.0000000000009</v>
      </c>
      <c r="E37" s="410">
        <f t="shared" si="7"/>
        <v>3000</v>
      </c>
      <c r="F37" s="274">
        <f t="shared" si="5"/>
        <v>3300.0000000000005</v>
      </c>
      <c r="G37" s="409"/>
      <c r="H37" s="410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</row>
    <row r="38" spans="1:26" ht="15.75" customHeight="1" x14ac:dyDescent="0.25">
      <c r="A38" s="274"/>
      <c r="B38" s="408"/>
      <c r="C38" s="409"/>
      <c r="D38" s="274"/>
      <c r="E38" s="410"/>
      <c r="F38" s="274"/>
      <c r="G38" s="409"/>
      <c r="H38" s="410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</row>
    <row r="39" spans="1:26" ht="15.75" customHeight="1" x14ac:dyDescent="0.25">
      <c r="A39" s="274"/>
      <c r="B39" s="408"/>
      <c r="C39" s="409"/>
      <c r="D39" s="274"/>
      <c r="E39" s="410"/>
      <c r="F39" s="274"/>
      <c r="G39" s="409"/>
      <c r="H39" s="410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</row>
    <row r="40" spans="1:26" ht="15.75" customHeight="1" x14ac:dyDescent="0.25">
      <c r="A40" s="274"/>
      <c r="B40" s="408"/>
      <c r="C40" s="409"/>
      <c r="D40" s="274"/>
      <c r="E40" s="410"/>
      <c r="F40" s="274"/>
      <c r="G40" s="409"/>
      <c r="H40" s="410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</row>
    <row r="41" spans="1:26" ht="15.75" customHeight="1" x14ac:dyDescent="0.25">
      <c r="A41" s="274"/>
      <c r="B41" s="408"/>
      <c r="C41" s="409"/>
      <c r="D41" s="274"/>
      <c r="E41" s="410"/>
      <c r="F41" s="274"/>
      <c r="G41" s="409"/>
      <c r="H41" s="410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</row>
    <row r="42" spans="1:26" ht="15.75" customHeight="1" x14ac:dyDescent="0.25">
      <c r="A42" s="274"/>
      <c r="B42" s="274"/>
      <c r="C42" s="409"/>
      <c r="D42" s="274"/>
      <c r="E42" s="410"/>
      <c r="F42" s="274"/>
      <c r="G42" s="409"/>
      <c r="H42" s="410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</row>
    <row r="43" spans="1:26" ht="15.75" customHeight="1" x14ac:dyDescent="0.25">
      <c r="A43" s="274"/>
      <c r="B43" s="274"/>
      <c r="C43" s="409"/>
      <c r="D43" s="274"/>
      <c r="E43" s="410"/>
      <c r="F43" s="274"/>
      <c r="G43" s="409"/>
      <c r="H43" s="410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</row>
    <row r="44" spans="1:26" ht="15.75" customHeight="1" x14ac:dyDescent="0.25">
      <c r="A44" s="274"/>
      <c r="B44" s="274"/>
      <c r="C44" s="409"/>
      <c r="D44" s="274"/>
      <c r="E44" s="410"/>
      <c r="F44" s="274"/>
      <c r="G44" s="409"/>
      <c r="H44" s="410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</row>
    <row r="45" spans="1:26" ht="15.75" customHeight="1" x14ac:dyDescent="0.25">
      <c r="A45" s="274"/>
      <c r="B45" s="415" t="s">
        <v>148</v>
      </c>
      <c r="C45" s="409"/>
      <c r="D45" s="274"/>
      <c r="E45" s="410"/>
      <c r="F45" s="274"/>
      <c r="G45" s="409"/>
      <c r="H45" s="410"/>
      <c r="I45" s="274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</row>
    <row r="46" spans="1:26" ht="15.75" customHeight="1" x14ac:dyDescent="0.25">
      <c r="A46" s="274"/>
      <c r="B46" s="416" t="s">
        <v>149</v>
      </c>
      <c r="C46" s="409"/>
      <c r="D46" s="274"/>
      <c r="E46" s="410"/>
      <c r="F46" s="274"/>
      <c r="G46" s="409"/>
      <c r="H46" s="410"/>
      <c r="I46" s="274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</row>
    <row r="47" spans="1:26" ht="15.75" customHeight="1" x14ac:dyDescent="0.25">
      <c r="A47" s="263"/>
      <c r="B47" s="417" t="s">
        <v>111</v>
      </c>
      <c r="C47" s="418"/>
      <c r="D47" s="274"/>
      <c r="E47" s="419"/>
      <c r="F47" s="274"/>
      <c r="G47" s="418"/>
      <c r="H47" s="419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</row>
    <row r="48" spans="1:26" ht="15.75" customHeight="1" x14ac:dyDescent="0.25">
      <c r="A48" s="263"/>
      <c r="B48" s="420" t="s">
        <v>151</v>
      </c>
      <c r="C48" s="418">
        <v>1200</v>
      </c>
      <c r="D48" s="274">
        <f>C48*$J$11+G48</f>
        <v>1320</v>
      </c>
      <c r="E48" s="419">
        <v>300</v>
      </c>
      <c r="F48" s="274">
        <f>E48*$J$12+H48</f>
        <v>350</v>
      </c>
      <c r="G48" s="418"/>
      <c r="H48" s="419">
        <v>20</v>
      </c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  <c r="Z48" s="263"/>
    </row>
    <row r="49" spans="1:26" ht="15.75" customHeight="1" x14ac:dyDescent="0.25">
      <c r="A49" s="274"/>
      <c r="B49" s="408"/>
      <c r="C49" s="409"/>
      <c r="D49" s="274"/>
      <c r="E49" s="410"/>
      <c r="F49" s="274"/>
      <c r="G49" s="409"/>
      <c r="H49" s="410"/>
      <c r="I49" s="274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</row>
    <row r="50" spans="1:26" ht="15.75" customHeight="1" x14ac:dyDescent="0.25">
      <c r="A50" s="274"/>
      <c r="B50" s="421" t="s">
        <v>152</v>
      </c>
      <c r="C50" s="409"/>
      <c r="D50" s="274"/>
      <c r="E50" s="410"/>
      <c r="F50" s="274"/>
      <c r="G50" s="409"/>
      <c r="H50" s="410"/>
      <c r="I50" s="274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</row>
    <row r="51" spans="1:26" ht="15.75" customHeight="1" x14ac:dyDescent="0.25">
      <c r="A51" s="263"/>
      <c r="B51" s="420" t="s">
        <v>151</v>
      </c>
      <c r="C51" s="418">
        <v>1200</v>
      </c>
      <c r="D51" s="274">
        <f>C51*$J$11+G51</f>
        <v>1320</v>
      </c>
      <c r="E51" s="419">
        <v>300</v>
      </c>
      <c r="F51" s="274">
        <f>E51*$J$12+H51</f>
        <v>350</v>
      </c>
      <c r="G51" s="418"/>
      <c r="H51" s="419">
        <v>20</v>
      </c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</row>
    <row r="52" spans="1:26" ht="15.75" customHeight="1" x14ac:dyDescent="0.25">
      <c r="A52" s="274"/>
      <c r="B52" s="408"/>
      <c r="C52" s="409"/>
      <c r="D52" s="274"/>
      <c r="E52" s="410"/>
      <c r="F52" s="274"/>
      <c r="G52" s="409"/>
      <c r="H52" s="410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</row>
    <row r="53" spans="1:26" ht="15.75" customHeight="1" x14ac:dyDescent="0.25">
      <c r="A53" s="274"/>
      <c r="B53" s="421" t="s">
        <v>153</v>
      </c>
      <c r="C53" s="409"/>
      <c r="D53" s="274"/>
      <c r="E53" s="410"/>
      <c r="F53" s="274"/>
      <c r="G53" s="409"/>
      <c r="H53" s="410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</row>
    <row r="54" spans="1:26" ht="15.75" customHeight="1" x14ac:dyDescent="0.25">
      <c r="A54" s="263"/>
      <c r="B54" s="420" t="s">
        <v>154</v>
      </c>
      <c r="C54" s="418">
        <v>800</v>
      </c>
      <c r="D54" s="274">
        <f t="shared" ref="D54:D103" si="8">C54*$J$11+G54</f>
        <v>880.00000000000011</v>
      </c>
      <c r="E54" s="419">
        <v>300</v>
      </c>
      <c r="F54" s="274">
        <f>E54*$J$12+H54</f>
        <v>350</v>
      </c>
      <c r="G54" s="418"/>
      <c r="H54" s="419">
        <v>20</v>
      </c>
      <c r="I54" s="263"/>
      <c r="J54" s="263"/>
      <c r="K54" s="263"/>
      <c r="L54" s="263"/>
      <c r="M54" s="263"/>
      <c r="N54" s="263"/>
      <c r="O54" s="263"/>
      <c r="P54" s="263"/>
      <c r="Q54" s="263"/>
      <c r="R54" s="263"/>
      <c r="S54" s="263"/>
      <c r="T54" s="263"/>
      <c r="U54" s="263"/>
      <c r="V54" s="263"/>
      <c r="W54" s="263"/>
      <c r="X54" s="263"/>
      <c r="Y54" s="263"/>
      <c r="Z54" s="263"/>
    </row>
    <row r="55" spans="1:26" ht="15.75" customHeight="1" x14ac:dyDescent="0.25">
      <c r="A55" s="274"/>
      <c r="B55" s="408"/>
      <c r="C55" s="409"/>
      <c r="D55" s="274">
        <f t="shared" si="8"/>
        <v>0</v>
      </c>
      <c r="E55" s="410"/>
      <c r="F55" s="274"/>
      <c r="G55" s="409"/>
      <c r="H55" s="410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</row>
    <row r="56" spans="1:26" ht="15.75" customHeight="1" x14ac:dyDescent="0.25">
      <c r="A56" s="274"/>
      <c r="B56" s="416" t="s">
        <v>156</v>
      </c>
      <c r="C56" s="409"/>
      <c r="D56" s="274">
        <f t="shared" si="8"/>
        <v>0</v>
      </c>
      <c r="E56" s="410"/>
      <c r="F56" s="274"/>
      <c r="G56" s="409"/>
      <c r="H56" s="410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</row>
    <row r="57" spans="1:26" ht="15.75" customHeight="1" x14ac:dyDescent="0.25">
      <c r="A57" s="274"/>
      <c r="B57" s="421" t="s">
        <v>157</v>
      </c>
      <c r="C57" s="409"/>
      <c r="D57" s="274">
        <f t="shared" si="8"/>
        <v>0</v>
      </c>
      <c r="E57" s="410"/>
      <c r="F57" s="274"/>
      <c r="G57" s="409"/>
      <c r="H57" s="410"/>
      <c r="I57" s="274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</row>
    <row r="58" spans="1:26" ht="15.75" customHeight="1" x14ac:dyDescent="0.25">
      <c r="A58" s="274"/>
      <c r="B58" s="387" t="s">
        <v>158</v>
      </c>
      <c r="C58" s="409">
        <v>250</v>
      </c>
      <c r="D58" s="274">
        <f t="shared" si="8"/>
        <v>300</v>
      </c>
      <c r="E58" s="410">
        <v>300</v>
      </c>
      <c r="F58" s="274">
        <f>E58*$J$12+H58</f>
        <v>350</v>
      </c>
      <c r="G58" s="409">
        <v>25</v>
      </c>
      <c r="H58" s="410">
        <v>20</v>
      </c>
      <c r="I58" s="274"/>
      <c r="J58" s="274"/>
      <c r="K58" s="274"/>
      <c r="L58" s="274"/>
      <c r="M58" s="274"/>
      <c r="N58" s="274"/>
      <c r="O58" s="274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</row>
    <row r="59" spans="1:26" ht="15.75" customHeight="1" x14ac:dyDescent="0.25">
      <c r="A59" s="274"/>
      <c r="B59" s="387"/>
      <c r="C59" s="409"/>
      <c r="D59" s="274">
        <f t="shared" si="8"/>
        <v>0</v>
      </c>
      <c r="E59" s="410"/>
      <c r="F59" s="274"/>
      <c r="G59" s="409"/>
      <c r="H59" s="410"/>
      <c r="I59" s="274"/>
      <c r="J59" s="274"/>
      <c r="K59" s="274"/>
      <c r="L59" s="274"/>
      <c r="M59" s="274"/>
      <c r="N59" s="274"/>
      <c r="O59" s="274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</row>
    <row r="60" spans="1:26" ht="15.75" customHeight="1" x14ac:dyDescent="0.25">
      <c r="A60" s="274"/>
      <c r="B60" s="421" t="s">
        <v>159</v>
      </c>
      <c r="C60" s="409"/>
      <c r="D60" s="274">
        <f t="shared" si="8"/>
        <v>0</v>
      </c>
      <c r="E60" s="410"/>
      <c r="F60" s="274"/>
      <c r="G60" s="409"/>
      <c r="H60" s="410"/>
      <c r="I60" s="274"/>
      <c r="J60" s="274"/>
      <c r="K60" s="274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</row>
    <row r="61" spans="1:26" ht="15.75" customHeight="1" x14ac:dyDescent="0.25">
      <c r="A61" s="274"/>
      <c r="B61" s="387" t="s">
        <v>158</v>
      </c>
      <c r="C61" s="409">
        <v>250</v>
      </c>
      <c r="D61" s="274">
        <f t="shared" si="8"/>
        <v>300</v>
      </c>
      <c r="E61" s="410">
        <v>300</v>
      </c>
      <c r="F61" s="274">
        <f>E61*$J$12+H61</f>
        <v>350</v>
      </c>
      <c r="G61" s="409">
        <v>25</v>
      </c>
      <c r="H61" s="410">
        <v>20</v>
      </c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</row>
    <row r="62" spans="1:26" ht="15.75" customHeight="1" x14ac:dyDescent="0.25">
      <c r="A62" s="274"/>
      <c r="B62" s="387"/>
      <c r="C62" s="409"/>
      <c r="D62" s="274">
        <f t="shared" si="8"/>
        <v>0</v>
      </c>
      <c r="E62" s="410"/>
      <c r="F62" s="274"/>
      <c r="G62" s="409"/>
      <c r="H62" s="410"/>
      <c r="I62" s="274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</row>
    <row r="63" spans="1:26" ht="15.75" customHeight="1" x14ac:dyDescent="0.25">
      <c r="A63" s="274"/>
      <c r="B63" s="421" t="s">
        <v>160</v>
      </c>
      <c r="C63" s="409"/>
      <c r="D63" s="274">
        <f t="shared" si="8"/>
        <v>0</v>
      </c>
      <c r="E63" s="410"/>
      <c r="F63" s="274"/>
      <c r="G63" s="409"/>
      <c r="H63" s="410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</row>
    <row r="64" spans="1:26" ht="15.75" customHeight="1" x14ac:dyDescent="0.25">
      <c r="A64" s="274"/>
      <c r="B64" s="387" t="s">
        <v>158</v>
      </c>
      <c r="C64" s="409">
        <v>250</v>
      </c>
      <c r="D64" s="274">
        <f t="shared" si="8"/>
        <v>300</v>
      </c>
      <c r="E64" s="410">
        <v>300</v>
      </c>
      <c r="F64" s="274">
        <f>E64*$J$12+H64</f>
        <v>350</v>
      </c>
      <c r="G64" s="409">
        <v>25</v>
      </c>
      <c r="H64" s="410">
        <v>20</v>
      </c>
      <c r="I64" s="274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</row>
    <row r="65" spans="1:26" ht="15.75" customHeight="1" x14ac:dyDescent="0.25">
      <c r="A65" s="274"/>
      <c r="B65" s="387"/>
      <c r="C65" s="409"/>
      <c r="D65" s="274">
        <f t="shared" si="8"/>
        <v>0</v>
      </c>
      <c r="E65" s="410"/>
      <c r="F65" s="274"/>
      <c r="G65" s="409"/>
      <c r="H65" s="410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</row>
    <row r="66" spans="1:26" ht="15.75" customHeight="1" x14ac:dyDescent="0.25">
      <c r="A66" s="274"/>
      <c r="B66" s="421" t="s">
        <v>161</v>
      </c>
      <c r="C66" s="409"/>
      <c r="D66" s="274">
        <f t="shared" si="8"/>
        <v>0</v>
      </c>
      <c r="E66" s="410"/>
      <c r="F66" s="274"/>
      <c r="G66" s="409"/>
      <c r="H66" s="410"/>
      <c r="I66" s="274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</row>
    <row r="67" spans="1:26" ht="15.75" customHeight="1" x14ac:dyDescent="0.25">
      <c r="A67" s="274"/>
      <c r="B67" s="387" t="s">
        <v>158</v>
      </c>
      <c r="C67" s="409">
        <v>250</v>
      </c>
      <c r="D67" s="274">
        <f t="shared" si="8"/>
        <v>300</v>
      </c>
      <c r="E67" s="410">
        <v>300</v>
      </c>
      <c r="F67" s="274">
        <f>E67*$J$12+H67</f>
        <v>350</v>
      </c>
      <c r="G67" s="409">
        <v>25</v>
      </c>
      <c r="H67" s="410">
        <v>20</v>
      </c>
      <c r="I67" s="274"/>
      <c r="J67" s="274"/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</row>
    <row r="68" spans="1:26" ht="15.75" customHeight="1" x14ac:dyDescent="0.25">
      <c r="A68" s="274"/>
      <c r="B68" s="387"/>
      <c r="C68" s="409"/>
      <c r="D68" s="274">
        <f t="shared" si="8"/>
        <v>0</v>
      </c>
      <c r="E68" s="410"/>
      <c r="F68" s="274"/>
      <c r="G68" s="409"/>
      <c r="H68" s="410"/>
      <c r="I68" s="274"/>
      <c r="J68" s="274"/>
      <c r="K68" s="274"/>
      <c r="L68" s="274"/>
      <c r="M68" s="274"/>
      <c r="N68" s="274"/>
      <c r="O68" s="274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</row>
    <row r="69" spans="1:26" ht="15.75" customHeight="1" x14ac:dyDescent="0.25">
      <c r="A69" s="274"/>
      <c r="B69" s="421" t="s">
        <v>162</v>
      </c>
      <c r="C69" s="409"/>
      <c r="D69" s="274">
        <f t="shared" si="8"/>
        <v>0</v>
      </c>
      <c r="E69" s="410"/>
      <c r="F69" s="274"/>
      <c r="G69" s="409"/>
      <c r="H69" s="410"/>
      <c r="I69" s="274"/>
      <c r="J69" s="274"/>
      <c r="K69" s="274"/>
      <c r="L69" s="274"/>
      <c r="M69" s="274"/>
      <c r="N69" s="274"/>
      <c r="O69" s="274"/>
      <c r="P69" s="274"/>
      <c r="Q69" s="274"/>
      <c r="R69" s="274"/>
      <c r="S69" s="274"/>
      <c r="T69" s="274"/>
      <c r="U69" s="274"/>
      <c r="V69" s="274"/>
      <c r="W69" s="274"/>
      <c r="X69" s="274"/>
      <c r="Y69" s="274"/>
      <c r="Z69" s="274"/>
    </row>
    <row r="70" spans="1:26" ht="15.75" customHeight="1" x14ac:dyDescent="0.25">
      <c r="A70" s="274"/>
      <c r="B70" s="387" t="s">
        <v>158</v>
      </c>
      <c r="C70" s="409">
        <v>250</v>
      </c>
      <c r="D70" s="274">
        <f t="shared" si="8"/>
        <v>300</v>
      </c>
      <c r="E70" s="410">
        <v>300</v>
      </c>
      <c r="F70" s="274">
        <f>E70*$J$12+H70</f>
        <v>350</v>
      </c>
      <c r="G70" s="409">
        <v>25</v>
      </c>
      <c r="H70" s="410">
        <v>20</v>
      </c>
      <c r="I70" s="274"/>
      <c r="J70" s="274"/>
      <c r="K70" s="274"/>
      <c r="L70" s="274"/>
      <c r="M70" s="274"/>
      <c r="N70" s="274"/>
      <c r="O70" s="274"/>
      <c r="P70" s="274"/>
      <c r="Q70" s="274"/>
      <c r="R70" s="274"/>
      <c r="S70" s="274"/>
      <c r="T70" s="274"/>
      <c r="U70" s="274"/>
      <c r="V70" s="274"/>
      <c r="W70" s="274"/>
      <c r="X70" s="274"/>
      <c r="Y70" s="274"/>
      <c r="Z70" s="274"/>
    </row>
    <row r="71" spans="1:26" ht="15.75" customHeight="1" x14ac:dyDescent="0.25">
      <c r="A71" s="274"/>
      <c r="B71" s="387"/>
      <c r="C71" s="409"/>
      <c r="D71" s="274">
        <f t="shared" si="8"/>
        <v>0</v>
      </c>
      <c r="E71" s="410"/>
      <c r="F71" s="274"/>
      <c r="G71" s="409"/>
      <c r="H71" s="410"/>
      <c r="I71" s="274"/>
      <c r="J71" s="274"/>
      <c r="K71" s="274"/>
      <c r="L71" s="274"/>
      <c r="M71" s="274"/>
      <c r="N71" s="274"/>
      <c r="O71" s="274"/>
      <c r="P71" s="274"/>
      <c r="Q71" s="274"/>
      <c r="R71" s="274"/>
      <c r="S71" s="274"/>
      <c r="T71" s="274"/>
      <c r="U71" s="274"/>
      <c r="V71" s="274"/>
      <c r="W71" s="274"/>
      <c r="X71" s="274"/>
      <c r="Y71" s="274"/>
      <c r="Z71" s="274"/>
    </row>
    <row r="72" spans="1:26" ht="15.75" customHeight="1" x14ac:dyDescent="0.25">
      <c r="A72" s="274"/>
      <c r="B72" s="421" t="s">
        <v>163</v>
      </c>
      <c r="C72" s="409"/>
      <c r="D72" s="274">
        <f t="shared" si="8"/>
        <v>0</v>
      </c>
      <c r="E72" s="410"/>
      <c r="F72" s="274"/>
      <c r="G72" s="409"/>
      <c r="H72" s="410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</row>
    <row r="73" spans="1:26" ht="15.75" customHeight="1" x14ac:dyDescent="0.25">
      <c r="A73" s="274"/>
      <c r="B73" s="420" t="s">
        <v>164</v>
      </c>
      <c r="C73" s="409">
        <v>800</v>
      </c>
      <c r="D73" s="274">
        <f t="shared" si="8"/>
        <v>880.00000000000011</v>
      </c>
      <c r="E73" s="410">
        <v>300</v>
      </c>
      <c r="F73" s="274">
        <f>E73*$J$12+H73</f>
        <v>350</v>
      </c>
      <c r="G73" s="409"/>
      <c r="H73" s="410">
        <v>20</v>
      </c>
      <c r="I73" s="274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</row>
    <row r="74" spans="1:26" ht="15.75" customHeight="1" x14ac:dyDescent="0.25">
      <c r="A74" s="274"/>
      <c r="B74" s="387"/>
      <c r="C74" s="409"/>
      <c r="D74" s="274">
        <f t="shared" si="8"/>
        <v>0</v>
      </c>
      <c r="E74" s="410"/>
      <c r="F74" s="274"/>
      <c r="G74" s="409"/>
      <c r="H74" s="410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</row>
    <row r="75" spans="1:26" ht="15.75" customHeight="1" x14ac:dyDescent="0.25">
      <c r="A75" s="274"/>
      <c r="B75" s="421" t="s">
        <v>165</v>
      </c>
      <c r="C75" s="409"/>
      <c r="D75" s="274">
        <f t="shared" si="8"/>
        <v>0</v>
      </c>
      <c r="E75" s="410"/>
      <c r="F75" s="274"/>
      <c r="G75" s="409"/>
      <c r="H75" s="410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</row>
    <row r="76" spans="1:26" ht="15.75" customHeight="1" x14ac:dyDescent="0.25">
      <c r="A76" s="274"/>
      <c r="B76" s="408" t="s">
        <v>166</v>
      </c>
      <c r="C76" s="409">
        <v>850</v>
      </c>
      <c r="D76" s="274">
        <f t="shared" si="8"/>
        <v>940.00000000000011</v>
      </c>
      <c r="E76" s="410">
        <v>300</v>
      </c>
      <c r="F76" s="274">
        <f>E76*$J$12+H76</f>
        <v>350</v>
      </c>
      <c r="G76" s="409">
        <v>5</v>
      </c>
      <c r="H76" s="410">
        <v>20</v>
      </c>
      <c r="I76" s="274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</row>
    <row r="77" spans="1:26" ht="15.75" customHeight="1" x14ac:dyDescent="0.25">
      <c r="A77" s="274"/>
      <c r="B77" s="408"/>
      <c r="C77" s="409"/>
      <c r="D77" s="274">
        <f t="shared" si="8"/>
        <v>0</v>
      </c>
      <c r="E77" s="410"/>
      <c r="F77" s="274"/>
      <c r="G77" s="409"/>
      <c r="H77" s="410"/>
      <c r="I77" s="274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</row>
    <row r="78" spans="1:26" ht="15.75" customHeight="1" x14ac:dyDescent="0.25">
      <c r="A78" s="274"/>
      <c r="B78" s="422" t="s">
        <v>167</v>
      </c>
      <c r="C78" s="409"/>
      <c r="D78" s="274">
        <f t="shared" si="8"/>
        <v>0</v>
      </c>
      <c r="E78" s="410"/>
      <c r="F78" s="274"/>
      <c r="G78" s="409"/>
      <c r="H78" s="410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</row>
    <row r="79" spans="1:26" ht="15.75" customHeight="1" x14ac:dyDescent="0.25">
      <c r="A79" s="274"/>
      <c r="B79" s="408" t="s">
        <v>168</v>
      </c>
      <c r="C79" s="409">
        <v>750</v>
      </c>
      <c r="D79" s="274">
        <f t="shared" si="8"/>
        <v>830.00000000000011</v>
      </c>
      <c r="E79" s="410">
        <v>300</v>
      </c>
      <c r="F79" s="274">
        <f>E79*$J$12+H79</f>
        <v>350</v>
      </c>
      <c r="G79" s="409">
        <v>5</v>
      </c>
      <c r="H79" s="410">
        <v>20</v>
      </c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</row>
    <row r="80" spans="1:26" ht="15.75" customHeight="1" x14ac:dyDescent="0.25">
      <c r="A80" s="274"/>
      <c r="B80" s="274"/>
      <c r="C80" s="409"/>
      <c r="D80" s="274">
        <f t="shared" si="8"/>
        <v>0</v>
      </c>
      <c r="E80" s="410"/>
      <c r="F80" s="274"/>
      <c r="G80" s="409"/>
      <c r="H80" s="410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</row>
    <row r="81" spans="1:26" ht="15.75" customHeight="1" x14ac:dyDescent="0.25">
      <c r="A81" s="274"/>
      <c r="B81" s="274"/>
      <c r="C81" s="409"/>
      <c r="D81" s="274">
        <f t="shared" si="8"/>
        <v>0</v>
      </c>
      <c r="E81" s="410"/>
      <c r="F81" s="274"/>
      <c r="G81" s="409"/>
      <c r="H81" s="410"/>
      <c r="I81" s="274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</row>
    <row r="82" spans="1:26" ht="15.75" customHeight="1" x14ac:dyDescent="0.25">
      <c r="A82" s="274"/>
      <c r="B82" s="416" t="s">
        <v>170</v>
      </c>
      <c r="C82" s="409"/>
      <c r="D82" s="274">
        <f t="shared" si="8"/>
        <v>0</v>
      </c>
      <c r="E82" s="410"/>
      <c r="F82" s="274"/>
      <c r="G82" s="409"/>
      <c r="H82" s="410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</row>
    <row r="83" spans="1:26" ht="15.75" customHeight="1" x14ac:dyDescent="0.25">
      <c r="A83" s="274"/>
      <c r="B83" s="421" t="s">
        <v>157</v>
      </c>
      <c r="C83" s="409"/>
      <c r="D83" s="274">
        <f t="shared" si="8"/>
        <v>0</v>
      </c>
      <c r="E83" s="410"/>
      <c r="F83" s="274"/>
      <c r="G83" s="409"/>
      <c r="H83" s="410"/>
      <c r="I83" s="274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</row>
    <row r="84" spans="1:26" ht="15.75" customHeight="1" x14ac:dyDescent="0.25">
      <c r="A84" s="274"/>
      <c r="B84" s="387" t="s">
        <v>158</v>
      </c>
      <c r="C84" s="409">
        <v>250</v>
      </c>
      <c r="D84" s="274">
        <f t="shared" si="8"/>
        <v>300</v>
      </c>
      <c r="E84" s="410">
        <v>300</v>
      </c>
      <c r="F84" s="274">
        <f>E84*$J$12+H84</f>
        <v>350</v>
      </c>
      <c r="G84" s="409">
        <v>25</v>
      </c>
      <c r="H84" s="410">
        <v>20</v>
      </c>
      <c r="I84" s="274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</row>
    <row r="85" spans="1:26" ht="15.75" customHeight="1" x14ac:dyDescent="0.25">
      <c r="A85" s="274"/>
      <c r="B85" s="408"/>
      <c r="C85" s="409"/>
      <c r="D85" s="274">
        <f t="shared" si="8"/>
        <v>0</v>
      </c>
      <c r="E85" s="410"/>
      <c r="F85" s="274"/>
      <c r="G85" s="409"/>
      <c r="H85" s="410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</row>
    <row r="86" spans="1:26" ht="15.75" customHeight="1" x14ac:dyDescent="0.25">
      <c r="A86" s="274"/>
      <c r="B86" s="422" t="s">
        <v>171</v>
      </c>
      <c r="C86" s="409"/>
      <c r="D86" s="274">
        <f t="shared" si="8"/>
        <v>0</v>
      </c>
      <c r="E86" s="410"/>
      <c r="F86" s="274"/>
      <c r="G86" s="409"/>
      <c r="H86" s="410"/>
      <c r="I86" s="274"/>
      <c r="J86" s="274"/>
      <c r="K86" s="274"/>
      <c r="L86" s="274"/>
      <c r="M86" s="274"/>
      <c r="N86" s="274"/>
      <c r="O86" s="274"/>
      <c r="P86" s="274"/>
      <c r="Q86" s="274"/>
      <c r="R86" s="274"/>
      <c r="S86" s="274"/>
      <c r="T86" s="274"/>
      <c r="U86" s="274"/>
      <c r="V86" s="274"/>
      <c r="W86" s="274"/>
      <c r="X86" s="274"/>
      <c r="Y86" s="274"/>
      <c r="Z86" s="274"/>
    </row>
    <row r="87" spans="1:26" ht="15.75" customHeight="1" x14ac:dyDescent="0.25">
      <c r="A87" s="274"/>
      <c r="B87" s="408" t="s">
        <v>158</v>
      </c>
      <c r="C87" s="409">
        <v>250</v>
      </c>
      <c r="D87" s="274">
        <f t="shared" si="8"/>
        <v>300</v>
      </c>
      <c r="E87" s="410">
        <v>300</v>
      </c>
      <c r="F87" s="274">
        <f>E87*$J$12+H87</f>
        <v>350</v>
      </c>
      <c r="G87" s="409">
        <v>25</v>
      </c>
      <c r="H87" s="410">
        <v>20</v>
      </c>
      <c r="I87" s="274"/>
      <c r="J87" s="274"/>
      <c r="K87" s="274"/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4"/>
      <c r="W87" s="274"/>
      <c r="X87" s="274"/>
      <c r="Y87" s="274"/>
      <c r="Z87" s="274"/>
    </row>
    <row r="88" spans="1:26" ht="15.75" customHeight="1" x14ac:dyDescent="0.25">
      <c r="A88" s="274"/>
      <c r="B88" s="408"/>
      <c r="C88" s="409"/>
      <c r="D88" s="274">
        <f t="shared" si="8"/>
        <v>0</v>
      </c>
      <c r="E88" s="410"/>
      <c r="F88" s="274"/>
      <c r="G88" s="409"/>
      <c r="H88" s="410"/>
      <c r="I88" s="274"/>
      <c r="J88" s="274"/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</row>
    <row r="89" spans="1:26" ht="15.75" customHeight="1" x14ac:dyDescent="0.25">
      <c r="A89" s="274"/>
      <c r="B89" s="422" t="s">
        <v>172</v>
      </c>
      <c r="C89" s="409"/>
      <c r="D89" s="274">
        <f t="shared" si="8"/>
        <v>0</v>
      </c>
      <c r="E89" s="410"/>
      <c r="F89" s="274"/>
      <c r="G89" s="409"/>
      <c r="H89" s="410"/>
      <c r="I89" s="274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</row>
    <row r="90" spans="1:26" ht="15.75" customHeight="1" x14ac:dyDescent="0.25">
      <c r="A90" s="274"/>
      <c r="B90" s="408" t="s">
        <v>158</v>
      </c>
      <c r="C90" s="409">
        <v>250</v>
      </c>
      <c r="D90" s="274">
        <f t="shared" si="8"/>
        <v>300</v>
      </c>
      <c r="E90" s="410">
        <v>300</v>
      </c>
      <c r="F90" s="274">
        <f>E90*$J$12+H90</f>
        <v>350</v>
      </c>
      <c r="G90" s="409">
        <v>25</v>
      </c>
      <c r="H90" s="410">
        <v>20</v>
      </c>
      <c r="I90" s="274"/>
      <c r="J90" s="274"/>
      <c r="K90" s="274"/>
      <c r="L90" s="274"/>
      <c r="M90" s="274"/>
      <c r="N90" s="274"/>
      <c r="O90" s="274"/>
      <c r="P90" s="274"/>
      <c r="Q90" s="274"/>
      <c r="R90" s="274"/>
      <c r="S90" s="274"/>
      <c r="T90" s="274"/>
      <c r="U90" s="274"/>
      <c r="V90" s="274"/>
      <c r="W90" s="274"/>
      <c r="X90" s="274"/>
      <c r="Y90" s="274"/>
      <c r="Z90" s="274"/>
    </row>
    <row r="91" spans="1:26" ht="15.75" customHeight="1" x14ac:dyDescent="0.25">
      <c r="A91" s="274"/>
      <c r="B91" s="408"/>
      <c r="C91" s="409"/>
      <c r="D91" s="274">
        <f t="shared" si="8"/>
        <v>0</v>
      </c>
      <c r="E91" s="410"/>
      <c r="F91" s="274"/>
      <c r="G91" s="409"/>
      <c r="H91" s="410"/>
      <c r="I91" s="274"/>
      <c r="J91" s="274"/>
      <c r="K91" s="274"/>
      <c r="L91" s="274"/>
      <c r="M91" s="274"/>
      <c r="N91" s="274"/>
      <c r="O91" s="274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</row>
    <row r="92" spans="1:26" ht="15.75" customHeight="1" x14ac:dyDescent="0.25">
      <c r="A92" s="274"/>
      <c r="B92" s="422" t="s">
        <v>173</v>
      </c>
      <c r="C92" s="409"/>
      <c r="D92" s="274">
        <f t="shared" si="8"/>
        <v>0</v>
      </c>
      <c r="E92" s="410"/>
      <c r="F92" s="274"/>
      <c r="G92" s="409"/>
      <c r="H92" s="410"/>
      <c r="I92" s="274"/>
      <c r="J92" s="274"/>
      <c r="K92" s="274"/>
      <c r="L92" s="274"/>
      <c r="M92" s="274"/>
      <c r="N92" s="274"/>
      <c r="O92" s="274"/>
      <c r="P92" s="274"/>
      <c r="Q92" s="274"/>
      <c r="R92" s="274"/>
      <c r="S92" s="274"/>
      <c r="T92" s="274"/>
      <c r="U92" s="274"/>
      <c r="V92" s="274"/>
      <c r="W92" s="274"/>
      <c r="X92" s="274"/>
      <c r="Y92" s="274"/>
      <c r="Z92" s="274"/>
    </row>
    <row r="93" spans="1:26" ht="15.75" customHeight="1" x14ac:dyDescent="0.25">
      <c r="A93" s="274"/>
      <c r="B93" s="408" t="s">
        <v>174</v>
      </c>
      <c r="C93" s="409">
        <v>860</v>
      </c>
      <c r="D93" s="274">
        <f t="shared" si="8"/>
        <v>950.00000000000011</v>
      </c>
      <c r="E93" s="410">
        <v>300</v>
      </c>
      <c r="F93" s="274">
        <f>E93*$J$12+H93</f>
        <v>350</v>
      </c>
      <c r="G93" s="409">
        <v>4</v>
      </c>
      <c r="H93" s="410">
        <v>20</v>
      </c>
      <c r="I93" s="274"/>
      <c r="J93" s="274"/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74"/>
      <c r="W93" s="274"/>
      <c r="X93" s="274"/>
      <c r="Y93" s="274"/>
      <c r="Z93" s="274"/>
    </row>
    <row r="94" spans="1:26" ht="15.75" customHeight="1" x14ac:dyDescent="0.25">
      <c r="A94" s="274"/>
      <c r="B94" s="408"/>
      <c r="C94" s="409"/>
      <c r="D94" s="274">
        <f t="shared" si="8"/>
        <v>0</v>
      </c>
      <c r="E94" s="410"/>
      <c r="F94" s="274"/>
      <c r="G94" s="409"/>
      <c r="H94" s="410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</row>
    <row r="95" spans="1:26" ht="15.75" customHeight="1" x14ac:dyDescent="0.25">
      <c r="A95" s="274"/>
      <c r="B95" s="422" t="s">
        <v>175</v>
      </c>
      <c r="C95" s="409"/>
      <c r="D95" s="274">
        <f t="shared" si="8"/>
        <v>0</v>
      </c>
      <c r="E95" s="410"/>
      <c r="F95" s="274"/>
      <c r="G95" s="409"/>
      <c r="H95" s="410"/>
      <c r="I95" s="274"/>
      <c r="J95" s="274"/>
      <c r="K95" s="274"/>
      <c r="L95" s="274"/>
      <c r="M95" s="274"/>
      <c r="N95" s="274"/>
      <c r="O95" s="274"/>
      <c r="P95" s="274"/>
      <c r="Q95" s="274"/>
      <c r="R95" s="274"/>
      <c r="S95" s="274"/>
      <c r="T95" s="274"/>
      <c r="U95" s="274"/>
      <c r="V95" s="274"/>
      <c r="W95" s="274"/>
      <c r="X95" s="274"/>
      <c r="Y95" s="274"/>
      <c r="Z95" s="274"/>
    </row>
    <row r="96" spans="1:26" ht="15.75" customHeight="1" x14ac:dyDescent="0.25">
      <c r="A96" s="274"/>
      <c r="B96" s="408" t="s">
        <v>176</v>
      </c>
      <c r="C96" s="409">
        <v>800</v>
      </c>
      <c r="D96" s="274">
        <f t="shared" si="8"/>
        <v>880.00000000000011</v>
      </c>
      <c r="E96" s="410">
        <v>300</v>
      </c>
      <c r="F96" s="274">
        <f>E96*$J$12+H96</f>
        <v>350</v>
      </c>
      <c r="G96" s="409"/>
      <c r="H96" s="410">
        <v>20</v>
      </c>
      <c r="I96" s="274"/>
      <c r="J96" s="274"/>
      <c r="K96" s="274"/>
      <c r="L96" s="274"/>
      <c r="M96" s="274"/>
      <c r="N96" s="274"/>
      <c r="O96" s="274"/>
      <c r="P96" s="274"/>
      <c r="Q96" s="274"/>
      <c r="R96" s="274"/>
      <c r="S96" s="274"/>
      <c r="T96" s="274"/>
      <c r="U96" s="274"/>
      <c r="V96" s="274"/>
      <c r="W96" s="274"/>
      <c r="X96" s="274"/>
      <c r="Y96" s="274"/>
      <c r="Z96" s="274"/>
    </row>
    <row r="97" spans="1:26" ht="15.75" customHeight="1" x14ac:dyDescent="0.25">
      <c r="A97" s="274"/>
      <c r="B97" s="408"/>
      <c r="C97" s="409"/>
      <c r="D97" s="274">
        <f t="shared" si="8"/>
        <v>0</v>
      </c>
      <c r="E97" s="410"/>
      <c r="F97" s="274"/>
      <c r="G97" s="409"/>
      <c r="H97" s="410"/>
      <c r="I97" s="274"/>
      <c r="J97" s="274"/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</row>
    <row r="98" spans="1:26" ht="15.75" customHeight="1" x14ac:dyDescent="0.25">
      <c r="A98" s="274"/>
      <c r="B98" s="422" t="s">
        <v>177</v>
      </c>
      <c r="C98" s="409"/>
      <c r="D98" s="274">
        <f t="shared" si="8"/>
        <v>0</v>
      </c>
      <c r="E98" s="410"/>
      <c r="F98" s="274"/>
      <c r="G98" s="409"/>
      <c r="H98" s="410"/>
      <c r="I98" s="274"/>
      <c r="J98" s="274"/>
      <c r="K98" s="274"/>
      <c r="L98" s="274"/>
      <c r="M98" s="27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</row>
    <row r="99" spans="1:26" ht="15.75" customHeight="1" x14ac:dyDescent="0.25">
      <c r="A99" s="274"/>
      <c r="B99" s="408" t="s">
        <v>168</v>
      </c>
      <c r="C99" s="409">
        <v>750</v>
      </c>
      <c r="D99" s="274">
        <f t="shared" si="8"/>
        <v>830.00000000000011</v>
      </c>
      <c r="E99" s="410">
        <v>300</v>
      </c>
      <c r="F99" s="274">
        <f>E99*$J$12+H99</f>
        <v>350</v>
      </c>
      <c r="G99" s="409">
        <v>5</v>
      </c>
      <c r="H99" s="410">
        <v>20</v>
      </c>
      <c r="I99" s="274"/>
      <c r="J99" s="274"/>
      <c r="K99" s="274"/>
      <c r="L99" s="274"/>
      <c r="M99" s="274"/>
      <c r="N99" s="274"/>
      <c r="O99" s="274"/>
      <c r="P99" s="274"/>
      <c r="Q99" s="274"/>
      <c r="R99" s="274"/>
      <c r="S99" s="274"/>
      <c r="T99" s="274"/>
      <c r="U99" s="274"/>
      <c r="V99" s="274"/>
      <c r="W99" s="274"/>
      <c r="X99" s="274"/>
      <c r="Y99" s="274"/>
      <c r="Z99" s="274"/>
    </row>
    <row r="100" spans="1:26" ht="15.75" customHeight="1" x14ac:dyDescent="0.25">
      <c r="A100" s="274"/>
      <c r="B100" s="408"/>
      <c r="C100" s="409"/>
      <c r="D100" s="274">
        <f t="shared" si="8"/>
        <v>0</v>
      </c>
      <c r="E100" s="410"/>
      <c r="F100" s="274"/>
      <c r="G100" s="409"/>
      <c r="H100" s="410"/>
      <c r="I100" s="274"/>
      <c r="J100" s="274"/>
      <c r="K100" s="274"/>
      <c r="L100" s="274"/>
      <c r="M100" s="274"/>
      <c r="N100" s="274"/>
      <c r="O100" s="274"/>
      <c r="P100" s="274"/>
      <c r="Q100" s="274"/>
      <c r="R100" s="274"/>
      <c r="S100" s="274"/>
      <c r="T100" s="274"/>
      <c r="U100" s="274"/>
      <c r="V100" s="274"/>
      <c r="W100" s="274"/>
      <c r="X100" s="274"/>
      <c r="Y100" s="274"/>
      <c r="Z100" s="274"/>
    </row>
    <row r="101" spans="1:26" ht="15.75" customHeight="1" x14ac:dyDescent="0.25">
      <c r="A101" s="274"/>
      <c r="B101" s="422" t="s">
        <v>167</v>
      </c>
      <c r="C101" s="409"/>
      <c r="D101" s="274">
        <f t="shared" si="8"/>
        <v>0</v>
      </c>
      <c r="E101" s="410"/>
      <c r="F101" s="274"/>
      <c r="G101" s="409"/>
      <c r="H101" s="410"/>
      <c r="I101" s="274"/>
      <c r="J101" s="274"/>
      <c r="K101" s="274"/>
      <c r="L101" s="274"/>
      <c r="M101" s="274"/>
      <c r="N101" s="274"/>
      <c r="O101" s="274"/>
      <c r="P101" s="274"/>
      <c r="Q101" s="274"/>
      <c r="R101" s="274"/>
      <c r="S101" s="274"/>
      <c r="T101" s="274"/>
      <c r="U101" s="274"/>
      <c r="V101" s="274"/>
      <c r="W101" s="274"/>
      <c r="X101" s="274"/>
      <c r="Y101" s="274"/>
      <c r="Z101" s="274"/>
    </row>
    <row r="102" spans="1:26" ht="15.75" customHeight="1" x14ac:dyDescent="0.25">
      <c r="A102" s="274"/>
      <c r="B102" s="408" t="s">
        <v>168</v>
      </c>
      <c r="C102" s="409">
        <v>750</v>
      </c>
      <c r="D102" s="274">
        <f t="shared" si="8"/>
        <v>830.00000000000011</v>
      </c>
      <c r="E102" s="410">
        <v>300</v>
      </c>
      <c r="F102" s="274">
        <f>E102*$J$12+H102</f>
        <v>350</v>
      </c>
      <c r="G102" s="409">
        <v>5</v>
      </c>
      <c r="H102" s="410">
        <v>20</v>
      </c>
      <c r="I102" s="274"/>
      <c r="J102" s="274"/>
      <c r="K102" s="274"/>
      <c r="L102" s="274"/>
      <c r="M102" s="274"/>
      <c r="N102" s="274"/>
      <c r="O102" s="274"/>
      <c r="P102" s="274"/>
      <c r="Q102" s="274"/>
      <c r="R102" s="274"/>
      <c r="S102" s="274"/>
      <c r="T102" s="274"/>
      <c r="U102" s="274"/>
      <c r="V102" s="274"/>
      <c r="W102" s="274"/>
      <c r="X102" s="274"/>
      <c r="Y102" s="274"/>
      <c r="Z102" s="274"/>
    </row>
    <row r="103" spans="1:26" ht="15.75" customHeight="1" x14ac:dyDescent="0.25">
      <c r="A103" s="274"/>
      <c r="B103" s="274"/>
      <c r="C103" s="409"/>
      <c r="D103" s="274">
        <f t="shared" si="8"/>
        <v>0</v>
      </c>
      <c r="E103" s="410"/>
      <c r="F103" s="274"/>
      <c r="G103" s="409"/>
      <c r="H103" s="410"/>
      <c r="I103" s="274"/>
      <c r="J103" s="274"/>
      <c r="K103" s="274"/>
      <c r="L103" s="274"/>
      <c r="M103" s="274"/>
      <c r="N103" s="274"/>
      <c r="O103" s="274"/>
      <c r="P103" s="274"/>
      <c r="Q103" s="274"/>
      <c r="R103" s="274"/>
      <c r="S103" s="274"/>
      <c r="T103" s="274"/>
      <c r="U103" s="274"/>
      <c r="V103" s="274"/>
      <c r="W103" s="274"/>
      <c r="X103" s="274"/>
      <c r="Y103" s="274"/>
      <c r="Z103" s="274"/>
    </row>
    <row r="104" spans="1:26" ht="15.75" customHeight="1" x14ac:dyDescent="0.25">
      <c r="A104" s="274"/>
      <c r="B104" s="274"/>
      <c r="C104" s="409"/>
      <c r="D104" s="274"/>
      <c r="E104" s="410"/>
      <c r="F104" s="274"/>
      <c r="G104" s="409"/>
      <c r="H104" s="410"/>
      <c r="I104" s="274"/>
      <c r="J104" s="274"/>
      <c r="K104" s="274"/>
      <c r="L104" s="274"/>
      <c r="M104" s="274"/>
      <c r="N104" s="274"/>
      <c r="O104" s="274"/>
      <c r="P104" s="274"/>
      <c r="Q104" s="274"/>
      <c r="R104" s="274"/>
      <c r="S104" s="274"/>
      <c r="T104" s="274"/>
      <c r="U104" s="274"/>
      <c r="V104" s="274"/>
      <c r="W104" s="274"/>
      <c r="X104" s="274"/>
      <c r="Y104" s="274"/>
      <c r="Z104" s="274"/>
    </row>
    <row r="105" spans="1:26" ht="15.75" customHeight="1" x14ac:dyDescent="0.25">
      <c r="A105" s="274"/>
      <c r="B105" s="274"/>
      <c r="C105" s="409"/>
      <c r="D105" s="274"/>
      <c r="E105" s="410"/>
      <c r="F105" s="274"/>
      <c r="G105" s="409"/>
      <c r="H105" s="410"/>
      <c r="I105" s="274"/>
      <c r="J105" s="274"/>
      <c r="K105" s="274"/>
      <c r="L105" s="274"/>
      <c r="M105" s="274"/>
      <c r="N105" s="274"/>
      <c r="O105" s="274"/>
      <c r="P105" s="274"/>
      <c r="Q105" s="274"/>
      <c r="R105" s="274"/>
      <c r="S105" s="274"/>
      <c r="T105" s="274"/>
      <c r="U105" s="274"/>
      <c r="V105" s="274"/>
      <c r="W105" s="274"/>
      <c r="X105" s="274"/>
      <c r="Y105" s="274"/>
      <c r="Z105" s="274"/>
    </row>
    <row r="106" spans="1:26" ht="15.75" customHeight="1" x14ac:dyDescent="0.25">
      <c r="A106" s="274"/>
      <c r="B106" s="274"/>
      <c r="C106" s="409"/>
      <c r="D106" s="274"/>
      <c r="E106" s="410"/>
      <c r="F106" s="274"/>
      <c r="G106" s="409"/>
      <c r="H106" s="410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</row>
    <row r="107" spans="1:26" ht="15.75" customHeight="1" x14ac:dyDescent="0.25">
      <c r="A107" s="274"/>
      <c r="B107" s="274"/>
      <c r="C107" s="409"/>
      <c r="D107" s="274"/>
      <c r="E107" s="410"/>
      <c r="F107" s="274"/>
      <c r="G107" s="409"/>
      <c r="H107" s="410"/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</row>
    <row r="108" spans="1:26" ht="15.75" customHeight="1" x14ac:dyDescent="0.25">
      <c r="A108" s="274"/>
      <c r="B108" s="274"/>
      <c r="C108" s="409"/>
      <c r="D108" s="274"/>
      <c r="E108" s="410"/>
      <c r="F108" s="274"/>
      <c r="G108" s="409"/>
      <c r="H108" s="410"/>
      <c r="I108" s="274"/>
      <c r="J108" s="274"/>
      <c r="K108" s="274"/>
      <c r="L108" s="274"/>
      <c r="M108" s="274"/>
      <c r="N108" s="274"/>
      <c r="O108" s="274"/>
      <c r="P108" s="274"/>
      <c r="Q108" s="274"/>
      <c r="R108" s="274"/>
      <c r="S108" s="274"/>
      <c r="T108" s="274"/>
      <c r="U108" s="274"/>
      <c r="V108" s="274"/>
      <c r="W108" s="274"/>
      <c r="X108" s="274"/>
      <c r="Y108" s="274"/>
      <c r="Z108" s="274"/>
    </row>
    <row r="109" spans="1:26" ht="15.75" customHeight="1" x14ac:dyDescent="0.25">
      <c r="A109" s="274"/>
      <c r="B109" s="274"/>
      <c r="C109" s="409"/>
      <c r="D109" s="274"/>
      <c r="E109" s="410"/>
      <c r="F109" s="274"/>
      <c r="G109" s="409"/>
      <c r="H109" s="410"/>
      <c r="I109" s="274"/>
      <c r="J109" s="274"/>
      <c r="K109" s="274"/>
      <c r="L109" s="274"/>
      <c r="M109" s="274"/>
      <c r="N109" s="274"/>
      <c r="O109" s="274"/>
      <c r="P109" s="274"/>
      <c r="Q109" s="274"/>
      <c r="R109" s="274"/>
      <c r="S109" s="274"/>
      <c r="T109" s="274"/>
      <c r="U109" s="274"/>
      <c r="V109" s="274"/>
      <c r="W109" s="274"/>
      <c r="X109" s="274"/>
      <c r="Y109" s="274"/>
      <c r="Z109" s="274"/>
    </row>
    <row r="110" spans="1:26" ht="15.75" customHeight="1" x14ac:dyDescent="0.25">
      <c r="A110" s="274"/>
      <c r="B110" s="274"/>
      <c r="C110" s="409"/>
      <c r="D110" s="274"/>
      <c r="E110" s="410"/>
      <c r="F110" s="274"/>
      <c r="G110" s="409"/>
      <c r="H110" s="410"/>
      <c r="I110" s="274"/>
      <c r="J110" s="274"/>
      <c r="K110" s="274"/>
      <c r="L110" s="274"/>
      <c r="M110" s="274"/>
      <c r="N110" s="274"/>
      <c r="O110" s="274"/>
      <c r="P110" s="274"/>
      <c r="Q110" s="274"/>
      <c r="R110" s="274"/>
      <c r="S110" s="274"/>
      <c r="T110" s="274"/>
      <c r="U110" s="274"/>
      <c r="V110" s="274"/>
      <c r="W110" s="274"/>
      <c r="X110" s="274"/>
      <c r="Y110" s="274"/>
      <c r="Z110" s="274"/>
    </row>
    <row r="111" spans="1:26" ht="15.75" customHeight="1" x14ac:dyDescent="0.25">
      <c r="A111" s="274"/>
      <c r="B111" s="274"/>
      <c r="C111" s="409"/>
      <c r="D111" s="274"/>
      <c r="E111" s="410"/>
      <c r="F111" s="274"/>
      <c r="G111" s="409"/>
      <c r="H111" s="410"/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</row>
    <row r="112" spans="1:26" ht="15.75" customHeight="1" x14ac:dyDescent="0.25">
      <c r="A112" s="274"/>
      <c r="B112" s="274"/>
      <c r="C112" s="409"/>
      <c r="D112" s="274"/>
      <c r="E112" s="410"/>
      <c r="F112" s="274"/>
      <c r="G112" s="409"/>
      <c r="H112" s="410"/>
      <c r="I112" s="274"/>
      <c r="J112" s="274"/>
      <c r="K112" s="274"/>
      <c r="L112" s="274"/>
      <c r="M112" s="274"/>
      <c r="N112" s="274"/>
      <c r="O112" s="274"/>
      <c r="P112" s="274"/>
      <c r="Q112" s="274"/>
      <c r="R112" s="274"/>
      <c r="S112" s="274"/>
      <c r="T112" s="274"/>
      <c r="U112" s="274"/>
      <c r="V112" s="274"/>
      <c r="W112" s="274"/>
      <c r="X112" s="274"/>
      <c r="Y112" s="274"/>
      <c r="Z112" s="274"/>
    </row>
    <row r="113" spans="1:26" ht="15.75" customHeight="1" x14ac:dyDescent="0.25">
      <c r="A113" s="274"/>
      <c r="B113" s="274"/>
      <c r="C113" s="409"/>
      <c r="D113" s="274"/>
      <c r="E113" s="410"/>
      <c r="F113" s="274"/>
      <c r="G113" s="409"/>
      <c r="H113" s="410"/>
      <c r="I113" s="274"/>
      <c r="J113" s="274"/>
      <c r="K113" s="274"/>
      <c r="L113" s="274"/>
      <c r="M113" s="274"/>
      <c r="N113" s="274"/>
      <c r="O113" s="274"/>
      <c r="P113" s="274"/>
      <c r="Q113" s="274"/>
      <c r="R113" s="274"/>
      <c r="S113" s="274"/>
      <c r="T113" s="274"/>
      <c r="U113" s="274"/>
      <c r="V113" s="274"/>
      <c r="W113" s="274"/>
      <c r="X113" s="274"/>
      <c r="Y113" s="274"/>
      <c r="Z113" s="274"/>
    </row>
    <row r="114" spans="1:26" ht="15.75" customHeight="1" x14ac:dyDescent="0.25">
      <c r="A114" s="274"/>
      <c r="B114" s="274"/>
      <c r="C114" s="409"/>
      <c r="D114" s="274"/>
      <c r="E114" s="410"/>
      <c r="F114" s="274"/>
      <c r="G114" s="409"/>
      <c r="H114" s="410"/>
      <c r="I114" s="274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274"/>
      <c r="Z114" s="274"/>
    </row>
    <row r="115" spans="1:26" ht="15.75" customHeight="1" x14ac:dyDescent="0.25">
      <c r="A115" s="274"/>
      <c r="B115" s="274"/>
      <c r="C115" s="409"/>
      <c r="D115" s="274"/>
      <c r="E115" s="410"/>
      <c r="F115" s="274"/>
      <c r="G115" s="409"/>
      <c r="H115" s="410"/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274"/>
      <c r="V115" s="274"/>
      <c r="W115" s="274"/>
      <c r="X115" s="274"/>
      <c r="Y115" s="274"/>
      <c r="Z115" s="274"/>
    </row>
    <row r="116" spans="1:26" ht="15.75" customHeight="1" x14ac:dyDescent="0.25">
      <c r="A116" s="274"/>
      <c r="B116" s="274"/>
      <c r="C116" s="409"/>
      <c r="D116" s="274"/>
      <c r="E116" s="410"/>
      <c r="F116" s="274"/>
      <c r="G116" s="409"/>
      <c r="H116" s="410"/>
      <c r="I116" s="274"/>
      <c r="J116" s="274"/>
      <c r="K116" s="274"/>
      <c r="L116" s="274"/>
      <c r="M116" s="274"/>
      <c r="N116" s="274"/>
      <c r="O116" s="274"/>
      <c r="P116" s="274"/>
      <c r="Q116" s="274"/>
      <c r="R116" s="274"/>
      <c r="S116" s="274"/>
      <c r="T116" s="274"/>
      <c r="U116" s="274"/>
      <c r="V116" s="274"/>
      <c r="W116" s="274"/>
      <c r="X116" s="274"/>
      <c r="Y116" s="274"/>
      <c r="Z116" s="274"/>
    </row>
    <row r="117" spans="1:26" ht="15.75" customHeight="1" x14ac:dyDescent="0.25">
      <c r="A117" s="274"/>
      <c r="B117" s="274"/>
      <c r="C117" s="409"/>
      <c r="D117" s="274"/>
      <c r="E117" s="410"/>
      <c r="F117" s="274"/>
      <c r="G117" s="409"/>
      <c r="H117" s="410"/>
      <c r="I117" s="274"/>
      <c r="J117" s="274"/>
      <c r="K117" s="274"/>
      <c r="L117" s="274"/>
      <c r="M117" s="274"/>
      <c r="N117" s="274"/>
      <c r="O117" s="274"/>
      <c r="P117" s="274"/>
      <c r="Q117" s="274"/>
      <c r="R117" s="274"/>
      <c r="S117" s="274"/>
      <c r="T117" s="274"/>
      <c r="U117" s="274"/>
      <c r="V117" s="274"/>
      <c r="W117" s="274"/>
      <c r="X117" s="274"/>
      <c r="Y117" s="274"/>
      <c r="Z117" s="274"/>
    </row>
    <row r="118" spans="1:26" ht="15.75" customHeight="1" x14ac:dyDescent="0.25">
      <c r="A118" s="274"/>
      <c r="B118" s="274"/>
      <c r="C118" s="409"/>
      <c r="D118" s="274"/>
      <c r="E118" s="410"/>
      <c r="F118" s="274"/>
      <c r="G118" s="409"/>
      <c r="H118" s="410"/>
      <c r="I118" s="274"/>
      <c r="J118" s="274"/>
      <c r="K118" s="274"/>
      <c r="L118" s="274"/>
      <c r="M118" s="274"/>
      <c r="N118" s="274"/>
      <c r="O118" s="274"/>
      <c r="P118" s="274"/>
      <c r="Q118" s="274"/>
      <c r="R118" s="274"/>
      <c r="S118" s="274"/>
      <c r="T118" s="274"/>
      <c r="U118" s="274"/>
      <c r="V118" s="274"/>
      <c r="W118" s="274"/>
      <c r="X118" s="274"/>
      <c r="Y118" s="274"/>
      <c r="Z118" s="274"/>
    </row>
    <row r="119" spans="1:26" ht="15.75" customHeight="1" x14ac:dyDescent="0.25">
      <c r="A119" s="274"/>
      <c r="B119" s="274"/>
      <c r="C119" s="409"/>
      <c r="D119" s="274"/>
      <c r="E119" s="410"/>
      <c r="F119" s="274"/>
      <c r="G119" s="409"/>
      <c r="H119" s="410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</row>
    <row r="120" spans="1:26" ht="15.75" customHeight="1" x14ac:dyDescent="0.25">
      <c r="A120" s="274"/>
      <c r="B120" s="274"/>
      <c r="C120" s="409"/>
      <c r="D120" s="274"/>
      <c r="E120" s="410"/>
      <c r="F120" s="274"/>
      <c r="G120" s="409"/>
      <c r="H120" s="410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</row>
    <row r="121" spans="1:26" ht="15.75" customHeight="1" x14ac:dyDescent="0.25">
      <c r="A121" s="274"/>
      <c r="B121" s="274"/>
      <c r="C121" s="409"/>
      <c r="D121" s="274"/>
      <c r="E121" s="410"/>
      <c r="F121" s="274"/>
      <c r="G121" s="409"/>
      <c r="H121" s="410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</row>
    <row r="122" spans="1:26" ht="15.75" customHeight="1" x14ac:dyDescent="0.25">
      <c r="A122" s="274"/>
      <c r="B122" s="274"/>
      <c r="C122" s="409"/>
      <c r="D122" s="274"/>
      <c r="E122" s="410"/>
      <c r="F122" s="274"/>
      <c r="G122" s="409"/>
      <c r="H122" s="410"/>
      <c r="I122" s="274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</row>
    <row r="123" spans="1:26" ht="15.75" customHeight="1" x14ac:dyDescent="0.25">
      <c r="A123" s="274"/>
      <c r="B123" s="274"/>
      <c r="C123" s="409"/>
      <c r="D123" s="274"/>
      <c r="E123" s="410"/>
      <c r="F123" s="274"/>
      <c r="G123" s="409"/>
      <c r="H123" s="410"/>
      <c r="I123" s="274"/>
      <c r="J123" s="274"/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</row>
    <row r="124" spans="1:26" ht="15.75" customHeight="1" x14ac:dyDescent="0.25">
      <c r="A124" s="274"/>
      <c r="B124" s="274"/>
      <c r="C124" s="409"/>
      <c r="D124" s="274"/>
      <c r="E124" s="410"/>
      <c r="F124" s="274"/>
      <c r="G124" s="409"/>
      <c r="H124" s="410"/>
      <c r="I124" s="274"/>
      <c r="J124" s="274"/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4"/>
      <c r="W124" s="274"/>
      <c r="X124" s="274"/>
      <c r="Y124" s="274"/>
      <c r="Z124" s="274"/>
    </row>
    <row r="125" spans="1:26" ht="15.75" customHeight="1" x14ac:dyDescent="0.25">
      <c r="A125" s="274"/>
      <c r="B125" s="274"/>
      <c r="C125" s="409"/>
      <c r="D125" s="274"/>
      <c r="E125" s="410"/>
      <c r="F125" s="274"/>
      <c r="G125" s="409"/>
      <c r="H125" s="410"/>
      <c r="I125" s="274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</row>
    <row r="126" spans="1:26" ht="15.75" customHeight="1" x14ac:dyDescent="0.25">
      <c r="A126" s="274"/>
      <c r="B126" s="274"/>
      <c r="C126" s="409"/>
      <c r="D126" s="274"/>
      <c r="E126" s="410"/>
      <c r="F126" s="274"/>
      <c r="G126" s="409"/>
      <c r="H126" s="410"/>
      <c r="I126" s="274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</row>
    <row r="127" spans="1:26" ht="15.75" customHeight="1" x14ac:dyDescent="0.25">
      <c r="A127" s="274"/>
      <c r="B127" s="274"/>
      <c r="C127" s="409"/>
      <c r="D127" s="274"/>
      <c r="E127" s="410"/>
      <c r="F127" s="274"/>
      <c r="G127" s="409"/>
      <c r="H127" s="410"/>
      <c r="I127" s="274"/>
      <c r="J127" s="274"/>
      <c r="K127" s="274"/>
      <c r="L127" s="274"/>
      <c r="M127" s="274"/>
      <c r="N127" s="274"/>
      <c r="O127" s="274"/>
      <c r="P127" s="274"/>
      <c r="Q127" s="274"/>
      <c r="R127" s="274"/>
      <c r="S127" s="274"/>
      <c r="T127" s="274"/>
      <c r="U127" s="274"/>
      <c r="V127" s="274"/>
      <c r="W127" s="274"/>
      <c r="X127" s="274"/>
      <c r="Y127" s="274"/>
      <c r="Z127" s="274"/>
    </row>
    <row r="128" spans="1:26" ht="15.75" customHeight="1" x14ac:dyDescent="0.25">
      <c r="A128" s="274"/>
      <c r="B128" s="274"/>
      <c r="C128" s="409"/>
      <c r="D128" s="274"/>
      <c r="E128" s="410"/>
      <c r="F128" s="274"/>
      <c r="G128" s="409"/>
      <c r="H128" s="410"/>
      <c r="I128" s="274"/>
      <c r="J128" s="274"/>
      <c r="K128" s="274"/>
      <c r="L128" s="274"/>
      <c r="M128" s="274"/>
      <c r="N128" s="274"/>
      <c r="O128" s="274"/>
      <c r="P128" s="274"/>
      <c r="Q128" s="274"/>
      <c r="R128" s="274"/>
      <c r="S128" s="274"/>
      <c r="T128" s="274"/>
      <c r="U128" s="274"/>
      <c r="V128" s="274"/>
      <c r="W128" s="274"/>
      <c r="X128" s="274"/>
      <c r="Y128" s="274"/>
      <c r="Z128" s="274"/>
    </row>
    <row r="129" spans="1:26" ht="15.75" customHeight="1" x14ac:dyDescent="0.25">
      <c r="A129" s="274"/>
      <c r="B129" s="274"/>
      <c r="C129" s="409"/>
      <c r="D129" s="274"/>
      <c r="E129" s="410"/>
      <c r="F129" s="274"/>
      <c r="G129" s="409"/>
      <c r="H129" s="410"/>
      <c r="I129" s="274"/>
      <c r="J129" s="274"/>
      <c r="K129" s="274"/>
      <c r="L129" s="274"/>
      <c r="M129" s="274"/>
      <c r="N129" s="274"/>
      <c r="O129" s="274"/>
      <c r="P129" s="274"/>
      <c r="Q129" s="274"/>
      <c r="R129" s="274"/>
      <c r="S129" s="274"/>
      <c r="T129" s="274"/>
      <c r="U129" s="274"/>
      <c r="V129" s="274"/>
      <c r="W129" s="274"/>
      <c r="X129" s="274"/>
      <c r="Y129" s="274"/>
      <c r="Z129" s="274"/>
    </row>
    <row r="130" spans="1:26" ht="15.75" customHeight="1" x14ac:dyDescent="0.25">
      <c r="A130" s="274"/>
      <c r="B130" s="274"/>
      <c r="C130" s="409"/>
      <c r="D130" s="274"/>
      <c r="E130" s="410"/>
      <c r="F130" s="274"/>
      <c r="G130" s="409"/>
      <c r="H130" s="410"/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</row>
    <row r="131" spans="1:26" ht="15.75" customHeight="1" x14ac:dyDescent="0.25">
      <c r="A131" s="274"/>
      <c r="B131" s="274"/>
      <c r="C131" s="409"/>
      <c r="D131" s="274"/>
      <c r="E131" s="410"/>
      <c r="F131" s="274"/>
      <c r="G131" s="409"/>
      <c r="H131" s="410"/>
      <c r="I131" s="274"/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</row>
    <row r="132" spans="1:26" ht="15.75" customHeight="1" x14ac:dyDescent="0.25">
      <c r="A132" s="274"/>
      <c r="B132" s="274"/>
      <c r="C132" s="409"/>
      <c r="D132" s="274"/>
      <c r="E132" s="410"/>
      <c r="F132" s="274"/>
      <c r="G132" s="409"/>
      <c r="H132" s="410"/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</row>
    <row r="133" spans="1:26" ht="15.75" customHeight="1" x14ac:dyDescent="0.25">
      <c r="A133" s="274"/>
      <c r="B133" s="274"/>
      <c r="C133" s="409"/>
      <c r="D133" s="274"/>
      <c r="E133" s="410"/>
      <c r="F133" s="274"/>
      <c r="G133" s="409"/>
      <c r="H133" s="410"/>
      <c r="I133" s="274"/>
      <c r="J133" s="274"/>
      <c r="K133" s="274"/>
      <c r="L133" s="274"/>
      <c r="M133" s="274"/>
      <c r="N133" s="274"/>
      <c r="O133" s="274"/>
      <c r="P133" s="274"/>
      <c r="Q133" s="274"/>
      <c r="R133" s="274"/>
      <c r="S133" s="274"/>
      <c r="T133" s="274"/>
      <c r="U133" s="274"/>
      <c r="V133" s="274"/>
      <c r="W133" s="274"/>
      <c r="X133" s="274"/>
      <c r="Y133" s="274"/>
      <c r="Z133" s="274"/>
    </row>
    <row r="134" spans="1:26" ht="15.75" customHeight="1" x14ac:dyDescent="0.25">
      <c r="A134" s="274"/>
      <c r="B134" s="274"/>
      <c r="C134" s="409"/>
      <c r="D134" s="274"/>
      <c r="E134" s="410"/>
      <c r="F134" s="274"/>
      <c r="G134" s="409"/>
      <c r="H134" s="410"/>
      <c r="I134" s="274"/>
      <c r="J134" s="274"/>
      <c r="K134" s="274"/>
      <c r="L134" s="274"/>
      <c r="M134" s="274"/>
      <c r="N134" s="274"/>
      <c r="O134" s="274"/>
      <c r="P134" s="274"/>
      <c r="Q134" s="274"/>
      <c r="R134" s="274"/>
      <c r="S134" s="274"/>
      <c r="T134" s="274"/>
      <c r="U134" s="274"/>
      <c r="V134" s="274"/>
      <c r="W134" s="274"/>
      <c r="X134" s="274"/>
      <c r="Y134" s="274"/>
      <c r="Z134" s="274"/>
    </row>
    <row r="135" spans="1:26" ht="15.75" customHeight="1" x14ac:dyDescent="0.25">
      <c r="A135" s="274"/>
      <c r="B135" s="274"/>
      <c r="C135" s="409"/>
      <c r="D135" s="274"/>
      <c r="E135" s="410"/>
      <c r="F135" s="274"/>
      <c r="G135" s="409"/>
      <c r="H135" s="410"/>
      <c r="I135" s="274"/>
      <c r="J135" s="274"/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</row>
    <row r="136" spans="1:26" ht="15.75" customHeight="1" x14ac:dyDescent="0.25">
      <c r="A136" s="274"/>
      <c r="B136" s="274"/>
      <c r="C136" s="409"/>
      <c r="D136" s="274"/>
      <c r="E136" s="410"/>
      <c r="F136" s="274"/>
      <c r="G136" s="409"/>
      <c r="H136" s="410"/>
      <c r="I136" s="274"/>
      <c r="J136" s="274"/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</row>
    <row r="137" spans="1:26" ht="15.75" customHeight="1" x14ac:dyDescent="0.25">
      <c r="A137" s="274"/>
      <c r="B137" s="274"/>
      <c r="C137" s="409"/>
      <c r="D137" s="274"/>
      <c r="E137" s="410"/>
      <c r="F137" s="274"/>
      <c r="G137" s="409"/>
      <c r="H137" s="410"/>
      <c r="I137" s="274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</row>
    <row r="138" spans="1:26" ht="15.75" customHeight="1" x14ac:dyDescent="0.25">
      <c r="A138" s="274"/>
      <c r="B138" s="274"/>
      <c r="C138" s="409"/>
      <c r="D138" s="274"/>
      <c r="E138" s="410"/>
      <c r="F138" s="274"/>
      <c r="G138" s="409"/>
      <c r="H138" s="410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</row>
    <row r="139" spans="1:26" ht="15.75" customHeight="1" x14ac:dyDescent="0.25">
      <c r="A139" s="274"/>
      <c r="B139" s="274"/>
      <c r="C139" s="409"/>
      <c r="D139" s="274"/>
      <c r="E139" s="410"/>
      <c r="F139" s="274"/>
      <c r="G139" s="409"/>
      <c r="H139" s="410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</row>
    <row r="140" spans="1:26" ht="15.75" customHeight="1" x14ac:dyDescent="0.25">
      <c r="A140" s="274"/>
      <c r="B140" s="274"/>
      <c r="C140" s="409"/>
      <c r="D140" s="274"/>
      <c r="E140" s="410"/>
      <c r="F140" s="274"/>
      <c r="G140" s="409"/>
      <c r="H140" s="410"/>
      <c r="I140" s="274"/>
      <c r="J140" s="274"/>
      <c r="K140" s="274"/>
      <c r="L140" s="274"/>
      <c r="M140" s="274"/>
      <c r="N140" s="274"/>
      <c r="O140" s="274"/>
      <c r="P140" s="274"/>
      <c r="Q140" s="274"/>
      <c r="R140" s="274"/>
      <c r="S140" s="274"/>
      <c r="T140" s="274"/>
      <c r="U140" s="274"/>
      <c r="V140" s="274"/>
      <c r="W140" s="274"/>
      <c r="X140" s="274"/>
      <c r="Y140" s="274"/>
      <c r="Z140" s="274"/>
    </row>
    <row r="141" spans="1:26" ht="15.75" customHeight="1" x14ac:dyDescent="0.25">
      <c r="A141" s="274"/>
      <c r="B141" s="274"/>
      <c r="C141" s="409"/>
      <c r="D141" s="274"/>
      <c r="E141" s="410"/>
      <c r="F141" s="274"/>
      <c r="G141" s="409"/>
      <c r="H141" s="410"/>
      <c r="I141" s="274"/>
      <c r="J141" s="274"/>
      <c r="K141" s="274"/>
      <c r="L141" s="274"/>
      <c r="M141" s="274"/>
      <c r="N141" s="274"/>
      <c r="O141" s="274"/>
      <c r="P141" s="274"/>
      <c r="Q141" s="274"/>
      <c r="R141" s="274"/>
      <c r="S141" s="274"/>
      <c r="T141" s="274"/>
      <c r="U141" s="274"/>
      <c r="V141" s="274"/>
      <c r="W141" s="274"/>
      <c r="X141" s="274"/>
      <c r="Y141" s="274"/>
      <c r="Z141" s="274"/>
    </row>
    <row r="142" spans="1:26" ht="15.75" customHeight="1" x14ac:dyDescent="0.25">
      <c r="A142" s="274"/>
      <c r="B142" s="274"/>
      <c r="C142" s="409"/>
      <c r="D142" s="274"/>
      <c r="E142" s="410"/>
      <c r="F142" s="274"/>
      <c r="G142" s="409"/>
      <c r="H142" s="410"/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</row>
    <row r="143" spans="1:26" ht="15.75" customHeight="1" x14ac:dyDescent="0.25">
      <c r="A143" s="274"/>
      <c r="B143" s="274"/>
      <c r="C143" s="409"/>
      <c r="D143" s="274"/>
      <c r="E143" s="410"/>
      <c r="F143" s="274"/>
      <c r="G143" s="409"/>
      <c r="H143" s="410"/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</row>
    <row r="144" spans="1:26" ht="15.75" customHeight="1" x14ac:dyDescent="0.25">
      <c r="A144" s="274"/>
      <c r="B144" s="274"/>
      <c r="C144" s="409"/>
      <c r="D144" s="274"/>
      <c r="E144" s="410"/>
      <c r="F144" s="274"/>
      <c r="G144" s="409"/>
      <c r="H144" s="410"/>
      <c r="I144" s="274"/>
      <c r="J144" s="274"/>
      <c r="K144" s="274"/>
      <c r="L144" s="274"/>
      <c r="M144" s="274"/>
      <c r="N144" s="274"/>
      <c r="O144" s="274"/>
      <c r="P144" s="274"/>
      <c r="Q144" s="274"/>
      <c r="R144" s="274"/>
      <c r="S144" s="274"/>
      <c r="T144" s="274"/>
      <c r="U144" s="274"/>
      <c r="V144" s="274"/>
      <c r="W144" s="274"/>
      <c r="X144" s="274"/>
      <c r="Y144" s="274"/>
      <c r="Z144" s="274"/>
    </row>
    <row r="145" spans="1:26" ht="15.75" customHeight="1" x14ac:dyDescent="0.25">
      <c r="A145" s="274"/>
      <c r="B145" s="274"/>
      <c r="C145" s="409"/>
      <c r="D145" s="274"/>
      <c r="E145" s="410"/>
      <c r="F145" s="274"/>
      <c r="G145" s="409"/>
      <c r="H145" s="410"/>
      <c r="I145" s="274"/>
      <c r="J145" s="274"/>
      <c r="K145" s="274"/>
      <c r="L145" s="274"/>
      <c r="M145" s="274"/>
      <c r="N145" s="274"/>
      <c r="O145" s="274"/>
      <c r="P145" s="274"/>
      <c r="Q145" s="274"/>
      <c r="R145" s="274"/>
      <c r="S145" s="274"/>
      <c r="T145" s="274"/>
      <c r="U145" s="274"/>
      <c r="V145" s="274"/>
      <c r="W145" s="274"/>
      <c r="X145" s="274"/>
      <c r="Y145" s="274"/>
      <c r="Z145" s="274"/>
    </row>
    <row r="146" spans="1:26" ht="15.75" customHeight="1" x14ac:dyDescent="0.25">
      <c r="A146" s="274"/>
      <c r="B146" s="274"/>
      <c r="C146" s="409"/>
      <c r="D146" s="274"/>
      <c r="E146" s="410"/>
      <c r="F146" s="274"/>
      <c r="G146" s="409"/>
      <c r="H146" s="410"/>
      <c r="I146" s="274"/>
      <c r="J146" s="274"/>
      <c r="K146" s="274"/>
      <c r="L146" s="274"/>
      <c r="M146" s="274"/>
      <c r="N146" s="274"/>
      <c r="O146" s="274"/>
      <c r="P146" s="274"/>
      <c r="Q146" s="274"/>
      <c r="R146" s="274"/>
      <c r="S146" s="274"/>
      <c r="T146" s="274"/>
      <c r="U146" s="274"/>
      <c r="V146" s="274"/>
      <c r="W146" s="274"/>
      <c r="X146" s="274"/>
      <c r="Y146" s="274"/>
      <c r="Z146" s="274"/>
    </row>
    <row r="147" spans="1:26" ht="15.75" customHeight="1" x14ac:dyDescent="0.25">
      <c r="A147" s="274"/>
      <c r="B147" s="274"/>
      <c r="C147" s="409"/>
      <c r="D147" s="274"/>
      <c r="E147" s="410"/>
      <c r="F147" s="274"/>
      <c r="G147" s="409"/>
      <c r="H147" s="410"/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</row>
    <row r="148" spans="1:26" ht="15.75" customHeight="1" x14ac:dyDescent="0.25">
      <c r="A148" s="274"/>
      <c r="B148" s="274"/>
      <c r="C148" s="409"/>
      <c r="D148" s="274"/>
      <c r="E148" s="410"/>
      <c r="F148" s="274"/>
      <c r="G148" s="409"/>
      <c r="H148" s="410"/>
      <c r="I148" s="274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</row>
    <row r="149" spans="1:26" ht="15.75" customHeight="1" x14ac:dyDescent="0.25">
      <c r="A149" s="274"/>
      <c r="B149" s="274"/>
      <c r="C149" s="409"/>
      <c r="D149" s="274"/>
      <c r="E149" s="410"/>
      <c r="F149" s="274"/>
      <c r="G149" s="409"/>
      <c r="H149" s="410"/>
      <c r="I149" s="274"/>
      <c r="J149" s="274"/>
      <c r="K149" s="274"/>
      <c r="L149" s="274"/>
      <c r="M149" s="274"/>
      <c r="N149" s="274"/>
      <c r="O149" s="274"/>
      <c r="P149" s="274"/>
      <c r="Q149" s="274"/>
      <c r="R149" s="274"/>
      <c r="S149" s="274"/>
      <c r="T149" s="274"/>
      <c r="U149" s="274"/>
      <c r="V149" s="274"/>
      <c r="W149" s="274"/>
      <c r="X149" s="274"/>
      <c r="Y149" s="274"/>
      <c r="Z149" s="274"/>
    </row>
    <row r="150" spans="1:26" ht="15.75" customHeight="1" x14ac:dyDescent="0.25">
      <c r="A150" s="274"/>
      <c r="B150" s="274"/>
      <c r="C150" s="409"/>
      <c r="D150" s="274"/>
      <c r="E150" s="410"/>
      <c r="F150" s="274"/>
      <c r="G150" s="409"/>
      <c r="H150" s="410"/>
      <c r="I150" s="274"/>
      <c r="J150" s="274"/>
      <c r="K150" s="274"/>
      <c r="L150" s="274"/>
      <c r="M150" s="274"/>
      <c r="N150" s="274"/>
      <c r="O150" s="274"/>
      <c r="P150" s="274"/>
      <c r="Q150" s="274"/>
      <c r="R150" s="274"/>
      <c r="S150" s="274"/>
      <c r="T150" s="274"/>
      <c r="U150" s="274"/>
      <c r="V150" s="274"/>
      <c r="W150" s="274"/>
      <c r="X150" s="274"/>
      <c r="Y150" s="274"/>
      <c r="Z150" s="274"/>
    </row>
    <row r="151" spans="1:26" ht="15.75" customHeight="1" x14ac:dyDescent="0.25">
      <c r="A151" s="274"/>
      <c r="B151" s="274"/>
      <c r="C151" s="409"/>
      <c r="D151" s="274"/>
      <c r="E151" s="410"/>
      <c r="F151" s="274"/>
      <c r="G151" s="409"/>
      <c r="H151" s="410"/>
      <c r="I151" s="274"/>
      <c r="J151" s="274"/>
      <c r="K151" s="274"/>
      <c r="L151" s="274"/>
      <c r="M151" s="274"/>
      <c r="N151" s="274"/>
      <c r="O151" s="274"/>
      <c r="P151" s="274"/>
      <c r="Q151" s="274"/>
      <c r="R151" s="274"/>
      <c r="S151" s="274"/>
      <c r="T151" s="274"/>
      <c r="U151" s="274"/>
      <c r="V151" s="274"/>
      <c r="W151" s="274"/>
      <c r="X151" s="274"/>
      <c r="Y151" s="274"/>
      <c r="Z151" s="274"/>
    </row>
    <row r="152" spans="1:26" ht="15.75" customHeight="1" x14ac:dyDescent="0.25">
      <c r="A152" s="274"/>
      <c r="B152" s="274"/>
      <c r="C152" s="409"/>
      <c r="D152" s="274"/>
      <c r="E152" s="410"/>
      <c r="F152" s="274"/>
      <c r="G152" s="409"/>
      <c r="H152" s="410"/>
      <c r="I152" s="274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</row>
    <row r="153" spans="1:26" ht="15.75" customHeight="1" x14ac:dyDescent="0.25">
      <c r="A153" s="274"/>
      <c r="B153" s="274"/>
      <c r="C153" s="409"/>
      <c r="D153" s="274"/>
      <c r="E153" s="410"/>
      <c r="F153" s="274"/>
      <c r="G153" s="409"/>
      <c r="H153" s="410"/>
      <c r="I153" s="274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</row>
    <row r="154" spans="1:26" ht="15.75" customHeight="1" x14ac:dyDescent="0.25">
      <c r="A154" s="274"/>
      <c r="B154" s="274"/>
      <c r="C154" s="409"/>
      <c r="D154" s="274"/>
      <c r="E154" s="410"/>
      <c r="F154" s="274"/>
      <c r="G154" s="409"/>
      <c r="H154" s="410"/>
      <c r="I154" s="274"/>
      <c r="J154" s="274"/>
      <c r="K154" s="274"/>
      <c r="L154" s="274"/>
      <c r="M154" s="274"/>
      <c r="N154" s="274"/>
      <c r="O154" s="274"/>
      <c r="P154" s="274"/>
      <c r="Q154" s="274"/>
      <c r="R154" s="274"/>
      <c r="S154" s="274"/>
      <c r="T154" s="274"/>
      <c r="U154" s="274"/>
      <c r="V154" s="274"/>
      <c r="W154" s="274"/>
      <c r="X154" s="274"/>
      <c r="Y154" s="274"/>
      <c r="Z154" s="274"/>
    </row>
    <row r="155" spans="1:26" ht="15.75" customHeight="1" x14ac:dyDescent="0.25">
      <c r="A155" s="274"/>
      <c r="B155" s="274"/>
      <c r="C155" s="409"/>
      <c r="D155" s="274"/>
      <c r="E155" s="410"/>
      <c r="F155" s="274"/>
      <c r="G155" s="409"/>
      <c r="H155" s="410"/>
      <c r="I155" s="274"/>
      <c r="J155" s="274"/>
      <c r="K155" s="274"/>
      <c r="L155" s="274"/>
      <c r="M155" s="274"/>
      <c r="N155" s="274"/>
      <c r="O155" s="274"/>
      <c r="P155" s="274"/>
      <c r="Q155" s="274"/>
      <c r="R155" s="274"/>
      <c r="S155" s="274"/>
      <c r="T155" s="274"/>
      <c r="U155" s="274"/>
      <c r="V155" s="274"/>
      <c r="W155" s="274"/>
      <c r="X155" s="274"/>
      <c r="Y155" s="274"/>
      <c r="Z155" s="274"/>
    </row>
    <row r="156" spans="1:26" ht="15.75" customHeight="1" x14ac:dyDescent="0.25">
      <c r="A156" s="274"/>
      <c r="B156" s="274"/>
      <c r="C156" s="409"/>
      <c r="D156" s="274"/>
      <c r="E156" s="410"/>
      <c r="F156" s="274"/>
      <c r="G156" s="409"/>
      <c r="H156" s="410"/>
      <c r="I156" s="274"/>
      <c r="J156" s="274"/>
      <c r="K156" s="274"/>
      <c r="L156" s="274"/>
      <c r="M156" s="274"/>
      <c r="N156" s="274"/>
      <c r="O156" s="274"/>
      <c r="P156" s="274"/>
      <c r="Q156" s="274"/>
      <c r="R156" s="274"/>
      <c r="S156" s="274"/>
      <c r="T156" s="274"/>
      <c r="U156" s="274"/>
      <c r="V156" s="274"/>
      <c r="W156" s="274"/>
      <c r="X156" s="274"/>
      <c r="Y156" s="274"/>
      <c r="Z156" s="274"/>
    </row>
    <row r="157" spans="1:26" ht="15.75" customHeight="1" x14ac:dyDescent="0.25">
      <c r="A157" s="274"/>
      <c r="B157" s="274"/>
      <c r="C157" s="409"/>
      <c r="D157" s="274"/>
      <c r="E157" s="410"/>
      <c r="F157" s="274"/>
      <c r="G157" s="409"/>
      <c r="H157" s="410"/>
      <c r="I157" s="274"/>
      <c r="J157" s="274"/>
      <c r="K157" s="274"/>
      <c r="L157" s="274"/>
      <c r="M157" s="274"/>
      <c r="N157" s="274"/>
      <c r="O157" s="274"/>
      <c r="P157" s="274"/>
      <c r="Q157" s="274"/>
      <c r="R157" s="274"/>
      <c r="S157" s="274"/>
      <c r="T157" s="274"/>
      <c r="U157" s="274"/>
      <c r="V157" s="274"/>
      <c r="W157" s="274"/>
      <c r="X157" s="274"/>
      <c r="Y157" s="274"/>
      <c r="Z157" s="274"/>
    </row>
    <row r="158" spans="1:26" ht="15.75" customHeight="1" x14ac:dyDescent="0.25">
      <c r="A158" s="274"/>
      <c r="B158" s="274"/>
      <c r="C158" s="409"/>
      <c r="D158" s="274"/>
      <c r="E158" s="410"/>
      <c r="F158" s="274"/>
      <c r="G158" s="409"/>
      <c r="H158" s="410"/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</row>
    <row r="159" spans="1:26" ht="15.75" customHeight="1" x14ac:dyDescent="0.25">
      <c r="A159" s="274"/>
      <c r="B159" s="274"/>
      <c r="C159" s="409"/>
      <c r="D159" s="274"/>
      <c r="E159" s="410"/>
      <c r="F159" s="274"/>
      <c r="G159" s="409"/>
      <c r="H159" s="410"/>
      <c r="I159" s="274"/>
      <c r="J159" s="274"/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</row>
    <row r="160" spans="1:26" ht="15.75" customHeight="1" x14ac:dyDescent="0.25">
      <c r="A160" s="274"/>
      <c r="B160" s="274"/>
      <c r="C160" s="409"/>
      <c r="D160" s="274"/>
      <c r="E160" s="410"/>
      <c r="F160" s="274"/>
      <c r="G160" s="409"/>
      <c r="H160" s="410"/>
      <c r="I160" s="274"/>
      <c r="J160" s="274"/>
      <c r="K160" s="274"/>
      <c r="L160" s="274"/>
      <c r="M160" s="274"/>
      <c r="N160" s="274"/>
      <c r="O160" s="274"/>
      <c r="P160" s="274"/>
      <c r="Q160" s="274"/>
      <c r="R160" s="274"/>
      <c r="S160" s="274"/>
      <c r="T160" s="274"/>
      <c r="U160" s="274"/>
      <c r="V160" s="274"/>
      <c r="W160" s="274"/>
      <c r="X160" s="274"/>
      <c r="Y160" s="274"/>
      <c r="Z160" s="274"/>
    </row>
    <row r="161" spans="1:26" ht="15.75" customHeight="1" x14ac:dyDescent="0.25">
      <c r="A161" s="274"/>
      <c r="B161" s="274"/>
      <c r="C161" s="409"/>
      <c r="D161" s="274"/>
      <c r="E161" s="410"/>
      <c r="F161" s="274"/>
      <c r="G161" s="409"/>
      <c r="H161" s="410"/>
      <c r="I161" s="274"/>
      <c r="J161" s="274"/>
      <c r="K161" s="274"/>
      <c r="L161" s="274"/>
      <c r="M161" s="274"/>
      <c r="N161" s="274"/>
      <c r="O161" s="274"/>
      <c r="P161" s="274"/>
      <c r="Q161" s="274"/>
      <c r="R161" s="274"/>
      <c r="S161" s="274"/>
      <c r="T161" s="274"/>
      <c r="U161" s="274"/>
      <c r="V161" s="274"/>
      <c r="W161" s="274"/>
      <c r="X161" s="274"/>
      <c r="Y161" s="274"/>
      <c r="Z161" s="274"/>
    </row>
    <row r="162" spans="1:26" ht="15.75" customHeight="1" x14ac:dyDescent="0.25">
      <c r="A162" s="274"/>
      <c r="B162" s="274"/>
      <c r="C162" s="409"/>
      <c r="D162" s="274"/>
      <c r="E162" s="410"/>
      <c r="F162" s="274"/>
      <c r="G162" s="409"/>
      <c r="H162" s="410"/>
      <c r="I162" s="274"/>
      <c r="J162" s="274"/>
      <c r="K162" s="274"/>
      <c r="L162" s="274"/>
      <c r="M162" s="274"/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</row>
    <row r="163" spans="1:26" ht="15.75" customHeight="1" x14ac:dyDescent="0.25">
      <c r="A163" s="274"/>
      <c r="B163" s="274"/>
      <c r="C163" s="409"/>
      <c r="D163" s="274"/>
      <c r="E163" s="410"/>
      <c r="F163" s="274"/>
      <c r="G163" s="409"/>
      <c r="H163" s="410"/>
      <c r="I163" s="274"/>
      <c r="J163" s="274"/>
      <c r="K163" s="274"/>
      <c r="L163" s="274"/>
      <c r="M163" s="274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74"/>
      <c r="Y163" s="274"/>
      <c r="Z163" s="274"/>
    </row>
    <row r="164" spans="1:26" ht="15.75" customHeight="1" x14ac:dyDescent="0.25">
      <c r="A164" s="274"/>
      <c r="B164" s="274"/>
      <c r="C164" s="409"/>
      <c r="D164" s="274"/>
      <c r="E164" s="410"/>
      <c r="F164" s="274"/>
      <c r="G164" s="409"/>
      <c r="H164" s="410"/>
      <c r="I164" s="274"/>
      <c r="J164" s="274"/>
      <c r="K164" s="274"/>
      <c r="L164" s="274"/>
      <c r="M164" s="274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74"/>
      <c r="Y164" s="274"/>
      <c r="Z164" s="274"/>
    </row>
    <row r="165" spans="1:26" ht="15.75" customHeight="1" x14ac:dyDescent="0.25">
      <c r="A165" s="274"/>
      <c r="B165" s="274"/>
      <c r="C165" s="409"/>
      <c r="D165" s="274"/>
      <c r="E165" s="410"/>
      <c r="F165" s="274"/>
      <c r="G165" s="409"/>
      <c r="H165" s="410"/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</row>
    <row r="166" spans="1:26" ht="15.75" customHeight="1" x14ac:dyDescent="0.25">
      <c r="A166" s="274"/>
      <c r="B166" s="274"/>
      <c r="C166" s="409"/>
      <c r="D166" s="274"/>
      <c r="E166" s="410"/>
      <c r="F166" s="274"/>
      <c r="G166" s="409"/>
      <c r="H166" s="410"/>
      <c r="I166" s="274"/>
      <c r="J166" s="274"/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</row>
    <row r="167" spans="1:26" ht="15.75" customHeight="1" x14ac:dyDescent="0.25">
      <c r="A167" s="274"/>
      <c r="B167" s="274"/>
      <c r="C167" s="409"/>
      <c r="D167" s="274"/>
      <c r="E167" s="410"/>
      <c r="F167" s="274"/>
      <c r="G167" s="409"/>
      <c r="H167" s="410"/>
      <c r="I167" s="274"/>
      <c r="J167" s="274"/>
      <c r="K167" s="274"/>
      <c r="L167" s="274"/>
      <c r="M167" s="274"/>
      <c r="N167" s="274"/>
      <c r="O167" s="274"/>
      <c r="P167" s="274"/>
      <c r="Q167" s="274"/>
      <c r="R167" s="274"/>
      <c r="S167" s="274"/>
      <c r="T167" s="274"/>
      <c r="U167" s="274"/>
      <c r="V167" s="274"/>
      <c r="W167" s="274"/>
      <c r="X167" s="274"/>
      <c r="Y167" s="274"/>
      <c r="Z167" s="274"/>
    </row>
    <row r="168" spans="1:26" ht="15.75" customHeight="1" x14ac:dyDescent="0.25">
      <c r="A168" s="274"/>
      <c r="B168" s="274"/>
      <c r="C168" s="409"/>
      <c r="D168" s="274"/>
      <c r="E168" s="410"/>
      <c r="F168" s="274"/>
      <c r="G168" s="409"/>
      <c r="H168" s="410"/>
      <c r="I168" s="274"/>
      <c r="J168" s="274"/>
      <c r="K168" s="274"/>
      <c r="L168" s="274"/>
      <c r="M168" s="274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74"/>
      <c r="Y168" s="274"/>
      <c r="Z168" s="274"/>
    </row>
    <row r="169" spans="1:26" ht="15.75" customHeight="1" x14ac:dyDescent="0.25">
      <c r="A169" s="274"/>
      <c r="B169" s="274"/>
      <c r="C169" s="409"/>
      <c r="D169" s="274"/>
      <c r="E169" s="410"/>
      <c r="F169" s="274"/>
      <c r="G169" s="409"/>
      <c r="H169" s="410"/>
      <c r="I169" s="274"/>
      <c r="J169" s="274"/>
      <c r="K169" s="274"/>
      <c r="L169" s="274"/>
      <c r="M169" s="274"/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74"/>
      <c r="Y169" s="274"/>
      <c r="Z169" s="274"/>
    </row>
    <row r="170" spans="1:26" ht="15.75" customHeight="1" x14ac:dyDescent="0.25">
      <c r="A170" s="274"/>
      <c r="B170" s="274"/>
      <c r="C170" s="409"/>
      <c r="D170" s="274"/>
      <c r="E170" s="410"/>
      <c r="F170" s="274"/>
      <c r="G170" s="409"/>
      <c r="H170" s="410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</row>
    <row r="171" spans="1:26" ht="15.75" customHeight="1" x14ac:dyDescent="0.25">
      <c r="A171" s="274"/>
      <c r="B171" s="274"/>
      <c r="C171" s="409"/>
      <c r="D171" s="274"/>
      <c r="E171" s="410"/>
      <c r="F171" s="274"/>
      <c r="G171" s="409"/>
      <c r="H171" s="410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</row>
    <row r="172" spans="1:26" ht="15.75" customHeight="1" x14ac:dyDescent="0.25">
      <c r="A172" s="274"/>
      <c r="B172" s="274"/>
      <c r="C172" s="409"/>
      <c r="D172" s="274"/>
      <c r="E172" s="410"/>
      <c r="F172" s="274"/>
      <c r="G172" s="409"/>
      <c r="H172" s="410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</row>
    <row r="173" spans="1:26" ht="15.75" customHeight="1" x14ac:dyDescent="0.25">
      <c r="A173" s="274"/>
      <c r="B173" s="274"/>
      <c r="C173" s="409"/>
      <c r="D173" s="274"/>
      <c r="E173" s="410"/>
      <c r="F173" s="274"/>
      <c r="G173" s="409"/>
      <c r="H173" s="410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</row>
    <row r="174" spans="1:26" ht="15.75" customHeight="1" x14ac:dyDescent="0.25">
      <c r="A174" s="274"/>
      <c r="B174" s="274"/>
      <c r="C174" s="409"/>
      <c r="D174" s="274"/>
      <c r="E174" s="410"/>
      <c r="F174" s="274"/>
      <c r="G174" s="409"/>
      <c r="H174" s="410"/>
      <c r="I174" s="274"/>
      <c r="J174" s="274"/>
      <c r="K174" s="274"/>
      <c r="L174" s="274"/>
      <c r="M174" s="274"/>
      <c r="N174" s="274"/>
      <c r="O174" s="274"/>
      <c r="P174" s="274"/>
      <c r="Q174" s="274"/>
      <c r="R174" s="274"/>
      <c r="S174" s="274"/>
      <c r="T174" s="274"/>
      <c r="U174" s="274"/>
      <c r="V174" s="274"/>
      <c r="W174" s="274"/>
      <c r="X174" s="274"/>
      <c r="Y174" s="274"/>
      <c r="Z174" s="274"/>
    </row>
    <row r="175" spans="1:26" ht="15.75" customHeight="1" x14ac:dyDescent="0.25">
      <c r="A175" s="274"/>
      <c r="B175" s="274"/>
      <c r="C175" s="409"/>
      <c r="D175" s="274"/>
      <c r="E175" s="410"/>
      <c r="F175" s="274"/>
      <c r="G175" s="409"/>
      <c r="H175" s="410"/>
      <c r="I175" s="274"/>
      <c r="J175" s="274"/>
      <c r="K175" s="274"/>
      <c r="L175" s="274"/>
      <c r="M175" s="274"/>
      <c r="N175" s="274"/>
      <c r="O175" s="274"/>
      <c r="P175" s="274"/>
      <c r="Q175" s="274"/>
      <c r="R175" s="274"/>
      <c r="S175" s="274"/>
      <c r="T175" s="274"/>
      <c r="U175" s="274"/>
      <c r="V175" s="274"/>
      <c r="W175" s="274"/>
      <c r="X175" s="274"/>
      <c r="Y175" s="274"/>
      <c r="Z175" s="274"/>
    </row>
    <row r="176" spans="1:26" ht="15.75" customHeight="1" x14ac:dyDescent="0.25">
      <c r="A176" s="274"/>
      <c r="B176" s="274"/>
      <c r="C176" s="409"/>
      <c r="D176" s="274"/>
      <c r="E176" s="410"/>
      <c r="F176" s="274"/>
      <c r="G176" s="409"/>
      <c r="H176" s="410"/>
      <c r="I176" s="274"/>
      <c r="J176" s="274"/>
      <c r="K176" s="274"/>
      <c r="L176" s="274"/>
      <c r="M176" s="274"/>
      <c r="N176" s="274"/>
      <c r="O176" s="274"/>
      <c r="P176" s="274"/>
      <c r="Q176" s="274"/>
      <c r="R176" s="274"/>
      <c r="S176" s="274"/>
      <c r="T176" s="274"/>
      <c r="U176" s="274"/>
      <c r="V176" s="274"/>
      <c r="W176" s="274"/>
      <c r="X176" s="274"/>
      <c r="Y176" s="274"/>
      <c r="Z176" s="274"/>
    </row>
    <row r="177" spans="1:26" ht="15.75" customHeight="1" x14ac:dyDescent="0.25">
      <c r="A177" s="274"/>
      <c r="B177" s="274"/>
      <c r="C177" s="409"/>
      <c r="D177" s="274"/>
      <c r="E177" s="410"/>
      <c r="F177" s="274"/>
      <c r="G177" s="409"/>
      <c r="H177" s="410"/>
      <c r="I177" s="274"/>
      <c r="J177" s="274"/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</row>
    <row r="178" spans="1:26" ht="15.75" customHeight="1" x14ac:dyDescent="0.25">
      <c r="A178" s="274"/>
      <c r="B178" s="274"/>
      <c r="C178" s="409"/>
      <c r="D178" s="274"/>
      <c r="E178" s="410"/>
      <c r="F178" s="274"/>
      <c r="G178" s="409"/>
      <c r="H178" s="410"/>
      <c r="I178" s="274"/>
      <c r="J178" s="274"/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</row>
    <row r="179" spans="1:26" ht="15.75" customHeight="1" x14ac:dyDescent="0.25">
      <c r="A179" s="274"/>
      <c r="B179" s="274"/>
      <c r="C179" s="409"/>
      <c r="D179" s="274"/>
      <c r="E179" s="410"/>
      <c r="F179" s="274"/>
      <c r="G179" s="409"/>
      <c r="H179" s="410"/>
      <c r="I179" s="274"/>
      <c r="J179" s="274"/>
      <c r="K179" s="274"/>
      <c r="L179" s="274"/>
      <c r="M179" s="274"/>
      <c r="N179" s="274"/>
      <c r="O179" s="274"/>
      <c r="P179" s="274"/>
      <c r="Q179" s="274"/>
      <c r="R179" s="274"/>
      <c r="S179" s="274"/>
      <c r="T179" s="274"/>
      <c r="U179" s="274"/>
      <c r="V179" s="274"/>
      <c r="W179" s="274"/>
      <c r="X179" s="274"/>
      <c r="Y179" s="274"/>
      <c r="Z179" s="274"/>
    </row>
    <row r="180" spans="1:26" ht="15.75" customHeight="1" x14ac:dyDescent="0.25">
      <c r="A180" s="274"/>
      <c r="B180" s="274"/>
      <c r="C180" s="409"/>
      <c r="D180" s="274"/>
      <c r="E180" s="410"/>
      <c r="F180" s="274"/>
      <c r="G180" s="409"/>
      <c r="H180" s="410"/>
      <c r="I180" s="274"/>
      <c r="J180" s="274"/>
      <c r="K180" s="274"/>
      <c r="L180" s="274"/>
      <c r="M180" s="274"/>
      <c r="N180" s="274"/>
      <c r="O180" s="274"/>
      <c r="P180" s="274"/>
      <c r="Q180" s="274"/>
      <c r="R180" s="274"/>
      <c r="S180" s="274"/>
      <c r="T180" s="274"/>
      <c r="U180" s="274"/>
      <c r="V180" s="274"/>
      <c r="W180" s="274"/>
      <c r="X180" s="274"/>
      <c r="Y180" s="274"/>
      <c r="Z180" s="274"/>
    </row>
    <row r="181" spans="1:26" ht="15.75" customHeight="1" x14ac:dyDescent="0.25">
      <c r="A181" s="274"/>
      <c r="B181" s="274"/>
      <c r="C181" s="409"/>
      <c r="D181" s="274"/>
      <c r="E181" s="410"/>
      <c r="F181" s="274"/>
      <c r="G181" s="409"/>
      <c r="H181" s="410"/>
      <c r="I181" s="274"/>
      <c r="J181" s="274"/>
      <c r="K181" s="274"/>
      <c r="L181" s="274"/>
      <c r="M181" s="274"/>
      <c r="N181" s="274"/>
      <c r="O181" s="274"/>
      <c r="P181" s="274"/>
      <c r="Q181" s="274"/>
      <c r="R181" s="274"/>
      <c r="S181" s="274"/>
      <c r="T181" s="274"/>
      <c r="U181" s="274"/>
      <c r="V181" s="274"/>
      <c r="W181" s="274"/>
      <c r="X181" s="274"/>
      <c r="Y181" s="274"/>
      <c r="Z181" s="274"/>
    </row>
    <row r="182" spans="1:26" ht="15.75" customHeight="1" x14ac:dyDescent="0.25">
      <c r="A182" s="274"/>
      <c r="B182" s="274"/>
      <c r="C182" s="409"/>
      <c r="D182" s="274"/>
      <c r="E182" s="410"/>
      <c r="F182" s="274"/>
      <c r="G182" s="409"/>
      <c r="H182" s="410"/>
      <c r="I182" s="274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</row>
    <row r="183" spans="1:26" ht="15.75" customHeight="1" x14ac:dyDescent="0.25">
      <c r="A183" s="274"/>
      <c r="B183" s="274"/>
      <c r="C183" s="409"/>
      <c r="D183" s="274"/>
      <c r="E183" s="410"/>
      <c r="F183" s="274"/>
      <c r="G183" s="409"/>
      <c r="H183" s="410"/>
      <c r="I183" s="274"/>
      <c r="J183" s="274"/>
      <c r="K183" s="274"/>
      <c r="L183" s="274"/>
      <c r="M183" s="274"/>
      <c r="N183" s="274"/>
      <c r="O183" s="274"/>
      <c r="P183" s="274"/>
      <c r="Q183" s="274"/>
      <c r="R183" s="274"/>
      <c r="S183" s="274"/>
      <c r="T183" s="274"/>
      <c r="U183" s="274"/>
      <c r="V183" s="274"/>
      <c r="W183" s="274"/>
      <c r="X183" s="274"/>
      <c r="Y183" s="274"/>
      <c r="Z183" s="274"/>
    </row>
    <row r="184" spans="1:26" ht="15.75" customHeight="1" x14ac:dyDescent="0.25">
      <c r="A184" s="274"/>
      <c r="B184" s="274"/>
      <c r="C184" s="409"/>
      <c r="D184" s="274"/>
      <c r="E184" s="410"/>
      <c r="F184" s="274"/>
      <c r="G184" s="409"/>
      <c r="H184" s="410"/>
      <c r="I184" s="274"/>
      <c r="J184" s="274"/>
      <c r="K184" s="274"/>
      <c r="L184" s="274"/>
      <c r="M184" s="274"/>
      <c r="N184" s="274"/>
      <c r="O184" s="274"/>
      <c r="P184" s="274"/>
      <c r="Q184" s="274"/>
      <c r="R184" s="274"/>
      <c r="S184" s="274"/>
      <c r="T184" s="274"/>
      <c r="U184" s="274"/>
      <c r="V184" s="274"/>
      <c r="W184" s="274"/>
      <c r="X184" s="274"/>
      <c r="Y184" s="274"/>
      <c r="Z184" s="274"/>
    </row>
    <row r="185" spans="1:26" ht="15.75" customHeight="1" x14ac:dyDescent="0.25">
      <c r="A185" s="274"/>
      <c r="B185" s="274"/>
      <c r="C185" s="409"/>
      <c r="D185" s="274"/>
      <c r="E185" s="410"/>
      <c r="F185" s="274"/>
      <c r="G185" s="409"/>
      <c r="H185" s="410"/>
      <c r="I185" s="274"/>
      <c r="J185" s="274"/>
      <c r="K185" s="274"/>
      <c r="L185" s="274"/>
      <c r="M185" s="274"/>
      <c r="N185" s="274"/>
      <c r="O185" s="274"/>
      <c r="P185" s="274"/>
      <c r="Q185" s="274"/>
      <c r="R185" s="274"/>
      <c r="S185" s="274"/>
      <c r="T185" s="274"/>
      <c r="U185" s="274"/>
      <c r="V185" s="274"/>
      <c r="W185" s="274"/>
      <c r="X185" s="274"/>
      <c r="Y185" s="274"/>
      <c r="Z185" s="274"/>
    </row>
    <row r="186" spans="1:26" ht="15.75" customHeight="1" x14ac:dyDescent="0.25">
      <c r="A186" s="274"/>
      <c r="B186" s="274"/>
      <c r="C186" s="409"/>
      <c r="D186" s="274"/>
      <c r="E186" s="410"/>
      <c r="F186" s="274"/>
      <c r="G186" s="409"/>
      <c r="H186" s="410"/>
      <c r="I186" s="274"/>
      <c r="J186" s="274"/>
      <c r="K186" s="274"/>
      <c r="L186" s="274"/>
      <c r="M186" s="274"/>
      <c r="N186" s="274"/>
      <c r="O186" s="274"/>
      <c r="P186" s="274"/>
      <c r="Q186" s="274"/>
      <c r="R186" s="274"/>
      <c r="S186" s="274"/>
      <c r="T186" s="274"/>
      <c r="U186" s="274"/>
      <c r="V186" s="274"/>
      <c r="W186" s="274"/>
      <c r="X186" s="274"/>
      <c r="Y186" s="274"/>
      <c r="Z186" s="274"/>
    </row>
    <row r="187" spans="1:26" ht="15.75" customHeight="1" x14ac:dyDescent="0.25">
      <c r="A187" s="274"/>
      <c r="B187" s="274"/>
      <c r="C187" s="409"/>
      <c r="D187" s="274"/>
      <c r="E187" s="410"/>
      <c r="F187" s="274"/>
      <c r="G187" s="409"/>
      <c r="H187" s="410"/>
      <c r="I187" s="274"/>
      <c r="J187" s="274"/>
      <c r="K187" s="274"/>
      <c r="L187" s="274"/>
      <c r="M187" s="274"/>
      <c r="N187" s="274"/>
      <c r="O187" s="274"/>
      <c r="P187" s="274"/>
      <c r="Q187" s="274"/>
      <c r="R187" s="274"/>
      <c r="S187" s="274"/>
      <c r="T187" s="274"/>
      <c r="U187" s="274"/>
      <c r="V187" s="274"/>
      <c r="W187" s="274"/>
      <c r="X187" s="274"/>
      <c r="Y187" s="274"/>
      <c r="Z187" s="274"/>
    </row>
    <row r="188" spans="1:26" ht="15.75" customHeight="1" x14ac:dyDescent="0.25">
      <c r="A188" s="274"/>
      <c r="B188" s="274"/>
      <c r="C188" s="409"/>
      <c r="D188" s="274"/>
      <c r="E188" s="410"/>
      <c r="F188" s="274"/>
      <c r="G188" s="409"/>
      <c r="H188" s="410"/>
      <c r="I188" s="274"/>
      <c r="J188" s="274"/>
      <c r="K188" s="274"/>
      <c r="L188" s="274"/>
      <c r="M188" s="274"/>
      <c r="N188" s="274"/>
      <c r="O188" s="274"/>
      <c r="P188" s="274"/>
      <c r="Q188" s="274"/>
      <c r="R188" s="274"/>
      <c r="S188" s="274"/>
      <c r="T188" s="274"/>
      <c r="U188" s="274"/>
      <c r="V188" s="274"/>
      <c r="W188" s="274"/>
      <c r="X188" s="274"/>
      <c r="Y188" s="274"/>
      <c r="Z188" s="274"/>
    </row>
    <row r="189" spans="1:26" ht="15.75" customHeight="1" x14ac:dyDescent="0.25">
      <c r="A189" s="274"/>
      <c r="B189" s="274"/>
      <c r="C189" s="409"/>
      <c r="D189" s="274"/>
      <c r="E189" s="410"/>
      <c r="F189" s="274"/>
      <c r="G189" s="409"/>
      <c r="H189" s="410"/>
      <c r="I189" s="274"/>
      <c r="J189" s="274"/>
      <c r="K189" s="274"/>
      <c r="L189" s="274"/>
      <c r="M189" s="274"/>
      <c r="N189" s="274"/>
      <c r="O189" s="274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</row>
    <row r="190" spans="1:26" ht="15.75" customHeight="1" x14ac:dyDescent="0.25">
      <c r="A190" s="274"/>
      <c r="B190" s="274"/>
      <c r="C190" s="409"/>
      <c r="D190" s="274"/>
      <c r="E190" s="410"/>
      <c r="F190" s="274"/>
      <c r="G190" s="409"/>
      <c r="H190" s="410"/>
      <c r="I190" s="274"/>
      <c r="J190" s="274"/>
      <c r="K190" s="274"/>
      <c r="L190" s="274"/>
      <c r="M190" s="274"/>
      <c r="N190" s="274"/>
      <c r="O190" s="274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</row>
    <row r="191" spans="1:26" ht="15.75" customHeight="1" x14ac:dyDescent="0.25">
      <c r="A191" s="274"/>
      <c r="B191" s="274"/>
      <c r="C191" s="409"/>
      <c r="D191" s="274"/>
      <c r="E191" s="410"/>
      <c r="F191" s="274"/>
      <c r="G191" s="409"/>
      <c r="H191" s="410"/>
      <c r="I191" s="274"/>
      <c r="J191" s="274"/>
      <c r="K191" s="274"/>
      <c r="L191" s="274"/>
      <c r="M191" s="274"/>
      <c r="N191" s="274"/>
      <c r="O191" s="274"/>
      <c r="P191" s="274"/>
      <c r="Q191" s="274"/>
      <c r="R191" s="274"/>
      <c r="S191" s="274"/>
      <c r="T191" s="274"/>
      <c r="U191" s="274"/>
      <c r="V191" s="274"/>
      <c r="W191" s="274"/>
      <c r="X191" s="274"/>
      <c r="Y191" s="274"/>
      <c r="Z191" s="274"/>
    </row>
    <row r="192" spans="1:26" ht="15.75" customHeight="1" x14ac:dyDescent="0.25">
      <c r="A192" s="274"/>
      <c r="B192" s="274"/>
      <c r="C192" s="409"/>
      <c r="D192" s="274"/>
      <c r="E192" s="410"/>
      <c r="F192" s="274"/>
      <c r="G192" s="409"/>
      <c r="H192" s="410"/>
      <c r="I192" s="274"/>
      <c r="J192" s="274"/>
      <c r="K192" s="274"/>
      <c r="L192" s="274"/>
      <c r="M192" s="274"/>
      <c r="N192" s="274"/>
      <c r="O192" s="274"/>
      <c r="P192" s="274"/>
      <c r="Q192" s="274"/>
      <c r="R192" s="274"/>
      <c r="S192" s="274"/>
      <c r="T192" s="274"/>
      <c r="U192" s="274"/>
      <c r="V192" s="274"/>
      <c r="W192" s="274"/>
      <c r="X192" s="274"/>
      <c r="Y192" s="274"/>
      <c r="Z192" s="274"/>
    </row>
    <row r="193" spans="1:26" ht="15.75" customHeight="1" x14ac:dyDescent="0.25">
      <c r="A193" s="274"/>
      <c r="B193" s="274"/>
      <c r="C193" s="409"/>
      <c r="D193" s="274"/>
      <c r="E193" s="410"/>
      <c r="F193" s="274"/>
      <c r="G193" s="409"/>
      <c r="H193" s="410"/>
      <c r="I193" s="274"/>
      <c r="J193" s="274"/>
      <c r="K193" s="274"/>
      <c r="L193" s="274"/>
      <c r="M193" s="274"/>
      <c r="N193" s="274"/>
      <c r="O193" s="274"/>
      <c r="P193" s="274"/>
      <c r="Q193" s="274"/>
      <c r="R193" s="274"/>
      <c r="S193" s="274"/>
      <c r="T193" s="274"/>
      <c r="U193" s="274"/>
      <c r="V193" s="274"/>
      <c r="W193" s="274"/>
      <c r="X193" s="274"/>
      <c r="Y193" s="274"/>
      <c r="Z193" s="274"/>
    </row>
    <row r="194" spans="1:26" ht="15.75" customHeight="1" x14ac:dyDescent="0.25">
      <c r="A194" s="274"/>
      <c r="B194" s="274"/>
      <c r="C194" s="409"/>
      <c r="D194" s="274"/>
      <c r="E194" s="410"/>
      <c r="F194" s="274"/>
      <c r="G194" s="409"/>
      <c r="H194" s="410"/>
      <c r="I194" s="274"/>
      <c r="J194" s="274"/>
      <c r="K194" s="274"/>
      <c r="L194" s="274"/>
      <c r="M194" s="274"/>
      <c r="N194" s="274"/>
      <c r="O194" s="274"/>
      <c r="P194" s="274"/>
      <c r="Q194" s="274"/>
      <c r="R194" s="274"/>
      <c r="S194" s="274"/>
      <c r="T194" s="274"/>
      <c r="U194" s="274"/>
      <c r="V194" s="274"/>
      <c r="W194" s="274"/>
      <c r="X194" s="274"/>
      <c r="Y194" s="274"/>
      <c r="Z194" s="274"/>
    </row>
    <row r="195" spans="1:26" ht="15.75" customHeight="1" x14ac:dyDescent="0.25">
      <c r="A195" s="274"/>
      <c r="B195" s="274"/>
      <c r="C195" s="409"/>
      <c r="D195" s="274"/>
      <c r="E195" s="410"/>
      <c r="F195" s="274"/>
      <c r="G195" s="409"/>
      <c r="H195" s="410"/>
      <c r="I195" s="274"/>
      <c r="J195" s="274"/>
      <c r="K195" s="274"/>
      <c r="L195" s="274"/>
      <c r="M195" s="274"/>
      <c r="N195" s="274"/>
      <c r="O195" s="274"/>
      <c r="P195" s="274"/>
      <c r="Q195" s="274"/>
      <c r="R195" s="274"/>
      <c r="S195" s="274"/>
      <c r="T195" s="274"/>
      <c r="U195" s="274"/>
      <c r="V195" s="274"/>
      <c r="W195" s="274"/>
      <c r="X195" s="274"/>
      <c r="Y195" s="274"/>
      <c r="Z195" s="274"/>
    </row>
    <row r="196" spans="1:26" ht="15.75" customHeight="1" x14ac:dyDescent="0.25">
      <c r="A196" s="274"/>
      <c r="B196" s="274"/>
      <c r="C196" s="409"/>
      <c r="D196" s="274"/>
      <c r="E196" s="410"/>
      <c r="F196" s="274"/>
      <c r="G196" s="409"/>
      <c r="H196" s="410"/>
      <c r="I196" s="274"/>
      <c r="J196" s="274"/>
      <c r="K196" s="274"/>
      <c r="L196" s="274"/>
      <c r="M196" s="274"/>
      <c r="N196" s="274"/>
      <c r="O196" s="274"/>
      <c r="P196" s="274"/>
      <c r="Q196" s="274"/>
      <c r="R196" s="274"/>
      <c r="S196" s="274"/>
      <c r="T196" s="274"/>
      <c r="U196" s="274"/>
      <c r="V196" s="274"/>
      <c r="W196" s="274"/>
      <c r="X196" s="274"/>
      <c r="Y196" s="274"/>
      <c r="Z196" s="274"/>
    </row>
    <row r="197" spans="1:26" ht="15.75" customHeight="1" x14ac:dyDescent="0.25">
      <c r="A197" s="274"/>
      <c r="B197" s="274"/>
      <c r="C197" s="409"/>
      <c r="D197" s="274"/>
      <c r="E197" s="410"/>
      <c r="F197" s="274"/>
      <c r="G197" s="409"/>
      <c r="H197" s="410"/>
      <c r="I197" s="274"/>
      <c r="J197" s="274"/>
      <c r="K197" s="274"/>
      <c r="L197" s="274"/>
      <c r="M197" s="274"/>
      <c r="N197" s="274"/>
      <c r="O197" s="274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</row>
    <row r="198" spans="1:26" ht="15.75" customHeight="1" x14ac:dyDescent="0.25">
      <c r="A198" s="274"/>
      <c r="B198" s="274"/>
      <c r="C198" s="409"/>
      <c r="D198" s="274"/>
      <c r="E198" s="410"/>
      <c r="F198" s="274"/>
      <c r="G198" s="409"/>
      <c r="H198" s="410"/>
      <c r="I198" s="274"/>
      <c r="J198" s="274"/>
      <c r="K198" s="274"/>
      <c r="L198" s="274"/>
      <c r="M198" s="274"/>
      <c r="N198" s="274"/>
      <c r="O198" s="274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</row>
    <row r="199" spans="1:26" ht="15.75" customHeight="1" x14ac:dyDescent="0.25">
      <c r="A199" s="274"/>
      <c r="B199" s="274"/>
      <c r="C199" s="409"/>
      <c r="D199" s="274"/>
      <c r="E199" s="410"/>
      <c r="F199" s="274"/>
      <c r="G199" s="409"/>
      <c r="H199" s="410"/>
      <c r="I199" s="274"/>
      <c r="J199" s="274"/>
      <c r="K199" s="274"/>
      <c r="L199" s="274"/>
      <c r="M199" s="274"/>
      <c r="N199" s="274"/>
      <c r="O199" s="274"/>
      <c r="P199" s="274"/>
      <c r="Q199" s="274"/>
      <c r="R199" s="274"/>
      <c r="S199" s="274"/>
      <c r="T199" s="274"/>
      <c r="U199" s="274"/>
      <c r="V199" s="274"/>
      <c r="W199" s="274"/>
      <c r="X199" s="274"/>
      <c r="Y199" s="274"/>
      <c r="Z199" s="274"/>
    </row>
    <row r="200" spans="1:26" ht="15.75" customHeight="1" x14ac:dyDescent="0.25">
      <c r="A200" s="274"/>
      <c r="B200" s="274"/>
      <c r="C200" s="409"/>
      <c r="D200" s="274"/>
      <c r="E200" s="410"/>
      <c r="F200" s="274"/>
      <c r="G200" s="409"/>
      <c r="H200" s="410"/>
      <c r="I200" s="274"/>
      <c r="J200" s="274"/>
      <c r="K200" s="274"/>
      <c r="L200" s="274"/>
      <c r="M200" s="274"/>
      <c r="N200" s="274"/>
      <c r="O200" s="274"/>
      <c r="P200" s="274"/>
      <c r="Q200" s="274"/>
      <c r="R200" s="274"/>
      <c r="S200" s="274"/>
      <c r="T200" s="274"/>
      <c r="U200" s="274"/>
      <c r="V200" s="274"/>
      <c r="W200" s="274"/>
      <c r="X200" s="274"/>
      <c r="Y200" s="274"/>
      <c r="Z200" s="274"/>
    </row>
    <row r="201" spans="1:26" ht="15.75" customHeight="1" x14ac:dyDescent="0.25">
      <c r="A201" s="274"/>
      <c r="B201" s="274"/>
      <c r="C201" s="409"/>
      <c r="D201" s="274"/>
      <c r="E201" s="410"/>
      <c r="F201" s="274"/>
      <c r="G201" s="409"/>
      <c r="H201" s="410"/>
      <c r="I201" s="274"/>
      <c r="J201" s="274"/>
      <c r="K201" s="274"/>
      <c r="L201" s="274"/>
      <c r="M201" s="274"/>
      <c r="N201" s="274"/>
      <c r="O201" s="274"/>
      <c r="P201" s="274"/>
      <c r="Q201" s="274"/>
      <c r="R201" s="274"/>
      <c r="S201" s="274"/>
      <c r="T201" s="274"/>
      <c r="U201" s="274"/>
      <c r="V201" s="274"/>
      <c r="W201" s="274"/>
      <c r="X201" s="274"/>
      <c r="Y201" s="274"/>
      <c r="Z201" s="274"/>
    </row>
    <row r="202" spans="1:26" ht="15.75" customHeight="1" x14ac:dyDescent="0.25">
      <c r="A202" s="274"/>
      <c r="B202" s="274"/>
      <c r="C202" s="409"/>
      <c r="D202" s="274"/>
      <c r="E202" s="410"/>
      <c r="F202" s="274"/>
      <c r="G202" s="409"/>
      <c r="H202" s="410"/>
      <c r="I202" s="274"/>
      <c r="J202" s="274"/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</row>
    <row r="203" spans="1:26" ht="15.75" customHeight="1" x14ac:dyDescent="0.25">
      <c r="A203" s="274"/>
      <c r="B203" s="274"/>
      <c r="C203" s="409"/>
      <c r="D203" s="274"/>
      <c r="E203" s="410"/>
      <c r="F203" s="274"/>
      <c r="G203" s="409"/>
      <c r="H203" s="410"/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</row>
    <row r="204" spans="1:26" ht="15.75" customHeight="1" x14ac:dyDescent="0.25">
      <c r="A204" s="274"/>
      <c r="B204" s="274"/>
      <c r="C204" s="409"/>
      <c r="D204" s="274"/>
      <c r="E204" s="410"/>
      <c r="F204" s="274"/>
      <c r="G204" s="409"/>
      <c r="H204" s="410"/>
      <c r="I204" s="274"/>
      <c r="J204" s="274"/>
      <c r="K204" s="274"/>
      <c r="L204" s="274"/>
      <c r="M204" s="274"/>
      <c r="N204" s="274"/>
      <c r="O204" s="274"/>
      <c r="P204" s="274"/>
      <c r="Q204" s="274"/>
      <c r="R204" s="274"/>
      <c r="S204" s="274"/>
      <c r="T204" s="274"/>
      <c r="U204" s="274"/>
      <c r="V204" s="274"/>
      <c r="W204" s="274"/>
      <c r="X204" s="274"/>
      <c r="Y204" s="274"/>
      <c r="Z204" s="274"/>
    </row>
    <row r="205" spans="1:26" ht="15.75" customHeight="1" x14ac:dyDescent="0.25">
      <c r="A205" s="274"/>
      <c r="B205" s="274"/>
      <c r="C205" s="409"/>
      <c r="D205" s="274"/>
      <c r="E205" s="410"/>
      <c r="F205" s="274"/>
      <c r="G205" s="409"/>
      <c r="H205" s="410"/>
      <c r="I205" s="274"/>
      <c r="J205" s="274"/>
      <c r="K205" s="274"/>
      <c r="L205" s="274"/>
      <c r="M205" s="274"/>
      <c r="N205" s="274"/>
      <c r="O205" s="274"/>
      <c r="P205" s="274"/>
      <c r="Q205" s="274"/>
      <c r="R205" s="274"/>
      <c r="S205" s="274"/>
      <c r="T205" s="274"/>
      <c r="U205" s="274"/>
      <c r="V205" s="274"/>
      <c r="W205" s="274"/>
      <c r="X205" s="274"/>
      <c r="Y205" s="274"/>
      <c r="Z205" s="274"/>
    </row>
    <row r="206" spans="1:26" ht="15.75" customHeight="1" x14ac:dyDescent="0.25">
      <c r="A206" s="274"/>
      <c r="B206" s="274"/>
      <c r="C206" s="409"/>
      <c r="D206" s="274"/>
      <c r="E206" s="410"/>
      <c r="F206" s="274"/>
      <c r="G206" s="409"/>
      <c r="H206" s="410"/>
      <c r="I206" s="274"/>
      <c r="J206" s="274"/>
      <c r="K206" s="274"/>
      <c r="L206" s="274"/>
      <c r="M206" s="274"/>
      <c r="N206" s="274"/>
      <c r="O206" s="274"/>
      <c r="P206" s="274"/>
      <c r="Q206" s="274"/>
      <c r="R206" s="274"/>
      <c r="S206" s="274"/>
      <c r="T206" s="274"/>
      <c r="U206" s="274"/>
      <c r="V206" s="274"/>
      <c r="W206" s="274"/>
      <c r="X206" s="274"/>
      <c r="Y206" s="274"/>
      <c r="Z206" s="274"/>
    </row>
    <row r="207" spans="1:26" ht="15.75" customHeight="1" x14ac:dyDescent="0.25">
      <c r="A207" s="274"/>
      <c r="B207" s="274"/>
      <c r="C207" s="409"/>
      <c r="D207" s="274"/>
      <c r="E207" s="410"/>
      <c r="F207" s="274"/>
      <c r="G207" s="409"/>
      <c r="H207" s="410"/>
      <c r="I207" s="274"/>
      <c r="J207" s="274"/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</row>
    <row r="208" spans="1:26" ht="15.75" customHeight="1" x14ac:dyDescent="0.25">
      <c r="A208" s="274"/>
      <c r="B208" s="274"/>
      <c r="C208" s="409"/>
      <c r="D208" s="274"/>
      <c r="E208" s="410"/>
      <c r="F208" s="274"/>
      <c r="G208" s="409"/>
      <c r="H208" s="410"/>
      <c r="I208" s="274"/>
      <c r="J208" s="274"/>
      <c r="K208" s="274"/>
      <c r="L208" s="274"/>
      <c r="M208" s="274"/>
      <c r="N208" s="274"/>
      <c r="O208" s="274"/>
      <c r="P208" s="274"/>
      <c r="Q208" s="274"/>
      <c r="R208" s="274"/>
      <c r="S208" s="274"/>
      <c r="T208" s="274"/>
      <c r="U208" s="274"/>
      <c r="V208" s="274"/>
      <c r="W208" s="274"/>
      <c r="X208" s="274"/>
      <c r="Y208" s="274"/>
      <c r="Z208" s="274"/>
    </row>
    <row r="209" spans="1:26" ht="15.75" customHeight="1" x14ac:dyDescent="0.25">
      <c r="A209" s="274"/>
      <c r="B209" s="274"/>
      <c r="C209" s="409"/>
      <c r="D209" s="274"/>
      <c r="E209" s="410"/>
      <c r="F209" s="274"/>
      <c r="G209" s="409"/>
      <c r="H209" s="410"/>
      <c r="I209" s="274"/>
      <c r="J209" s="274"/>
      <c r="K209" s="274"/>
      <c r="L209" s="274"/>
      <c r="M209" s="274"/>
      <c r="N209" s="274"/>
      <c r="O209" s="274"/>
      <c r="P209" s="274"/>
      <c r="Q209" s="274"/>
      <c r="R209" s="274"/>
      <c r="S209" s="274"/>
      <c r="T209" s="274"/>
      <c r="U209" s="274"/>
      <c r="V209" s="274"/>
      <c r="W209" s="274"/>
      <c r="X209" s="274"/>
      <c r="Y209" s="274"/>
      <c r="Z209" s="274"/>
    </row>
    <row r="210" spans="1:26" ht="15.75" customHeight="1" x14ac:dyDescent="0.25">
      <c r="A210" s="274"/>
      <c r="B210" s="274"/>
      <c r="C210" s="409"/>
      <c r="D210" s="274"/>
      <c r="E210" s="410"/>
      <c r="F210" s="274"/>
      <c r="G210" s="409"/>
      <c r="H210" s="410"/>
      <c r="I210" s="274"/>
      <c r="J210" s="274"/>
      <c r="K210" s="274"/>
      <c r="L210" s="274"/>
      <c r="M210" s="274"/>
      <c r="N210" s="274"/>
      <c r="O210" s="274"/>
      <c r="P210" s="274"/>
      <c r="Q210" s="274"/>
      <c r="R210" s="274"/>
      <c r="S210" s="274"/>
      <c r="T210" s="274"/>
      <c r="U210" s="274"/>
      <c r="V210" s="274"/>
      <c r="W210" s="274"/>
      <c r="X210" s="274"/>
      <c r="Y210" s="274"/>
      <c r="Z210" s="274"/>
    </row>
    <row r="211" spans="1:26" ht="15.75" customHeight="1" x14ac:dyDescent="0.25">
      <c r="A211" s="274"/>
      <c r="B211" s="274"/>
      <c r="C211" s="409"/>
      <c r="D211" s="274"/>
      <c r="E211" s="410"/>
      <c r="F211" s="274"/>
      <c r="G211" s="409"/>
      <c r="H211" s="410"/>
      <c r="I211" s="274"/>
      <c r="J211" s="274"/>
      <c r="K211" s="274"/>
      <c r="L211" s="274"/>
      <c r="M211" s="274"/>
      <c r="N211" s="274"/>
      <c r="O211" s="274"/>
      <c r="P211" s="274"/>
      <c r="Q211" s="274"/>
      <c r="R211" s="274"/>
      <c r="S211" s="274"/>
      <c r="T211" s="274"/>
      <c r="U211" s="274"/>
      <c r="V211" s="274"/>
      <c r="W211" s="274"/>
      <c r="X211" s="274"/>
      <c r="Y211" s="274"/>
      <c r="Z211" s="274"/>
    </row>
    <row r="212" spans="1:26" ht="15.75" customHeight="1" x14ac:dyDescent="0.25">
      <c r="A212" s="274"/>
      <c r="B212" s="274"/>
      <c r="C212" s="409"/>
      <c r="D212" s="274"/>
      <c r="E212" s="410"/>
      <c r="F212" s="274"/>
      <c r="G212" s="409"/>
      <c r="H212" s="410"/>
      <c r="I212" s="274"/>
      <c r="J212" s="274"/>
      <c r="K212" s="274"/>
      <c r="L212" s="274"/>
      <c r="M212" s="274"/>
      <c r="N212" s="274"/>
      <c r="O212" s="274"/>
      <c r="P212" s="274"/>
      <c r="Q212" s="274"/>
      <c r="R212" s="274"/>
      <c r="S212" s="274"/>
      <c r="T212" s="274"/>
      <c r="U212" s="274"/>
      <c r="V212" s="274"/>
      <c r="W212" s="274"/>
      <c r="X212" s="274"/>
      <c r="Y212" s="274"/>
      <c r="Z212" s="274"/>
    </row>
    <row r="213" spans="1:26" ht="15.75" customHeight="1" x14ac:dyDescent="0.25">
      <c r="A213" s="274"/>
      <c r="B213" s="274"/>
      <c r="C213" s="409"/>
      <c r="D213" s="274"/>
      <c r="E213" s="410"/>
      <c r="F213" s="274"/>
      <c r="G213" s="409"/>
      <c r="H213" s="410"/>
      <c r="I213" s="274"/>
      <c r="J213" s="274"/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</row>
    <row r="214" spans="1:26" ht="15.75" customHeight="1" x14ac:dyDescent="0.25">
      <c r="A214" s="274"/>
      <c r="B214" s="274"/>
      <c r="C214" s="409"/>
      <c r="D214" s="274"/>
      <c r="E214" s="410"/>
      <c r="F214" s="274"/>
      <c r="G214" s="409"/>
      <c r="H214" s="410"/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</row>
    <row r="215" spans="1:26" ht="15.75" customHeight="1" x14ac:dyDescent="0.25">
      <c r="A215" s="274"/>
      <c r="B215" s="274"/>
      <c r="C215" s="409"/>
      <c r="D215" s="274"/>
      <c r="E215" s="410"/>
      <c r="F215" s="274"/>
      <c r="G215" s="409"/>
      <c r="H215" s="410"/>
      <c r="I215" s="274"/>
      <c r="J215" s="274"/>
      <c r="K215" s="274"/>
      <c r="L215" s="274"/>
      <c r="M215" s="274"/>
      <c r="N215" s="274"/>
      <c r="O215" s="274"/>
      <c r="P215" s="274"/>
      <c r="Q215" s="274"/>
      <c r="R215" s="274"/>
      <c r="S215" s="274"/>
      <c r="T215" s="274"/>
      <c r="U215" s="274"/>
      <c r="V215" s="274"/>
      <c r="W215" s="274"/>
      <c r="X215" s="274"/>
      <c r="Y215" s="274"/>
      <c r="Z215" s="274"/>
    </row>
    <row r="216" spans="1:26" ht="15.75" customHeight="1" x14ac:dyDescent="0.25">
      <c r="A216" s="274"/>
      <c r="B216" s="274"/>
      <c r="C216" s="409"/>
      <c r="D216" s="274"/>
      <c r="E216" s="410"/>
      <c r="F216" s="274"/>
      <c r="G216" s="409"/>
      <c r="H216" s="410"/>
      <c r="I216" s="274"/>
      <c r="J216" s="274"/>
      <c r="K216" s="274"/>
      <c r="L216" s="274"/>
      <c r="M216" s="274"/>
      <c r="N216" s="274"/>
      <c r="O216" s="274"/>
      <c r="P216" s="274"/>
      <c r="Q216" s="274"/>
      <c r="R216" s="274"/>
      <c r="S216" s="274"/>
      <c r="T216" s="274"/>
      <c r="U216" s="274"/>
      <c r="V216" s="274"/>
      <c r="W216" s="274"/>
      <c r="X216" s="274"/>
      <c r="Y216" s="274"/>
      <c r="Z216" s="274"/>
    </row>
    <row r="217" spans="1:26" ht="15.75" customHeight="1" x14ac:dyDescent="0.25">
      <c r="A217" s="274"/>
      <c r="B217" s="274"/>
      <c r="C217" s="409"/>
      <c r="D217" s="274"/>
      <c r="E217" s="410"/>
      <c r="F217" s="274"/>
      <c r="G217" s="409"/>
      <c r="H217" s="410"/>
      <c r="I217" s="274"/>
      <c r="J217" s="274"/>
      <c r="K217" s="274"/>
      <c r="L217" s="274"/>
      <c r="M217" s="274"/>
      <c r="N217" s="274"/>
      <c r="O217" s="274"/>
      <c r="P217" s="274"/>
      <c r="Q217" s="274"/>
      <c r="R217" s="274"/>
      <c r="S217" s="274"/>
      <c r="T217" s="274"/>
      <c r="U217" s="274"/>
      <c r="V217" s="274"/>
      <c r="W217" s="274"/>
      <c r="X217" s="274"/>
      <c r="Y217" s="274"/>
      <c r="Z217" s="274"/>
    </row>
    <row r="218" spans="1:26" ht="15.75" customHeight="1" x14ac:dyDescent="0.25">
      <c r="A218" s="274"/>
      <c r="B218" s="274"/>
      <c r="C218" s="409"/>
      <c r="D218" s="274"/>
      <c r="E218" s="410"/>
      <c r="F218" s="274"/>
      <c r="G218" s="409"/>
      <c r="H218" s="410"/>
      <c r="I218" s="274"/>
      <c r="J218" s="274"/>
      <c r="K218" s="274"/>
      <c r="L218" s="274"/>
      <c r="M218" s="274"/>
      <c r="N218" s="274"/>
      <c r="O218" s="274"/>
      <c r="P218" s="274"/>
      <c r="Q218" s="274"/>
      <c r="R218" s="274"/>
      <c r="S218" s="274"/>
      <c r="T218" s="274"/>
      <c r="U218" s="274"/>
      <c r="V218" s="274"/>
      <c r="W218" s="274"/>
      <c r="X218" s="274"/>
      <c r="Y218" s="274"/>
      <c r="Z218" s="274"/>
    </row>
    <row r="219" spans="1:26" ht="15.75" customHeight="1" x14ac:dyDescent="0.25">
      <c r="A219" s="274"/>
      <c r="B219" s="274"/>
      <c r="C219" s="409"/>
      <c r="D219" s="274"/>
      <c r="E219" s="410"/>
      <c r="F219" s="274"/>
      <c r="G219" s="409"/>
      <c r="H219" s="410"/>
      <c r="I219" s="274"/>
      <c r="J219" s="274"/>
      <c r="K219" s="274"/>
      <c r="L219" s="274"/>
      <c r="M219" s="274"/>
      <c r="N219" s="274"/>
      <c r="O219" s="274"/>
      <c r="P219" s="274"/>
      <c r="Q219" s="274"/>
      <c r="R219" s="274"/>
      <c r="S219" s="274"/>
      <c r="T219" s="274"/>
      <c r="U219" s="274"/>
      <c r="V219" s="274"/>
      <c r="W219" s="274"/>
      <c r="X219" s="274"/>
      <c r="Y219" s="274"/>
      <c r="Z219" s="274"/>
    </row>
    <row r="220" spans="1:26" ht="15.75" customHeight="1" x14ac:dyDescent="0.25">
      <c r="A220" s="274"/>
      <c r="B220" s="274"/>
      <c r="C220" s="409"/>
      <c r="D220" s="274"/>
      <c r="E220" s="410"/>
      <c r="F220" s="274"/>
      <c r="G220" s="409"/>
      <c r="H220" s="410"/>
      <c r="I220" s="274"/>
      <c r="J220" s="274"/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</row>
    <row r="221" spans="1:26" ht="15.75" customHeight="1" x14ac:dyDescent="0.25">
      <c r="A221" s="274"/>
      <c r="B221" s="274"/>
      <c r="C221" s="409"/>
      <c r="D221" s="274"/>
      <c r="E221" s="410"/>
      <c r="F221" s="274"/>
      <c r="G221" s="409"/>
      <c r="H221" s="410"/>
      <c r="I221" s="274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</row>
    <row r="222" spans="1:26" ht="15.75" customHeight="1" x14ac:dyDescent="0.25">
      <c r="A222" s="274"/>
      <c r="B222" s="274"/>
      <c r="C222" s="409"/>
      <c r="D222" s="274"/>
      <c r="E222" s="410"/>
      <c r="F222" s="274"/>
      <c r="G222" s="409"/>
      <c r="H222" s="410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</row>
    <row r="223" spans="1:26" ht="15.75" customHeight="1" x14ac:dyDescent="0.25">
      <c r="A223" s="274"/>
      <c r="B223" s="274"/>
      <c r="C223" s="409"/>
      <c r="D223" s="274"/>
      <c r="E223" s="410"/>
      <c r="F223" s="274"/>
      <c r="G223" s="409"/>
      <c r="H223" s="410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</row>
    <row r="224" spans="1:26" ht="15.75" customHeight="1" x14ac:dyDescent="0.25">
      <c r="A224" s="274"/>
      <c r="B224" s="274"/>
      <c r="C224" s="409"/>
      <c r="D224" s="274"/>
      <c r="E224" s="410"/>
      <c r="F224" s="274"/>
      <c r="G224" s="409"/>
      <c r="H224" s="410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</row>
    <row r="225" spans="1:26" ht="15.75" customHeight="1" x14ac:dyDescent="0.25">
      <c r="A225" s="274"/>
      <c r="B225" s="274"/>
      <c r="C225" s="409"/>
      <c r="D225" s="274"/>
      <c r="E225" s="410"/>
      <c r="F225" s="274"/>
      <c r="G225" s="409"/>
      <c r="H225" s="410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</row>
    <row r="226" spans="1:26" ht="15.75" customHeight="1" x14ac:dyDescent="0.25">
      <c r="A226" s="274"/>
      <c r="B226" s="274"/>
      <c r="C226" s="409"/>
      <c r="D226" s="274"/>
      <c r="E226" s="410"/>
      <c r="F226" s="274"/>
      <c r="G226" s="409"/>
      <c r="H226" s="410"/>
      <c r="I226" s="274"/>
      <c r="J226" s="274"/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</row>
    <row r="227" spans="1:26" ht="15.75" customHeight="1" x14ac:dyDescent="0.25">
      <c r="A227" s="274"/>
      <c r="B227" s="274"/>
      <c r="C227" s="409"/>
      <c r="D227" s="274"/>
      <c r="E227" s="410"/>
      <c r="F227" s="274"/>
      <c r="G227" s="409"/>
      <c r="H227" s="410"/>
      <c r="I227" s="274"/>
      <c r="J227" s="274"/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</row>
    <row r="228" spans="1:26" ht="15.75" customHeight="1" x14ac:dyDescent="0.25">
      <c r="A228" s="274"/>
      <c r="B228" s="274"/>
      <c r="C228" s="409"/>
      <c r="D228" s="274"/>
      <c r="E228" s="410"/>
      <c r="F228" s="274"/>
      <c r="G228" s="409"/>
      <c r="H228" s="410"/>
      <c r="I228" s="274"/>
      <c r="J228" s="274"/>
      <c r="K228" s="274"/>
      <c r="L228" s="274"/>
      <c r="M228" s="274"/>
      <c r="N228" s="274"/>
      <c r="O228" s="274"/>
      <c r="P228" s="274"/>
      <c r="Q228" s="274"/>
      <c r="R228" s="274"/>
      <c r="S228" s="274"/>
      <c r="T228" s="274"/>
      <c r="U228" s="274"/>
      <c r="V228" s="274"/>
      <c r="W228" s="274"/>
      <c r="X228" s="274"/>
      <c r="Y228" s="274"/>
      <c r="Z228" s="274"/>
    </row>
    <row r="229" spans="1:26" ht="15.75" customHeight="1" x14ac:dyDescent="0.25">
      <c r="A229" s="274"/>
      <c r="B229" s="274"/>
      <c r="C229" s="409"/>
      <c r="D229" s="274"/>
      <c r="E229" s="410"/>
      <c r="F229" s="274"/>
      <c r="G229" s="409"/>
      <c r="H229" s="410"/>
      <c r="I229" s="274"/>
      <c r="J229" s="274"/>
      <c r="K229" s="274"/>
      <c r="L229" s="274"/>
      <c r="M229" s="274"/>
      <c r="N229" s="274"/>
      <c r="O229" s="274"/>
      <c r="P229" s="274"/>
      <c r="Q229" s="274"/>
      <c r="R229" s="274"/>
      <c r="S229" s="274"/>
      <c r="T229" s="274"/>
      <c r="U229" s="274"/>
      <c r="V229" s="274"/>
      <c r="W229" s="274"/>
      <c r="X229" s="274"/>
      <c r="Y229" s="274"/>
      <c r="Z229" s="274"/>
    </row>
    <row r="230" spans="1:26" ht="15.75" customHeight="1" x14ac:dyDescent="0.25">
      <c r="A230" s="274"/>
      <c r="B230" s="274"/>
      <c r="C230" s="409"/>
      <c r="D230" s="274"/>
      <c r="E230" s="410"/>
      <c r="F230" s="274"/>
      <c r="G230" s="409"/>
      <c r="H230" s="410"/>
      <c r="I230" s="274"/>
      <c r="J230" s="274"/>
      <c r="K230" s="274"/>
      <c r="L230" s="274"/>
      <c r="M230" s="274"/>
      <c r="N230" s="274"/>
      <c r="O230" s="274"/>
      <c r="P230" s="274"/>
      <c r="Q230" s="274"/>
      <c r="R230" s="274"/>
      <c r="S230" s="274"/>
      <c r="T230" s="274"/>
      <c r="U230" s="274"/>
      <c r="V230" s="274"/>
      <c r="W230" s="274"/>
      <c r="X230" s="274"/>
      <c r="Y230" s="274"/>
      <c r="Z230" s="274"/>
    </row>
    <row r="231" spans="1:26" ht="15.75" customHeight="1" x14ac:dyDescent="0.25">
      <c r="A231" s="274"/>
      <c r="B231" s="274"/>
      <c r="C231" s="409"/>
      <c r="D231" s="274"/>
      <c r="E231" s="410"/>
      <c r="F231" s="274"/>
      <c r="G231" s="409"/>
      <c r="H231" s="410"/>
      <c r="I231" s="274"/>
      <c r="J231" s="274"/>
      <c r="K231" s="274"/>
      <c r="L231" s="274"/>
      <c r="M231" s="274"/>
      <c r="N231" s="274"/>
      <c r="O231" s="274"/>
      <c r="P231" s="274"/>
      <c r="Q231" s="274"/>
      <c r="R231" s="274"/>
      <c r="S231" s="274"/>
      <c r="T231" s="274"/>
      <c r="U231" s="274"/>
      <c r="V231" s="274"/>
      <c r="W231" s="274"/>
      <c r="X231" s="274"/>
      <c r="Y231" s="274"/>
      <c r="Z231" s="274"/>
    </row>
    <row r="232" spans="1:26" ht="15.75" customHeight="1" x14ac:dyDescent="0.25">
      <c r="A232" s="274"/>
      <c r="B232" s="274"/>
      <c r="C232" s="409"/>
      <c r="D232" s="274"/>
      <c r="E232" s="410"/>
      <c r="F232" s="274"/>
      <c r="G232" s="409"/>
      <c r="H232" s="410"/>
      <c r="I232" s="274"/>
      <c r="J232" s="274"/>
      <c r="K232" s="274"/>
      <c r="L232" s="274"/>
      <c r="M232" s="274"/>
      <c r="N232" s="274"/>
      <c r="O232" s="274"/>
      <c r="P232" s="274"/>
      <c r="Q232" s="274"/>
      <c r="R232" s="274"/>
      <c r="S232" s="274"/>
      <c r="T232" s="274"/>
      <c r="U232" s="274"/>
      <c r="V232" s="274"/>
      <c r="W232" s="274"/>
      <c r="X232" s="274"/>
      <c r="Y232" s="274"/>
      <c r="Z232" s="274"/>
    </row>
    <row r="233" spans="1:26" ht="15.75" customHeight="1" x14ac:dyDescent="0.25">
      <c r="A233" s="274"/>
      <c r="B233" s="274"/>
      <c r="C233" s="409"/>
      <c r="D233" s="274"/>
      <c r="E233" s="410"/>
      <c r="F233" s="274"/>
      <c r="G233" s="409"/>
      <c r="H233" s="410"/>
      <c r="I233" s="274"/>
      <c r="J233" s="274"/>
      <c r="K233" s="274"/>
      <c r="L233" s="274"/>
      <c r="M233" s="274"/>
      <c r="N233" s="274"/>
      <c r="O233" s="274"/>
      <c r="P233" s="274"/>
      <c r="Q233" s="274"/>
      <c r="R233" s="274"/>
      <c r="S233" s="274"/>
      <c r="T233" s="274"/>
      <c r="U233" s="274"/>
      <c r="V233" s="274"/>
      <c r="W233" s="274"/>
      <c r="X233" s="274"/>
      <c r="Y233" s="274"/>
      <c r="Z233" s="274"/>
    </row>
    <row r="234" spans="1:26" ht="15.75" customHeight="1" x14ac:dyDescent="0.25">
      <c r="A234" s="274"/>
      <c r="B234" s="274"/>
      <c r="C234" s="409"/>
      <c r="D234" s="274"/>
      <c r="E234" s="410"/>
      <c r="F234" s="274"/>
      <c r="G234" s="409"/>
      <c r="H234" s="410"/>
      <c r="I234" s="274"/>
      <c r="J234" s="274"/>
      <c r="K234" s="274"/>
      <c r="L234" s="274"/>
      <c r="M234" s="274"/>
      <c r="N234" s="274"/>
      <c r="O234" s="274"/>
      <c r="P234" s="274"/>
      <c r="Q234" s="274"/>
      <c r="R234" s="274"/>
      <c r="S234" s="274"/>
      <c r="T234" s="274"/>
      <c r="U234" s="274"/>
      <c r="V234" s="274"/>
      <c r="W234" s="274"/>
      <c r="X234" s="274"/>
      <c r="Y234" s="274"/>
      <c r="Z234" s="274"/>
    </row>
    <row r="235" spans="1:26" ht="15.75" customHeight="1" x14ac:dyDescent="0.25">
      <c r="A235" s="274"/>
      <c r="B235" s="274"/>
      <c r="C235" s="409"/>
      <c r="D235" s="274"/>
      <c r="E235" s="410"/>
      <c r="F235" s="274"/>
      <c r="G235" s="409"/>
      <c r="H235" s="410"/>
      <c r="I235" s="274"/>
      <c r="J235" s="274"/>
      <c r="K235" s="274"/>
      <c r="L235" s="274"/>
      <c r="M235" s="274"/>
      <c r="N235" s="274"/>
      <c r="O235" s="274"/>
      <c r="P235" s="274"/>
      <c r="Q235" s="274"/>
      <c r="R235" s="274"/>
      <c r="S235" s="274"/>
      <c r="T235" s="274"/>
      <c r="U235" s="274"/>
      <c r="V235" s="274"/>
      <c r="W235" s="274"/>
      <c r="X235" s="274"/>
      <c r="Y235" s="274"/>
      <c r="Z235" s="274"/>
    </row>
    <row r="236" spans="1:26" ht="15.75" customHeight="1" x14ac:dyDescent="0.25">
      <c r="A236" s="274"/>
      <c r="B236" s="274"/>
      <c r="C236" s="409"/>
      <c r="D236" s="274"/>
      <c r="E236" s="410"/>
      <c r="F236" s="274"/>
      <c r="G236" s="409"/>
      <c r="H236" s="410"/>
      <c r="I236" s="274"/>
      <c r="J236" s="274"/>
      <c r="K236" s="274"/>
      <c r="L236" s="274"/>
      <c r="M236" s="274"/>
      <c r="N236" s="274"/>
      <c r="O236" s="274"/>
      <c r="P236" s="274"/>
      <c r="Q236" s="274"/>
      <c r="R236" s="274"/>
      <c r="S236" s="274"/>
      <c r="T236" s="274"/>
      <c r="U236" s="274"/>
      <c r="V236" s="274"/>
      <c r="W236" s="274"/>
      <c r="X236" s="274"/>
      <c r="Y236" s="274"/>
      <c r="Z236" s="274"/>
    </row>
    <row r="237" spans="1:26" ht="15.75" customHeight="1" x14ac:dyDescent="0.25">
      <c r="A237" s="274"/>
      <c r="B237" s="274"/>
      <c r="C237" s="409"/>
      <c r="D237" s="274"/>
      <c r="E237" s="410"/>
      <c r="F237" s="274"/>
      <c r="G237" s="409"/>
      <c r="H237" s="410"/>
      <c r="I237" s="274"/>
      <c r="J237" s="274"/>
      <c r="K237" s="274"/>
      <c r="L237" s="274"/>
      <c r="M237" s="274"/>
      <c r="N237" s="274"/>
      <c r="O237" s="274"/>
      <c r="P237" s="274"/>
      <c r="Q237" s="274"/>
      <c r="R237" s="274"/>
      <c r="S237" s="274"/>
      <c r="T237" s="274"/>
      <c r="U237" s="274"/>
      <c r="V237" s="274"/>
      <c r="W237" s="274"/>
      <c r="X237" s="274"/>
      <c r="Y237" s="274"/>
      <c r="Z237" s="274"/>
    </row>
    <row r="238" spans="1:26" ht="15.75" customHeight="1" x14ac:dyDescent="0.25">
      <c r="A238" s="274"/>
      <c r="B238" s="274"/>
      <c r="C238" s="409"/>
      <c r="D238" s="274"/>
      <c r="E238" s="410"/>
      <c r="F238" s="274"/>
      <c r="G238" s="409"/>
      <c r="H238" s="410"/>
      <c r="I238" s="274"/>
      <c r="J238" s="274"/>
      <c r="K238" s="274"/>
      <c r="L238" s="274"/>
      <c r="M238" s="274"/>
      <c r="N238" s="274"/>
      <c r="O238" s="274"/>
      <c r="P238" s="274"/>
      <c r="Q238" s="274"/>
      <c r="R238" s="274"/>
      <c r="S238" s="274"/>
      <c r="T238" s="274"/>
      <c r="U238" s="274"/>
      <c r="V238" s="274"/>
      <c r="W238" s="274"/>
      <c r="X238" s="274"/>
      <c r="Y238" s="274"/>
      <c r="Z238" s="274"/>
    </row>
    <row r="239" spans="1:26" ht="15.75" customHeight="1" x14ac:dyDescent="0.25">
      <c r="A239" s="274"/>
      <c r="B239" s="274"/>
      <c r="C239" s="409"/>
      <c r="D239" s="274"/>
      <c r="E239" s="410"/>
      <c r="F239" s="274"/>
      <c r="G239" s="409"/>
      <c r="H239" s="410"/>
      <c r="I239" s="274"/>
      <c r="J239" s="274"/>
      <c r="K239" s="274"/>
      <c r="L239" s="274"/>
      <c r="M239" s="274"/>
      <c r="N239" s="274"/>
      <c r="O239" s="274"/>
      <c r="P239" s="274"/>
      <c r="Q239" s="274"/>
      <c r="R239" s="274"/>
      <c r="S239" s="274"/>
      <c r="T239" s="274"/>
      <c r="U239" s="274"/>
      <c r="V239" s="274"/>
      <c r="W239" s="274"/>
      <c r="X239" s="274"/>
      <c r="Y239" s="274"/>
      <c r="Z239" s="274"/>
    </row>
    <row r="240" spans="1:26" ht="15.75" customHeight="1" x14ac:dyDescent="0.25">
      <c r="A240" s="274"/>
      <c r="B240" s="274"/>
      <c r="C240" s="409"/>
      <c r="D240" s="274"/>
      <c r="E240" s="410"/>
      <c r="F240" s="274"/>
      <c r="G240" s="409"/>
      <c r="H240" s="410"/>
      <c r="I240" s="274"/>
      <c r="J240" s="274"/>
      <c r="K240" s="274"/>
      <c r="L240" s="274"/>
      <c r="M240" s="274"/>
      <c r="N240" s="274"/>
      <c r="O240" s="274"/>
      <c r="P240" s="274"/>
      <c r="Q240" s="274"/>
      <c r="R240" s="274"/>
      <c r="S240" s="274"/>
      <c r="T240" s="274"/>
      <c r="U240" s="274"/>
      <c r="V240" s="274"/>
      <c r="W240" s="274"/>
      <c r="X240" s="274"/>
      <c r="Y240" s="274"/>
      <c r="Z240" s="274"/>
    </row>
    <row r="241" spans="1:26" ht="15.75" customHeight="1" x14ac:dyDescent="0.25">
      <c r="A241" s="274"/>
      <c r="B241" s="274"/>
      <c r="C241" s="409"/>
      <c r="D241" s="274"/>
      <c r="E241" s="410"/>
      <c r="F241" s="274"/>
      <c r="G241" s="409"/>
      <c r="H241" s="410"/>
      <c r="I241" s="274"/>
      <c r="J241" s="274"/>
      <c r="K241" s="274"/>
      <c r="L241" s="274"/>
      <c r="M241" s="274"/>
      <c r="N241" s="274"/>
      <c r="O241" s="274"/>
      <c r="P241" s="274"/>
      <c r="Q241" s="274"/>
      <c r="R241" s="274"/>
      <c r="S241" s="274"/>
      <c r="T241" s="274"/>
      <c r="U241" s="274"/>
      <c r="V241" s="274"/>
      <c r="W241" s="274"/>
      <c r="X241" s="274"/>
      <c r="Y241" s="274"/>
      <c r="Z241" s="274"/>
    </row>
    <row r="242" spans="1:26" ht="15.75" customHeight="1" x14ac:dyDescent="0.25">
      <c r="A242" s="274"/>
      <c r="B242" s="274"/>
      <c r="C242" s="409"/>
      <c r="D242" s="274"/>
      <c r="E242" s="410"/>
      <c r="F242" s="274"/>
      <c r="G242" s="409"/>
      <c r="H242" s="410"/>
      <c r="I242" s="274"/>
      <c r="J242" s="274"/>
      <c r="K242" s="274"/>
      <c r="L242" s="274"/>
      <c r="M242" s="274"/>
      <c r="N242" s="274"/>
      <c r="O242" s="274"/>
      <c r="P242" s="274"/>
      <c r="Q242" s="274"/>
      <c r="R242" s="274"/>
      <c r="S242" s="274"/>
      <c r="T242" s="274"/>
      <c r="U242" s="274"/>
      <c r="V242" s="274"/>
      <c r="W242" s="274"/>
      <c r="X242" s="274"/>
      <c r="Y242" s="274"/>
      <c r="Z242" s="274"/>
    </row>
    <row r="243" spans="1:26" ht="15.75" customHeight="1" x14ac:dyDescent="0.25">
      <c r="A243" s="274"/>
      <c r="B243" s="274"/>
      <c r="C243" s="409"/>
      <c r="D243" s="274"/>
      <c r="E243" s="410"/>
      <c r="F243" s="274"/>
      <c r="G243" s="409"/>
      <c r="H243" s="410"/>
      <c r="I243" s="274"/>
      <c r="J243" s="274"/>
      <c r="K243" s="274"/>
      <c r="L243" s="274"/>
      <c r="M243" s="274"/>
      <c r="N243" s="274"/>
      <c r="O243" s="274"/>
      <c r="P243" s="274"/>
      <c r="Q243" s="274"/>
      <c r="R243" s="274"/>
      <c r="S243" s="274"/>
      <c r="T243" s="274"/>
      <c r="U243" s="274"/>
      <c r="V243" s="274"/>
      <c r="W243" s="274"/>
      <c r="X243" s="274"/>
      <c r="Y243" s="274"/>
      <c r="Z243" s="274"/>
    </row>
    <row r="244" spans="1:26" ht="15.75" customHeight="1" x14ac:dyDescent="0.25">
      <c r="A244" s="274"/>
      <c r="B244" s="274"/>
      <c r="C244" s="409"/>
      <c r="D244" s="274"/>
      <c r="E244" s="410"/>
      <c r="F244" s="274"/>
      <c r="G244" s="409"/>
      <c r="H244" s="410"/>
      <c r="I244" s="274"/>
      <c r="J244" s="274"/>
      <c r="K244" s="274"/>
      <c r="L244" s="274"/>
      <c r="M244" s="274"/>
      <c r="N244" s="274"/>
      <c r="O244" s="274"/>
      <c r="P244" s="274"/>
      <c r="Q244" s="274"/>
      <c r="R244" s="274"/>
      <c r="S244" s="274"/>
      <c r="T244" s="274"/>
      <c r="U244" s="274"/>
      <c r="V244" s="274"/>
      <c r="W244" s="274"/>
      <c r="X244" s="274"/>
      <c r="Y244" s="274"/>
      <c r="Z244" s="274"/>
    </row>
    <row r="245" spans="1:26" ht="15.75" customHeight="1" x14ac:dyDescent="0.25">
      <c r="A245" s="274"/>
      <c r="B245" s="274"/>
      <c r="C245" s="409"/>
      <c r="D245" s="274"/>
      <c r="E245" s="410"/>
      <c r="F245" s="274"/>
      <c r="G245" s="409"/>
      <c r="H245" s="410"/>
      <c r="I245" s="274"/>
      <c r="J245" s="274"/>
      <c r="K245" s="274"/>
      <c r="L245" s="274"/>
      <c r="M245" s="274"/>
      <c r="N245" s="274"/>
      <c r="O245" s="274"/>
      <c r="P245" s="274"/>
      <c r="Q245" s="274"/>
      <c r="R245" s="274"/>
      <c r="S245" s="274"/>
      <c r="T245" s="274"/>
      <c r="U245" s="274"/>
      <c r="V245" s="274"/>
      <c r="W245" s="274"/>
      <c r="X245" s="274"/>
      <c r="Y245" s="274"/>
      <c r="Z245" s="274"/>
    </row>
    <row r="246" spans="1:26" ht="15.75" customHeight="1" x14ac:dyDescent="0.25">
      <c r="A246" s="274"/>
      <c r="B246" s="274"/>
      <c r="C246" s="409"/>
      <c r="D246" s="274"/>
      <c r="E246" s="410"/>
      <c r="F246" s="274"/>
      <c r="G246" s="409"/>
      <c r="H246" s="410"/>
      <c r="I246" s="274"/>
      <c r="J246" s="274"/>
      <c r="K246" s="274"/>
      <c r="L246" s="274"/>
      <c r="M246" s="274"/>
      <c r="N246" s="274"/>
      <c r="O246" s="274"/>
      <c r="P246" s="274"/>
      <c r="Q246" s="274"/>
      <c r="R246" s="274"/>
      <c r="S246" s="274"/>
      <c r="T246" s="274"/>
      <c r="U246" s="274"/>
      <c r="V246" s="274"/>
      <c r="W246" s="274"/>
      <c r="X246" s="274"/>
      <c r="Y246" s="274"/>
      <c r="Z246" s="274"/>
    </row>
    <row r="247" spans="1:26" ht="15.75" customHeight="1" x14ac:dyDescent="0.25">
      <c r="A247" s="274"/>
      <c r="B247" s="274"/>
      <c r="C247" s="409"/>
      <c r="D247" s="274"/>
      <c r="E247" s="410"/>
      <c r="F247" s="274"/>
      <c r="G247" s="409"/>
      <c r="H247" s="410"/>
      <c r="I247" s="274"/>
      <c r="J247" s="274"/>
      <c r="K247" s="274"/>
      <c r="L247" s="274"/>
      <c r="M247" s="274"/>
      <c r="N247" s="274"/>
      <c r="O247" s="274"/>
      <c r="P247" s="274"/>
      <c r="Q247" s="274"/>
      <c r="R247" s="274"/>
      <c r="S247" s="274"/>
      <c r="T247" s="274"/>
      <c r="U247" s="274"/>
      <c r="V247" s="274"/>
      <c r="W247" s="274"/>
      <c r="X247" s="274"/>
      <c r="Y247" s="274"/>
      <c r="Z247" s="274"/>
    </row>
    <row r="248" spans="1:26" ht="15.75" customHeight="1" x14ac:dyDescent="0.25">
      <c r="A248" s="274"/>
      <c r="B248" s="274"/>
      <c r="C248" s="409"/>
      <c r="D248" s="274"/>
      <c r="E248" s="410"/>
      <c r="F248" s="274"/>
      <c r="G248" s="409"/>
      <c r="H248" s="410"/>
      <c r="I248" s="274"/>
      <c r="J248" s="274"/>
      <c r="K248" s="274"/>
      <c r="L248" s="274"/>
      <c r="M248" s="274"/>
      <c r="N248" s="274"/>
      <c r="O248" s="274"/>
      <c r="P248" s="274"/>
      <c r="Q248" s="274"/>
      <c r="R248" s="274"/>
      <c r="S248" s="274"/>
      <c r="T248" s="274"/>
      <c r="U248" s="274"/>
      <c r="V248" s="274"/>
      <c r="W248" s="274"/>
      <c r="X248" s="274"/>
      <c r="Y248" s="274"/>
      <c r="Z248" s="274"/>
    </row>
    <row r="249" spans="1:26" ht="15.75" customHeight="1" x14ac:dyDescent="0.25">
      <c r="A249" s="274"/>
      <c r="B249" s="274"/>
      <c r="C249" s="409"/>
      <c r="D249" s="274"/>
      <c r="E249" s="410"/>
      <c r="F249" s="274"/>
      <c r="G249" s="409"/>
      <c r="H249" s="410"/>
      <c r="I249" s="274"/>
      <c r="J249" s="274"/>
      <c r="K249" s="274"/>
      <c r="L249" s="274"/>
      <c r="M249" s="274"/>
      <c r="N249" s="274"/>
      <c r="O249" s="274"/>
      <c r="P249" s="274"/>
      <c r="Q249" s="274"/>
      <c r="R249" s="274"/>
      <c r="S249" s="274"/>
      <c r="T249" s="274"/>
      <c r="U249" s="274"/>
      <c r="V249" s="274"/>
      <c r="W249" s="274"/>
      <c r="X249" s="274"/>
      <c r="Y249" s="274"/>
      <c r="Z249" s="274"/>
    </row>
    <row r="250" spans="1:26" ht="15.75" customHeight="1" x14ac:dyDescent="0.25">
      <c r="A250" s="274"/>
      <c r="B250" s="274"/>
      <c r="C250" s="409"/>
      <c r="D250" s="274"/>
      <c r="E250" s="410"/>
      <c r="F250" s="274"/>
      <c r="G250" s="409"/>
      <c r="H250" s="410"/>
      <c r="I250" s="274"/>
      <c r="J250" s="274"/>
      <c r="K250" s="274"/>
      <c r="L250" s="274"/>
      <c r="M250" s="274"/>
      <c r="N250" s="274"/>
      <c r="O250" s="274"/>
      <c r="P250" s="274"/>
      <c r="Q250" s="274"/>
      <c r="R250" s="274"/>
      <c r="S250" s="274"/>
      <c r="T250" s="274"/>
      <c r="U250" s="274"/>
      <c r="V250" s="274"/>
      <c r="W250" s="274"/>
      <c r="X250" s="274"/>
      <c r="Y250" s="274"/>
      <c r="Z250" s="274"/>
    </row>
    <row r="251" spans="1:26" ht="15.75" customHeight="1" x14ac:dyDescent="0.25">
      <c r="A251" s="274"/>
      <c r="B251" s="274"/>
      <c r="C251" s="409"/>
      <c r="D251" s="274"/>
      <c r="E251" s="410"/>
      <c r="F251" s="274"/>
      <c r="G251" s="409"/>
      <c r="H251" s="410"/>
      <c r="I251" s="274"/>
      <c r="J251" s="274"/>
      <c r="K251" s="274"/>
      <c r="L251" s="274"/>
      <c r="M251" s="274"/>
      <c r="N251" s="274"/>
      <c r="O251" s="274"/>
      <c r="P251" s="274"/>
      <c r="Q251" s="274"/>
      <c r="R251" s="274"/>
      <c r="S251" s="274"/>
      <c r="T251" s="274"/>
      <c r="U251" s="274"/>
      <c r="V251" s="274"/>
      <c r="W251" s="274"/>
      <c r="X251" s="274"/>
      <c r="Y251" s="274"/>
      <c r="Z251" s="274"/>
    </row>
    <row r="252" spans="1:26" ht="15.75" customHeight="1" x14ac:dyDescent="0.25">
      <c r="A252" s="274"/>
      <c r="B252" s="274"/>
      <c r="C252" s="409"/>
      <c r="D252" s="274"/>
      <c r="E252" s="410"/>
      <c r="F252" s="274"/>
      <c r="G252" s="409"/>
      <c r="H252" s="410"/>
      <c r="I252" s="274"/>
      <c r="J252" s="274"/>
      <c r="K252" s="274"/>
      <c r="L252" s="274"/>
      <c r="M252" s="274"/>
      <c r="N252" s="274"/>
      <c r="O252" s="274"/>
      <c r="P252" s="274"/>
      <c r="Q252" s="274"/>
      <c r="R252" s="274"/>
      <c r="S252" s="274"/>
      <c r="T252" s="274"/>
      <c r="U252" s="274"/>
      <c r="V252" s="274"/>
      <c r="W252" s="274"/>
      <c r="X252" s="274"/>
      <c r="Y252" s="274"/>
      <c r="Z252" s="274"/>
    </row>
    <row r="253" spans="1:26" ht="15.75" customHeight="1" x14ac:dyDescent="0.25">
      <c r="A253" s="274"/>
      <c r="B253" s="274"/>
      <c r="C253" s="409"/>
      <c r="D253" s="274"/>
      <c r="E253" s="410"/>
      <c r="F253" s="274"/>
      <c r="G253" s="409"/>
      <c r="H253" s="410"/>
      <c r="I253" s="274"/>
      <c r="J253" s="274"/>
      <c r="K253" s="274"/>
      <c r="L253" s="274"/>
      <c r="M253" s="274"/>
      <c r="N253" s="274"/>
      <c r="O253" s="274"/>
      <c r="P253" s="274"/>
      <c r="Q253" s="274"/>
      <c r="R253" s="274"/>
      <c r="S253" s="274"/>
      <c r="T253" s="274"/>
      <c r="U253" s="274"/>
      <c r="V253" s="274"/>
      <c r="W253" s="274"/>
      <c r="X253" s="274"/>
      <c r="Y253" s="274"/>
      <c r="Z253" s="274"/>
    </row>
    <row r="254" spans="1:26" ht="15.75" customHeight="1" x14ac:dyDescent="0.25">
      <c r="A254" s="274"/>
      <c r="B254" s="274"/>
      <c r="C254" s="409"/>
      <c r="D254" s="274"/>
      <c r="E254" s="410"/>
      <c r="F254" s="274"/>
      <c r="G254" s="409"/>
      <c r="H254" s="410"/>
      <c r="I254" s="274"/>
      <c r="J254" s="274"/>
      <c r="K254" s="274"/>
      <c r="L254" s="274"/>
      <c r="M254" s="274"/>
      <c r="N254" s="274"/>
      <c r="O254" s="274"/>
      <c r="P254" s="274"/>
      <c r="Q254" s="274"/>
      <c r="R254" s="274"/>
      <c r="S254" s="274"/>
      <c r="T254" s="274"/>
      <c r="U254" s="274"/>
      <c r="V254" s="274"/>
      <c r="W254" s="274"/>
      <c r="X254" s="274"/>
      <c r="Y254" s="274"/>
      <c r="Z254" s="274"/>
    </row>
    <row r="255" spans="1:26" ht="15.75" customHeight="1" x14ac:dyDescent="0.25">
      <c r="A255" s="274"/>
      <c r="B255" s="274"/>
      <c r="C255" s="409"/>
      <c r="D255" s="274"/>
      <c r="E255" s="410"/>
      <c r="F255" s="274"/>
      <c r="G255" s="409"/>
      <c r="H255" s="410"/>
      <c r="I255" s="274"/>
      <c r="J255" s="274"/>
      <c r="K255" s="274"/>
      <c r="L255" s="274"/>
      <c r="M255" s="274"/>
      <c r="N255" s="274"/>
      <c r="O255" s="274"/>
      <c r="P255" s="274"/>
      <c r="Q255" s="274"/>
      <c r="R255" s="274"/>
      <c r="S255" s="274"/>
      <c r="T255" s="274"/>
      <c r="U255" s="274"/>
      <c r="V255" s="274"/>
      <c r="W255" s="274"/>
      <c r="X255" s="274"/>
      <c r="Y255" s="274"/>
      <c r="Z255" s="274"/>
    </row>
    <row r="256" spans="1:26" ht="15.75" customHeight="1" x14ac:dyDescent="0.25">
      <c r="A256" s="274"/>
      <c r="B256" s="274"/>
      <c r="C256" s="409"/>
      <c r="D256" s="274"/>
      <c r="E256" s="410"/>
      <c r="F256" s="274"/>
      <c r="G256" s="409"/>
      <c r="H256" s="410"/>
      <c r="I256" s="274"/>
      <c r="J256" s="274"/>
      <c r="K256" s="274"/>
      <c r="L256" s="274"/>
      <c r="M256" s="274"/>
      <c r="N256" s="274"/>
      <c r="O256" s="274"/>
      <c r="P256" s="274"/>
      <c r="Q256" s="274"/>
      <c r="R256" s="274"/>
      <c r="S256" s="274"/>
      <c r="T256" s="274"/>
      <c r="U256" s="274"/>
      <c r="V256" s="274"/>
      <c r="W256" s="274"/>
      <c r="X256" s="274"/>
      <c r="Y256" s="274"/>
      <c r="Z256" s="274"/>
    </row>
    <row r="257" spans="1:26" ht="15.75" customHeight="1" x14ac:dyDescent="0.25">
      <c r="A257" s="274"/>
      <c r="B257" s="274"/>
      <c r="C257" s="409"/>
      <c r="D257" s="274"/>
      <c r="E257" s="410"/>
      <c r="F257" s="274"/>
      <c r="G257" s="409"/>
      <c r="H257" s="410"/>
      <c r="I257" s="274"/>
      <c r="J257" s="274"/>
      <c r="K257" s="274"/>
      <c r="L257" s="274"/>
      <c r="M257" s="274"/>
      <c r="N257" s="274"/>
      <c r="O257" s="274"/>
      <c r="P257" s="274"/>
      <c r="Q257" s="274"/>
      <c r="R257" s="274"/>
      <c r="S257" s="274"/>
      <c r="T257" s="274"/>
      <c r="U257" s="274"/>
      <c r="V257" s="274"/>
      <c r="W257" s="274"/>
      <c r="X257" s="274"/>
      <c r="Y257" s="274"/>
      <c r="Z257" s="274"/>
    </row>
    <row r="258" spans="1:26" ht="15.75" customHeight="1" x14ac:dyDescent="0.25">
      <c r="A258" s="274"/>
      <c r="B258" s="274"/>
      <c r="C258" s="409"/>
      <c r="D258" s="274"/>
      <c r="E258" s="410"/>
      <c r="F258" s="274"/>
      <c r="G258" s="409"/>
      <c r="H258" s="410"/>
      <c r="I258" s="274"/>
      <c r="J258" s="274"/>
      <c r="K258" s="274"/>
      <c r="L258" s="274"/>
      <c r="M258" s="274"/>
      <c r="N258" s="274"/>
      <c r="O258" s="274"/>
      <c r="P258" s="274"/>
      <c r="Q258" s="274"/>
      <c r="R258" s="274"/>
      <c r="S258" s="274"/>
      <c r="T258" s="274"/>
      <c r="U258" s="274"/>
      <c r="V258" s="274"/>
      <c r="W258" s="274"/>
      <c r="X258" s="274"/>
      <c r="Y258" s="274"/>
      <c r="Z258" s="274"/>
    </row>
    <row r="259" spans="1:26" ht="15.75" customHeight="1" x14ac:dyDescent="0.25">
      <c r="A259" s="274"/>
      <c r="B259" s="274"/>
      <c r="C259" s="409"/>
      <c r="D259" s="274"/>
      <c r="E259" s="410"/>
      <c r="F259" s="274"/>
      <c r="G259" s="409"/>
      <c r="H259" s="410"/>
      <c r="I259" s="274"/>
      <c r="J259" s="274"/>
      <c r="K259" s="274"/>
      <c r="L259" s="274"/>
      <c r="M259" s="274"/>
      <c r="N259" s="274"/>
      <c r="O259" s="274"/>
      <c r="P259" s="274"/>
      <c r="Q259" s="274"/>
      <c r="R259" s="274"/>
      <c r="S259" s="274"/>
      <c r="T259" s="274"/>
      <c r="U259" s="274"/>
      <c r="V259" s="274"/>
      <c r="W259" s="274"/>
      <c r="X259" s="274"/>
      <c r="Y259" s="274"/>
      <c r="Z259" s="274"/>
    </row>
    <row r="260" spans="1:26" ht="15.75" customHeight="1" x14ac:dyDescent="0.25">
      <c r="A260" s="274"/>
      <c r="B260" s="274"/>
      <c r="C260" s="409"/>
      <c r="D260" s="274"/>
      <c r="E260" s="410"/>
      <c r="F260" s="274"/>
      <c r="G260" s="409"/>
      <c r="H260" s="410"/>
      <c r="I260" s="274"/>
      <c r="J260" s="274"/>
      <c r="K260" s="274"/>
      <c r="L260" s="274"/>
      <c r="M260" s="274"/>
      <c r="N260" s="274"/>
      <c r="O260" s="274"/>
      <c r="P260" s="274"/>
      <c r="Q260" s="274"/>
      <c r="R260" s="274"/>
      <c r="S260" s="274"/>
      <c r="T260" s="274"/>
      <c r="U260" s="274"/>
      <c r="V260" s="274"/>
      <c r="W260" s="274"/>
      <c r="X260" s="274"/>
      <c r="Y260" s="274"/>
      <c r="Z260" s="274"/>
    </row>
    <row r="261" spans="1:26" ht="15.75" customHeight="1" x14ac:dyDescent="0.25">
      <c r="A261" s="274"/>
      <c r="B261" s="274"/>
      <c r="C261" s="409"/>
      <c r="D261" s="274"/>
      <c r="E261" s="410"/>
      <c r="F261" s="274"/>
      <c r="G261" s="409"/>
      <c r="H261" s="410"/>
      <c r="I261" s="274"/>
      <c r="J261" s="274"/>
      <c r="K261" s="274"/>
      <c r="L261" s="274"/>
      <c r="M261" s="274"/>
      <c r="N261" s="274"/>
      <c r="O261" s="274"/>
      <c r="P261" s="274"/>
      <c r="Q261" s="274"/>
      <c r="R261" s="274"/>
      <c r="S261" s="274"/>
      <c r="T261" s="274"/>
      <c r="U261" s="274"/>
      <c r="V261" s="274"/>
      <c r="W261" s="274"/>
      <c r="X261" s="274"/>
      <c r="Y261" s="274"/>
      <c r="Z261" s="274"/>
    </row>
    <row r="262" spans="1:26" ht="15.75" customHeight="1" x14ac:dyDescent="0.25">
      <c r="A262" s="274"/>
      <c r="B262" s="274"/>
      <c r="C262" s="409"/>
      <c r="D262" s="274"/>
      <c r="E262" s="410"/>
      <c r="F262" s="274"/>
      <c r="G262" s="409"/>
      <c r="H262" s="410"/>
      <c r="I262" s="274"/>
      <c r="J262" s="274"/>
      <c r="K262" s="274"/>
      <c r="L262" s="274"/>
      <c r="M262" s="274"/>
      <c r="N262" s="274"/>
      <c r="O262" s="274"/>
      <c r="P262" s="274"/>
      <c r="Q262" s="274"/>
      <c r="R262" s="274"/>
      <c r="S262" s="274"/>
      <c r="T262" s="274"/>
      <c r="U262" s="274"/>
      <c r="V262" s="274"/>
      <c r="W262" s="274"/>
      <c r="X262" s="274"/>
      <c r="Y262" s="274"/>
      <c r="Z262" s="274"/>
    </row>
    <row r="263" spans="1:26" ht="15.75" customHeight="1" x14ac:dyDescent="0.25">
      <c r="A263" s="274"/>
      <c r="B263" s="274"/>
      <c r="C263" s="409"/>
      <c r="D263" s="274"/>
      <c r="E263" s="410"/>
      <c r="F263" s="274"/>
      <c r="G263" s="409"/>
      <c r="H263" s="410"/>
      <c r="I263" s="274"/>
      <c r="J263" s="274"/>
      <c r="K263" s="274"/>
      <c r="L263" s="274"/>
      <c r="M263" s="274"/>
      <c r="N263" s="274"/>
      <c r="O263" s="274"/>
      <c r="P263" s="274"/>
      <c r="Q263" s="274"/>
      <c r="R263" s="274"/>
      <c r="S263" s="274"/>
      <c r="T263" s="274"/>
      <c r="U263" s="274"/>
      <c r="V263" s="274"/>
      <c r="W263" s="274"/>
      <c r="X263" s="274"/>
      <c r="Y263" s="274"/>
      <c r="Z263" s="274"/>
    </row>
    <row r="264" spans="1:26" ht="15.75" customHeight="1" x14ac:dyDescent="0.25">
      <c r="A264" s="274"/>
      <c r="B264" s="274"/>
      <c r="C264" s="409"/>
      <c r="D264" s="274"/>
      <c r="E264" s="410"/>
      <c r="F264" s="274"/>
      <c r="G264" s="409"/>
      <c r="H264" s="410"/>
      <c r="I264" s="274"/>
      <c r="J264" s="274"/>
      <c r="K264" s="274"/>
      <c r="L264" s="274"/>
      <c r="M264" s="274"/>
      <c r="N264" s="274"/>
      <c r="O264" s="274"/>
      <c r="P264" s="274"/>
      <c r="Q264" s="274"/>
      <c r="R264" s="274"/>
      <c r="S264" s="274"/>
      <c r="T264" s="274"/>
      <c r="U264" s="274"/>
      <c r="V264" s="274"/>
      <c r="W264" s="274"/>
      <c r="X264" s="274"/>
      <c r="Y264" s="274"/>
      <c r="Z264" s="274"/>
    </row>
    <row r="265" spans="1:26" ht="15.75" customHeight="1" x14ac:dyDescent="0.25">
      <c r="A265" s="274"/>
      <c r="B265" s="274"/>
      <c r="C265" s="409"/>
      <c r="D265" s="274"/>
      <c r="E265" s="410"/>
      <c r="F265" s="274"/>
      <c r="G265" s="409"/>
      <c r="H265" s="410"/>
      <c r="I265" s="274"/>
      <c r="J265" s="274"/>
      <c r="K265" s="274"/>
      <c r="L265" s="274"/>
      <c r="M265" s="274"/>
      <c r="N265" s="274"/>
      <c r="O265" s="274"/>
      <c r="P265" s="274"/>
      <c r="Q265" s="274"/>
      <c r="R265" s="274"/>
      <c r="S265" s="274"/>
      <c r="T265" s="274"/>
      <c r="U265" s="274"/>
      <c r="V265" s="274"/>
      <c r="W265" s="274"/>
      <c r="X265" s="274"/>
      <c r="Y265" s="274"/>
      <c r="Z265" s="274"/>
    </row>
    <row r="266" spans="1:26" ht="15.75" customHeight="1" x14ac:dyDescent="0.25">
      <c r="A266" s="274"/>
      <c r="B266" s="274"/>
      <c r="C266" s="409"/>
      <c r="D266" s="274"/>
      <c r="E266" s="410"/>
      <c r="F266" s="274"/>
      <c r="G266" s="409"/>
      <c r="H266" s="410"/>
      <c r="I266" s="274"/>
      <c r="J266" s="274"/>
      <c r="K266" s="274"/>
      <c r="L266" s="274"/>
      <c r="M266" s="274"/>
      <c r="N266" s="274"/>
      <c r="O266" s="274"/>
      <c r="P266" s="274"/>
      <c r="Q266" s="274"/>
      <c r="R266" s="274"/>
      <c r="S266" s="274"/>
      <c r="T266" s="274"/>
      <c r="U266" s="274"/>
      <c r="V266" s="274"/>
      <c r="W266" s="274"/>
      <c r="X266" s="274"/>
      <c r="Y266" s="274"/>
      <c r="Z266" s="274"/>
    </row>
    <row r="267" spans="1:26" ht="15.75" customHeight="1" x14ac:dyDescent="0.25">
      <c r="A267" s="274"/>
      <c r="B267" s="274"/>
      <c r="C267" s="409"/>
      <c r="D267" s="274"/>
      <c r="E267" s="410"/>
      <c r="F267" s="274"/>
      <c r="G267" s="409"/>
      <c r="H267" s="410"/>
      <c r="I267" s="274"/>
      <c r="J267" s="274"/>
      <c r="K267" s="274"/>
      <c r="L267" s="274"/>
      <c r="M267" s="274"/>
      <c r="N267" s="274"/>
      <c r="O267" s="274"/>
      <c r="P267" s="274"/>
      <c r="Q267" s="274"/>
      <c r="R267" s="274"/>
      <c r="S267" s="274"/>
      <c r="T267" s="274"/>
      <c r="U267" s="274"/>
      <c r="V267" s="274"/>
      <c r="W267" s="274"/>
      <c r="X267" s="274"/>
      <c r="Y267" s="274"/>
      <c r="Z267" s="274"/>
    </row>
    <row r="268" spans="1:26" ht="15.75" customHeight="1" x14ac:dyDescent="0.25">
      <c r="A268" s="274"/>
      <c r="B268" s="274"/>
      <c r="C268" s="409"/>
      <c r="D268" s="274"/>
      <c r="E268" s="410"/>
      <c r="F268" s="274"/>
      <c r="G268" s="409"/>
      <c r="H268" s="410"/>
      <c r="I268" s="274"/>
      <c r="J268" s="274"/>
      <c r="K268" s="274"/>
      <c r="L268" s="274"/>
      <c r="M268" s="274"/>
      <c r="N268" s="274"/>
      <c r="O268" s="274"/>
      <c r="P268" s="274"/>
      <c r="Q268" s="274"/>
      <c r="R268" s="274"/>
      <c r="S268" s="274"/>
      <c r="T268" s="274"/>
      <c r="U268" s="274"/>
      <c r="V268" s="274"/>
      <c r="W268" s="274"/>
      <c r="X268" s="274"/>
      <c r="Y268" s="274"/>
      <c r="Z268" s="274"/>
    </row>
    <row r="269" spans="1:26" ht="15.75" customHeight="1" x14ac:dyDescent="0.25">
      <c r="A269" s="274"/>
      <c r="B269" s="274"/>
      <c r="C269" s="409"/>
      <c r="D269" s="274"/>
      <c r="E269" s="410"/>
      <c r="F269" s="274"/>
      <c r="G269" s="409"/>
      <c r="H269" s="410"/>
      <c r="I269" s="274"/>
      <c r="J269" s="274"/>
      <c r="K269" s="274"/>
      <c r="L269" s="274"/>
      <c r="M269" s="274"/>
      <c r="N269" s="274"/>
      <c r="O269" s="274"/>
      <c r="P269" s="274"/>
      <c r="Q269" s="274"/>
      <c r="R269" s="274"/>
      <c r="S269" s="274"/>
      <c r="T269" s="274"/>
      <c r="U269" s="274"/>
      <c r="V269" s="274"/>
      <c r="W269" s="274"/>
      <c r="X269" s="274"/>
      <c r="Y269" s="274"/>
      <c r="Z269" s="274"/>
    </row>
    <row r="270" spans="1:26" ht="15.75" customHeight="1" x14ac:dyDescent="0.25">
      <c r="A270" s="274"/>
      <c r="B270" s="274"/>
      <c r="C270" s="409"/>
      <c r="D270" s="274"/>
      <c r="E270" s="410"/>
      <c r="F270" s="274"/>
      <c r="G270" s="409"/>
      <c r="H270" s="410"/>
      <c r="I270" s="274"/>
      <c r="J270" s="274"/>
      <c r="K270" s="274"/>
      <c r="L270" s="274"/>
      <c r="M270" s="274"/>
      <c r="N270" s="274"/>
      <c r="O270" s="274"/>
      <c r="P270" s="274"/>
      <c r="Q270" s="274"/>
      <c r="R270" s="274"/>
      <c r="S270" s="274"/>
      <c r="T270" s="274"/>
      <c r="U270" s="274"/>
      <c r="V270" s="274"/>
      <c r="W270" s="274"/>
      <c r="X270" s="274"/>
      <c r="Y270" s="274"/>
      <c r="Z270" s="274"/>
    </row>
    <row r="271" spans="1:26" ht="15.75" customHeight="1" x14ac:dyDescent="0.25">
      <c r="A271" s="274"/>
      <c r="B271" s="274"/>
      <c r="C271" s="409"/>
      <c r="D271" s="274"/>
      <c r="E271" s="410"/>
      <c r="F271" s="274"/>
      <c r="G271" s="409"/>
      <c r="H271" s="410"/>
      <c r="I271" s="274"/>
      <c r="J271" s="274"/>
      <c r="K271" s="274"/>
      <c r="L271" s="274"/>
      <c r="M271" s="274"/>
      <c r="N271" s="274"/>
      <c r="O271" s="274"/>
      <c r="P271" s="274"/>
      <c r="Q271" s="274"/>
      <c r="R271" s="274"/>
      <c r="S271" s="274"/>
      <c r="T271" s="274"/>
      <c r="U271" s="274"/>
      <c r="V271" s="274"/>
      <c r="W271" s="274"/>
      <c r="X271" s="274"/>
      <c r="Y271" s="274"/>
      <c r="Z271" s="274"/>
    </row>
    <row r="272" spans="1:26" ht="15.75" customHeight="1" x14ac:dyDescent="0.25">
      <c r="A272" s="274"/>
      <c r="B272" s="274"/>
      <c r="C272" s="409"/>
      <c r="D272" s="274"/>
      <c r="E272" s="410"/>
      <c r="F272" s="274"/>
      <c r="G272" s="409"/>
      <c r="H272" s="410"/>
      <c r="I272" s="274"/>
      <c r="J272" s="274"/>
      <c r="K272" s="274"/>
      <c r="L272" s="274"/>
      <c r="M272" s="274"/>
      <c r="N272" s="274"/>
      <c r="O272" s="274"/>
      <c r="P272" s="274"/>
      <c r="Q272" s="274"/>
      <c r="R272" s="274"/>
      <c r="S272" s="274"/>
      <c r="T272" s="274"/>
      <c r="U272" s="274"/>
      <c r="V272" s="274"/>
      <c r="W272" s="274"/>
      <c r="X272" s="274"/>
      <c r="Y272" s="274"/>
      <c r="Z272" s="274"/>
    </row>
    <row r="273" spans="1:26" ht="15.75" customHeight="1" x14ac:dyDescent="0.25">
      <c r="A273" s="274"/>
      <c r="B273" s="274"/>
      <c r="C273" s="409"/>
      <c r="D273" s="274"/>
      <c r="E273" s="410"/>
      <c r="F273" s="274"/>
      <c r="G273" s="409"/>
      <c r="H273" s="410"/>
      <c r="I273" s="274"/>
      <c r="J273" s="274"/>
      <c r="K273" s="274"/>
      <c r="L273" s="274"/>
      <c r="M273" s="274"/>
      <c r="N273" s="274"/>
      <c r="O273" s="274"/>
      <c r="P273" s="274"/>
      <c r="Q273" s="274"/>
      <c r="R273" s="274"/>
      <c r="S273" s="274"/>
      <c r="T273" s="274"/>
      <c r="U273" s="274"/>
      <c r="V273" s="274"/>
      <c r="W273" s="274"/>
      <c r="X273" s="274"/>
      <c r="Y273" s="274"/>
      <c r="Z273" s="274"/>
    </row>
    <row r="274" spans="1:26" ht="15.75" customHeight="1" x14ac:dyDescent="0.25">
      <c r="A274" s="274"/>
      <c r="B274" s="274"/>
      <c r="C274" s="409"/>
      <c r="D274" s="274"/>
      <c r="E274" s="410"/>
      <c r="F274" s="274"/>
      <c r="G274" s="409"/>
      <c r="H274" s="410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</row>
    <row r="275" spans="1:26" ht="15.75" customHeight="1" x14ac:dyDescent="0.25">
      <c r="A275" s="274"/>
      <c r="B275" s="274"/>
      <c r="C275" s="409"/>
      <c r="D275" s="274"/>
      <c r="E275" s="410"/>
      <c r="F275" s="274"/>
      <c r="G275" s="409"/>
      <c r="H275" s="410"/>
      <c r="I275" s="274"/>
      <c r="J275" s="274"/>
      <c r="K275" s="274"/>
      <c r="L275" s="274"/>
      <c r="M275" s="274"/>
      <c r="N275" s="274"/>
      <c r="O275" s="274"/>
      <c r="P275" s="274"/>
      <c r="Q275" s="274"/>
      <c r="R275" s="274"/>
      <c r="S275" s="274"/>
      <c r="T275" s="274"/>
      <c r="U275" s="274"/>
      <c r="V275" s="274"/>
      <c r="W275" s="274"/>
      <c r="X275" s="274"/>
      <c r="Y275" s="274"/>
      <c r="Z275" s="274"/>
    </row>
    <row r="276" spans="1:26" ht="15.75" customHeight="1" x14ac:dyDescent="0.25">
      <c r="A276" s="274"/>
      <c r="B276" s="274"/>
      <c r="C276" s="409"/>
      <c r="D276" s="274"/>
      <c r="E276" s="410"/>
      <c r="F276" s="274"/>
      <c r="G276" s="409"/>
      <c r="H276" s="410"/>
      <c r="I276" s="274"/>
      <c r="J276" s="274"/>
      <c r="K276" s="274"/>
      <c r="L276" s="274"/>
      <c r="M276" s="274"/>
      <c r="N276" s="274"/>
      <c r="O276" s="274"/>
      <c r="P276" s="274"/>
      <c r="Q276" s="274"/>
      <c r="R276" s="274"/>
      <c r="S276" s="274"/>
      <c r="T276" s="274"/>
      <c r="U276" s="274"/>
      <c r="V276" s="274"/>
      <c r="W276" s="274"/>
      <c r="X276" s="274"/>
      <c r="Y276" s="274"/>
      <c r="Z276" s="274"/>
    </row>
    <row r="277" spans="1:26" ht="15.75" customHeight="1" x14ac:dyDescent="0.25">
      <c r="A277" s="274"/>
      <c r="B277" s="274"/>
      <c r="C277" s="409"/>
      <c r="D277" s="274"/>
      <c r="E277" s="410"/>
      <c r="F277" s="274"/>
      <c r="G277" s="409"/>
      <c r="H277" s="410"/>
      <c r="I277" s="274"/>
      <c r="J277" s="274"/>
      <c r="K277" s="274"/>
      <c r="L277" s="274"/>
      <c r="M277" s="274"/>
      <c r="N277" s="274"/>
      <c r="O277" s="274"/>
      <c r="P277" s="274"/>
      <c r="Q277" s="274"/>
      <c r="R277" s="274"/>
      <c r="S277" s="274"/>
      <c r="T277" s="274"/>
      <c r="U277" s="274"/>
      <c r="V277" s="274"/>
      <c r="W277" s="274"/>
      <c r="X277" s="274"/>
      <c r="Y277" s="274"/>
      <c r="Z277" s="274"/>
    </row>
    <row r="278" spans="1:26" ht="15.75" customHeight="1" x14ac:dyDescent="0.25">
      <c r="A278" s="274"/>
      <c r="B278" s="274"/>
      <c r="C278" s="409"/>
      <c r="D278" s="274"/>
      <c r="E278" s="410"/>
      <c r="F278" s="274"/>
      <c r="G278" s="409"/>
      <c r="H278" s="410"/>
      <c r="I278" s="274"/>
      <c r="J278" s="274"/>
      <c r="K278" s="274"/>
      <c r="L278" s="274"/>
      <c r="M278" s="274"/>
      <c r="N278" s="274"/>
      <c r="O278" s="274"/>
      <c r="P278" s="274"/>
      <c r="Q278" s="274"/>
      <c r="R278" s="274"/>
      <c r="S278" s="274"/>
      <c r="T278" s="274"/>
      <c r="U278" s="274"/>
      <c r="V278" s="274"/>
      <c r="W278" s="274"/>
      <c r="X278" s="274"/>
      <c r="Y278" s="274"/>
      <c r="Z278" s="274"/>
    </row>
    <row r="279" spans="1:26" ht="15.75" customHeight="1" x14ac:dyDescent="0.25">
      <c r="A279" s="274"/>
      <c r="B279" s="274"/>
      <c r="C279" s="409"/>
      <c r="D279" s="274"/>
      <c r="E279" s="410"/>
      <c r="F279" s="274"/>
      <c r="G279" s="409"/>
      <c r="H279" s="410"/>
      <c r="I279" s="274"/>
      <c r="J279" s="274"/>
      <c r="K279" s="274"/>
      <c r="L279" s="274"/>
      <c r="M279" s="274"/>
      <c r="N279" s="274"/>
      <c r="O279" s="274"/>
      <c r="P279" s="274"/>
      <c r="Q279" s="274"/>
      <c r="R279" s="274"/>
      <c r="S279" s="274"/>
      <c r="T279" s="274"/>
      <c r="U279" s="274"/>
      <c r="V279" s="274"/>
      <c r="W279" s="274"/>
      <c r="X279" s="274"/>
      <c r="Y279" s="274"/>
      <c r="Z279" s="274"/>
    </row>
    <row r="280" spans="1:26" ht="15.75" customHeight="1" x14ac:dyDescent="0.25">
      <c r="A280" s="274"/>
      <c r="B280" s="274"/>
      <c r="C280" s="409"/>
      <c r="D280" s="274"/>
      <c r="E280" s="410"/>
      <c r="F280" s="274"/>
      <c r="G280" s="409"/>
      <c r="H280" s="410"/>
      <c r="I280" s="274"/>
      <c r="J280" s="274"/>
      <c r="K280" s="274"/>
      <c r="L280" s="274"/>
      <c r="M280" s="274"/>
      <c r="N280" s="274"/>
      <c r="O280" s="274"/>
      <c r="P280" s="274"/>
      <c r="Q280" s="274"/>
      <c r="R280" s="274"/>
      <c r="S280" s="274"/>
      <c r="T280" s="274"/>
      <c r="U280" s="274"/>
      <c r="V280" s="274"/>
      <c r="W280" s="274"/>
      <c r="X280" s="274"/>
      <c r="Y280" s="274"/>
      <c r="Z280" s="274"/>
    </row>
    <row r="281" spans="1:26" ht="15.75" customHeight="1" x14ac:dyDescent="0.25">
      <c r="A281" s="274"/>
      <c r="B281" s="274"/>
      <c r="C281" s="409"/>
      <c r="D281" s="274"/>
      <c r="E281" s="410"/>
      <c r="F281" s="274"/>
      <c r="G281" s="409"/>
      <c r="H281" s="410"/>
      <c r="I281" s="274"/>
      <c r="J281" s="274"/>
      <c r="K281" s="274"/>
      <c r="L281" s="274"/>
      <c r="M281" s="274"/>
      <c r="N281" s="274"/>
      <c r="O281" s="274"/>
      <c r="P281" s="274"/>
      <c r="Q281" s="274"/>
      <c r="R281" s="274"/>
      <c r="S281" s="274"/>
      <c r="T281" s="274"/>
      <c r="U281" s="274"/>
      <c r="V281" s="274"/>
      <c r="W281" s="274"/>
      <c r="X281" s="274"/>
      <c r="Y281" s="274"/>
      <c r="Z281" s="274"/>
    </row>
    <row r="282" spans="1:26" ht="15.75" customHeight="1" x14ac:dyDescent="0.25">
      <c r="A282" s="274"/>
      <c r="B282" s="274"/>
      <c r="C282" s="409"/>
      <c r="D282" s="274"/>
      <c r="E282" s="410"/>
      <c r="F282" s="274"/>
      <c r="G282" s="409"/>
      <c r="H282" s="410"/>
      <c r="I282" s="274"/>
      <c r="J282" s="274"/>
      <c r="K282" s="274"/>
      <c r="L282" s="274"/>
      <c r="M282" s="274"/>
      <c r="N282" s="274"/>
      <c r="O282" s="274"/>
      <c r="P282" s="274"/>
      <c r="Q282" s="274"/>
      <c r="R282" s="274"/>
      <c r="S282" s="274"/>
      <c r="T282" s="274"/>
      <c r="U282" s="274"/>
      <c r="V282" s="274"/>
      <c r="W282" s="274"/>
      <c r="X282" s="274"/>
      <c r="Y282" s="274"/>
      <c r="Z282" s="274"/>
    </row>
    <row r="283" spans="1:26" ht="15.75" customHeight="1" x14ac:dyDescent="0.25">
      <c r="A283" s="274"/>
      <c r="B283" s="274"/>
      <c r="C283" s="409"/>
      <c r="D283" s="274"/>
      <c r="E283" s="410"/>
      <c r="F283" s="274"/>
      <c r="G283" s="409"/>
      <c r="H283" s="410"/>
      <c r="I283" s="274"/>
      <c r="J283" s="274"/>
      <c r="K283" s="274"/>
      <c r="L283" s="274"/>
      <c r="M283" s="274"/>
      <c r="N283" s="274"/>
      <c r="O283" s="274"/>
      <c r="P283" s="274"/>
      <c r="Q283" s="274"/>
      <c r="R283" s="274"/>
      <c r="S283" s="274"/>
      <c r="T283" s="274"/>
      <c r="U283" s="274"/>
      <c r="V283" s="274"/>
      <c r="W283" s="274"/>
      <c r="X283" s="274"/>
      <c r="Y283" s="274"/>
      <c r="Z283" s="274"/>
    </row>
    <row r="284" spans="1:26" ht="15.75" customHeight="1" x14ac:dyDescent="0.25">
      <c r="A284" s="274"/>
      <c r="B284" s="274"/>
      <c r="C284" s="409"/>
      <c r="D284" s="274"/>
      <c r="E284" s="410"/>
      <c r="F284" s="274"/>
      <c r="G284" s="409"/>
      <c r="H284" s="410"/>
      <c r="I284" s="274"/>
      <c r="J284" s="274"/>
      <c r="K284" s="274"/>
      <c r="L284" s="274"/>
      <c r="M284" s="274"/>
      <c r="N284" s="274"/>
      <c r="O284" s="274"/>
      <c r="P284" s="274"/>
      <c r="Q284" s="274"/>
      <c r="R284" s="274"/>
      <c r="S284" s="274"/>
      <c r="T284" s="274"/>
      <c r="U284" s="274"/>
      <c r="V284" s="274"/>
      <c r="W284" s="274"/>
      <c r="X284" s="274"/>
      <c r="Y284" s="274"/>
      <c r="Z284" s="274"/>
    </row>
    <row r="285" spans="1:26" ht="15.75" customHeight="1" x14ac:dyDescent="0.25">
      <c r="A285" s="274"/>
      <c r="B285" s="274"/>
      <c r="C285" s="409"/>
      <c r="D285" s="274"/>
      <c r="E285" s="410"/>
      <c r="F285" s="274"/>
      <c r="G285" s="409"/>
      <c r="H285" s="410"/>
      <c r="I285" s="274"/>
      <c r="J285" s="274"/>
      <c r="K285" s="274"/>
      <c r="L285" s="274"/>
      <c r="M285" s="274"/>
      <c r="N285" s="274"/>
      <c r="O285" s="274"/>
      <c r="P285" s="274"/>
      <c r="Q285" s="274"/>
      <c r="R285" s="274"/>
      <c r="S285" s="274"/>
      <c r="T285" s="274"/>
      <c r="U285" s="274"/>
      <c r="V285" s="274"/>
      <c r="W285" s="274"/>
      <c r="X285" s="274"/>
      <c r="Y285" s="274"/>
      <c r="Z285" s="274"/>
    </row>
    <row r="286" spans="1:26" ht="15.75" customHeight="1" x14ac:dyDescent="0.25">
      <c r="A286" s="274"/>
      <c r="B286" s="274"/>
      <c r="C286" s="409"/>
      <c r="D286" s="274"/>
      <c r="E286" s="410"/>
      <c r="F286" s="274"/>
      <c r="G286" s="409"/>
      <c r="H286" s="410"/>
      <c r="I286" s="274"/>
      <c r="J286" s="274"/>
      <c r="K286" s="274"/>
      <c r="L286" s="274"/>
      <c r="M286" s="274"/>
      <c r="N286" s="274"/>
      <c r="O286" s="274"/>
      <c r="P286" s="274"/>
      <c r="Q286" s="274"/>
      <c r="R286" s="274"/>
      <c r="S286" s="274"/>
      <c r="T286" s="274"/>
      <c r="U286" s="274"/>
      <c r="V286" s="274"/>
      <c r="W286" s="274"/>
      <c r="X286" s="274"/>
      <c r="Y286" s="274"/>
      <c r="Z286" s="274"/>
    </row>
    <row r="287" spans="1:26" ht="15.75" customHeight="1" x14ac:dyDescent="0.25">
      <c r="A287" s="274"/>
      <c r="B287" s="274"/>
      <c r="C287" s="409"/>
      <c r="D287" s="274"/>
      <c r="E287" s="410"/>
      <c r="F287" s="274"/>
      <c r="G287" s="409"/>
      <c r="H287" s="410"/>
      <c r="I287" s="274"/>
      <c r="J287" s="274"/>
      <c r="K287" s="274"/>
      <c r="L287" s="274"/>
      <c r="M287" s="274"/>
      <c r="N287" s="274"/>
      <c r="O287" s="274"/>
      <c r="P287" s="274"/>
      <c r="Q287" s="274"/>
      <c r="R287" s="274"/>
      <c r="S287" s="274"/>
      <c r="T287" s="274"/>
      <c r="U287" s="274"/>
      <c r="V287" s="274"/>
      <c r="W287" s="274"/>
      <c r="X287" s="274"/>
      <c r="Y287" s="274"/>
      <c r="Z287" s="274"/>
    </row>
    <row r="288" spans="1:26" ht="15.75" customHeight="1" x14ac:dyDescent="0.25">
      <c r="A288" s="274"/>
      <c r="B288" s="274"/>
      <c r="C288" s="409"/>
      <c r="D288" s="274"/>
      <c r="E288" s="410"/>
      <c r="F288" s="274"/>
      <c r="G288" s="409"/>
      <c r="H288" s="410"/>
      <c r="I288" s="274"/>
      <c r="J288" s="274"/>
      <c r="K288" s="274"/>
      <c r="L288" s="274"/>
      <c r="M288" s="274"/>
      <c r="N288" s="274"/>
      <c r="O288" s="274"/>
      <c r="P288" s="274"/>
      <c r="Q288" s="274"/>
      <c r="R288" s="274"/>
      <c r="S288" s="274"/>
      <c r="T288" s="274"/>
      <c r="U288" s="274"/>
      <c r="V288" s="274"/>
      <c r="W288" s="274"/>
      <c r="X288" s="274"/>
      <c r="Y288" s="274"/>
      <c r="Z288" s="274"/>
    </row>
    <row r="289" spans="1:26" ht="15.75" customHeight="1" x14ac:dyDescent="0.25">
      <c r="A289" s="274"/>
      <c r="B289" s="274"/>
      <c r="C289" s="409"/>
      <c r="D289" s="274"/>
      <c r="E289" s="410"/>
      <c r="F289" s="274"/>
      <c r="G289" s="409"/>
      <c r="H289" s="410"/>
      <c r="I289" s="274"/>
      <c r="J289" s="274"/>
      <c r="K289" s="274"/>
      <c r="L289" s="274"/>
      <c r="M289" s="274"/>
      <c r="N289" s="274"/>
      <c r="O289" s="274"/>
      <c r="P289" s="274"/>
      <c r="Q289" s="274"/>
      <c r="R289" s="274"/>
      <c r="S289" s="274"/>
      <c r="T289" s="274"/>
      <c r="U289" s="274"/>
      <c r="V289" s="274"/>
      <c r="W289" s="274"/>
      <c r="X289" s="274"/>
      <c r="Y289" s="274"/>
      <c r="Z289" s="274"/>
    </row>
    <row r="290" spans="1:26" ht="15.75" customHeight="1" x14ac:dyDescent="0.25">
      <c r="A290" s="274"/>
      <c r="B290" s="274"/>
      <c r="C290" s="409"/>
      <c r="D290" s="274"/>
      <c r="E290" s="410"/>
      <c r="F290" s="274"/>
      <c r="G290" s="409"/>
      <c r="H290" s="410"/>
      <c r="I290" s="274"/>
      <c r="J290" s="274"/>
      <c r="K290" s="274"/>
      <c r="L290" s="274"/>
      <c r="M290" s="274"/>
      <c r="N290" s="274"/>
      <c r="O290" s="274"/>
      <c r="P290" s="274"/>
      <c r="Q290" s="274"/>
      <c r="R290" s="274"/>
      <c r="S290" s="274"/>
      <c r="T290" s="274"/>
      <c r="U290" s="274"/>
      <c r="V290" s="274"/>
      <c r="W290" s="274"/>
      <c r="X290" s="274"/>
      <c r="Y290" s="274"/>
      <c r="Z290" s="274"/>
    </row>
    <row r="291" spans="1:26" ht="15.75" customHeight="1" x14ac:dyDescent="0.25">
      <c r="A291" s="274"/>
      <c r="B291" s="274"/>
      <c r="C291" s="409"/>
      <c r="D291" s="274"/>
      <c r="E291" s="410"/>
      <c r="F291" s="274"/>
      <c r="G291" s="409"/>
      <c r="H291" s="410"/>
      <c r="I291" s="274"/>
      <c r="J291" s="274"/>
      <c r="K291" s="274"/>
      <c r="L291" s="274"/>
      <c r="M291" s="274"/>
      <c r="N291" s="274"/>
      <c r="O291" s="274"/>
      <c r="P291" s="274"/>
      <c r="Q291" s="274"/>
      <c r="R291" s="274"/>
      <c r="S291" s="274"/>
      <c r="T291" s="274"/>
      <c r="U291" s="274"/>
      <c r="V291" s="274"/>
      <c r="W291" s="274"/>
      <c r="X291" s="274"/>
      <c r="Y291" s="274"/>
      <c r="Z291" s="274"/>
    </row>
    <row r="292" spans="1:26" ht="15.75" customHeight="1" x14ac:dyDescent="0.25">
      <c r="A292" s="274"/>
      <c r="B292" s="274"/>
      <c r="C292" s="409"/>
      <c r="D292" s="274"/>
      <c r="E292" s="410"/>
      <c r="F292" s="274"/>
      <c r="G292" s="409"/>
      <c r="H292" s="410"/>
      <c r="I292" s="274"/>
      <c r="J292" s="274"/>
      <c r="K292" s="274"/>
      <c r="L292" s="274"/>
      <c r="M292" s="274"/>
      <c r="N292" s="274"/>
      <c r="O292" s="274"/>
      <c r="P292" s="274"/>
      <c r="Q292" s="274"/>
      <c r="R292" s="274"/>
      <c r="S292" s="274"/>
      <c r="T292" s="274"/>
      <c r="U292" s="274"/>
      <c r="V292" s="274"/>
      <c r="W292" s="274"/>
      <c r="X292" s="274"/>
      <c r="Y292" s="274"/>
      <c r="Z292" s="274"/>
    </row>
    <row r="293" spans="1:26" ht="15.75" customHeight="1" x14ac:dyDescent="0.25">
      <c r="A293" s="274"/>
      <c r="B293" s="274"/>
      <c r="C293" s="409"/>
      <c r="D293" s="274"/>
      <c r="E293" s="410"/>
      <c r="F293" s="274"/>
      <c r="G293" s="409"/>
      <c r="H293" s="410"/>
      <c r="I293" s="274"/>
      <c r="J293" s="274"/>
      <c r="K293" s="274"/>
      <c r="L293" s="274"/>
      <c r="M293" s="274"/>
      <c r="N293" s="274"/>
      <c r="O293" s="274"/>
      <c r="P293" s="274"/>
      <c r="Q293" s="274"/>
      <c r="R293" s="274"/>
      <c r="S293" s="274"/>
      <c r="T293" s="274"/>
      <c r="U293" s="274"/>
      <c r="V293" s="274"/>
      <c r="W293" s="274"/>
      <c r="X293" s="274"/>
      <c r="Y293" s="274"/>
      <c r="Z293" s="274"/>
    </row>
    <row r="294" spans="1:26" ht="15.75" customHeight="1" x14ac:dyDescent="0.25">
      <c r="A294" s="274"/>
      <c r="B294" s="274"/>
      <c r="C294" s="409"/>
      <c r="D294" s="274"/>
      <c r="E294" s="410"/>
      <c r="F294" s="274"/>
      <c r="G294" s="409"/>
      <c r="H294" s="410"/>
      <c r="I294" s="274"/>
      <c r="J294" s="274"/>
      <c r="K294" s="274"/>
      <c r="L294" s="274"/>
      <c r="M294" s="274"/>
      <c r="N294" s="274"/>
      <c r="O294" s="274"/>
      <c r="P294" s="274"/>
      <c r="Q294" s="274"/>
      <c r="R294" s="274"/>
      <c r="S294" s="274"/>
      <c r="T294" s="274"/>
      <c r="U294" s="274"/>
      <c r="V294" s="274"/>
      <c r="W294" s="274"/>
      <c r="X294" s="274"/>
      <c r="Y294" s="274"/>
      <c r="Z294" s="274"/>
    </row>
    <row r="295" spans="1:26" ht="15.75" customHeight="1" x14ac:dyDescent="0.25">
      <c r="A295" s="274"/>
      <c r="B295" s="274"/>
      <c r="C295" s="409"/>
      <c r="D295" s="274"/>
      <c r="E295" s="410"/>
      <c r="F295" s="274"/>
      <c r="G295" s="409"/>
      <c r="H295" s="410"/>
      <c r="I295" s="274"/>
      <c r="J295" s="274"/>
      <c r="K295" s="274"/>
      <c r="L295" s="274"/>
      <c r="M295" s="274"/>
      <c r="N295" s="274"/>
      <c r="O295" s="274"/>
      <c r="P295" s="274"/>
      <c r="Q295" s="274"/>
      <c r="R295" s="274"/>
      <c r="S295" s="274"/>
      <c r="T295" s="274"/>
      <c r="U295" s="274"/>
      <c r="V295" s="274"/>
      <c r="W295" s="274"/>
      <c r="X295" s="274"/>
      <c r="Y295" s="274"/>
      <c r="Z295" s="274"/>
    </row>
    <row r="296" spans="1:26" ht="15.75" customHeight="1" x14ac:dyDescent="0.25">
      <c r="A296" s="274"/>
      <c r="B296" s="274"/>
      <c r="C296" s="409"/>
      <c r="D296" s="274"/>
      <c r="E296" s="410"/>
      <c r="F296" s="274"/>
      <c r="G296" s="409"/>
      <c r="H296" s="410"/>
      <c r="I296" s="274"/>
      <c r="J296" s="274"/>
      <c r="K296" s="274"/>
      <c r="L296" s="274"/>
      <c r="M296" s="274"/>
      <c r="N296" s="274"/>
      <c r="O296" s="274"/>
      <c r="P296" s="274"/>
      <c r="Q296" s="274"/>
      <c r="R296" s="274"/>
      <c r="S296" s="274"/>
      <c r="T296" s="274"/>
      <c r="U296" s="274"/>
      <c r="V296" s="274"/>
      <c r="W296" s="274"/>
      <c r="X296" s="274"/>
      <c r="Y296" s="274"/>
      <c r="Z296" s="274"/>
    </row>
    <row r="297" spans="1:26" ht="15.75" customHeight="1" x14ac:dyDescent="0.25">
      <c r="A297" s="274"/>
      <c r="B297" s="274"/>
      <c r="C297" s="409"/>
      <c r="D297" s="274"/>
      <c r="E297" s="410"/>
      <c r="F297" s="274"/>
      <c r="G297" s="409"/>
      <c r="H297" s="410"/>
      <c r="I297" s="274"/>
      <c r="J297" s="274"/>
      <c r="K297" s="274"/>
      <c r="L297" s="274"/>
      <c r="M297" s="274"/>
      <c r="N297" s="274"/>
      <c r="O297" s="274"/>
      <c r="P297" s="274"/>
      <c r="Q297" s="274"/>
      <c r="R297" s="274"/>
      <c r="S297" s="274"/>
      <c r="T297" s="274"/>
      <c r="U297" s="274"/>
      <c r="V297" s="274"/>
      <c r="W297" s="274"/>
      <c r="X297" s="274"/>
      <c r="Y297" s="274"/>
      <c r="Z297" s="274"/>
    </row>
    <row r="298" spans="1:26" ht="15.75" customHeight="1" x14ac:dyDescent="0.25">
      <c r="A298" s="274"/>
      <c r="B298" s="274"/>
      <c r="C298" s="409"/>
      <c r="D298" s="274"/>
      <c r="E298" s="410"/>
      <c r="F298" s="274"/>
      <c r="G298" s="409"/>
      <c r="H298" s="410"/>
      <c r="I298" s="274"/>
      <c r="J298" s="274"/>
      <c r="K298" s="274"/>
      <c r="L298" s="274"/>
      <c r="M298" s="274"/>
      <c r="N298" s="274"/>
      <c r="O298" s="274"/>
      <c r="P298" s="274"/>
      <c r="Q298" s="274"/>
      <c r="R298" s="274"/>
      <c r="S298" s="274"/>
      <c r="T298" s="274"/>
      <c r="U298" s="274"/>
      <c r="V298" s="274"/>
      <c r="W298" s="274"/>
      <c r="X298" s="274"/>
      <c r="Y298" s="274"/>
      <c r="Z298" s="274"/>
    </row>
    <row r="299" spans="1:26" ht="15.75" customHeight="1" x14ac:dyDescent="0.25">
      <c r="A299" s="274"/>
      <c r="B299" s="274"/>
      <c r="C299" s="409"/>
      <c r="D299" s="274"/>
      <c r="E299" s="410"/>
      <c r="F299" s="274"/>
      <c r="G299" s="409"/>
      <c r="H299" s="410"/>
      <c r="I299" s="274"/>
      <c r="J299" s="274"/>
      <c r="K299" s="274"/>
      <c r="L299" s="274"/>
      <c r="M299" s="274"/>
      <c r="N299" s="274"/>
      <c r="O299" s="274"/>
      <c r="P299" s="274"/>
      <c r="Q299" s="274"/>
      <c r="R299" s="274"/>
      <c r="S299" s="274"/>
      <c r="T299" s="274"/>
      <c r="U299" s="274"/>
      <c r="V299" s="274"/>
      <c r="W299" s="274"/>
      <c r="X299" s="274"/>
      <c r="Y299" s="274"/>
      <c r="Z299" s="274"/>
    </row>
    <row r="300" spans="1:26" ht="15.75" customHeight="1" x14ac:dyDescent="0.25">
      <c r="A300" s="274"/>
      <c r="B300" s="274"/>
      <c r="C300" s="409"/>
      <c r="D300" s="274"/>
      <c r="E300" s="410"/>
      <c r="F300" s="274"/>
      <c r="G300" s="409"/>
      <c r="H300" s="410"/>
      <c r="I300" s="274"/>
      <c r="J300" s="274"/>
      <c r="K300" s="274"/>
      <c r="L300" s="274"/>
      <c r="M300" s="274"/>
      <c r="N300" s="274"/>
      <c r="O300" s="274"/>
      <c r="P300" s="274"/>
      <c r="Q300" s="274"/>
      <c r="R300" s="274"/>
      <c r="S300" s="274"/>
      <c r="T300" s="274"/>
      <c r="U300" s="274"/>
      <c r="V300" s="274"/>
      <c r="W300" s="274"/>
      <c r="X300" s="274"/>
      <c r="Y300" s="274"/>
      <c r="Z300" s="274"/>
    </row>
    <row r="301" spans="1:26" ht="15.75" customHeight="1" x14ac:dyDescent="0.25">
      <c r="A301" s="274"/>
      <c r="B301" s="274"/>
      <c r="C301" s="409"/>
      <c r="D301" s="274"/>
      <c r="E301" s="410"/>
      <c r="F301" s="274"/>
      <c r="G301" s="409"/>
      <c r="H301" s="410"/>
      <c r="I301" s="274"/>
      <c r="J301" s="274"/>
      <c r="K301" s="274"/>
      <c r="L301" s="274"/>
      <c r="M301" s="274"/>
      <c r="N301" s="274"/>
      <c r="O301" s="274"/>
      <c r="P301" s="274"/>
      <c r="Q301" s="274"/>
      <c r="R301" s="274"/>
      <c r="S301" s="274"/>
      <c r="T301" s="274"/>
      <c r="U301" s="274"/>
      <c r="V301" s="274"/>
      <c r="W301" s="274"/>
      <c r="X301" s="274"/>
      <c r="Y301" s="274"/>
      <c r="Z301" s="274"/>
    </row>
    <row r="302" spans="1:26" ht="15.75" customHeight="1" x14ac:dyDescent="0.25">
      <c r="A302" s="274"/>
      <c r="B302" s="274"/>
      <c r="C302" s="409"/>
      <c r="D302" s="274"/>
      <c r="E302" s="410"/>
      <c r="F302" s="274"/>
      <c r="G302" s="409"/>
      <c r="H302" s="410"/>
      <c r="I302" s="274"/>
      <c r="J302" s="274"/>
      <c r="K302" s="274"/>
      <c r="L302" s="274"/>
      <c r="M302" s="274"/>
      <c r="N302" s="274"/>
      <c r="O302" s="274"/>
      <c r="P302" s="274"/>
      <c r="Q302" s="274"/>
      <c r="R302" s="274"/>
      <c r="S302" s="274"/>
      <c r="T302" s="274"/>
      <c r="U302" s="274"/>
      <c r="V302" s="274"/>
      <c r="W302" s="274"/>
      <c r="X302" s="274"/>
      <c r="Y302" s="274"/>
      <c r="Z302" s="274"/>
    </row>
    <row r="303" spans="1:26" ht="15.75" customHeight="1" x14ac:dyDescent="0.25">
      <c r="A303" s="274"/>
      <c r="B303" s="274"/>
      <c r="C303" s="409"/>
      <c r="D303" s="274"/>
      <c r="E303" s="410"/>
      <c r="F303" s="274"/>
      <c r="G303" s="409"/>
      <c r="H303" s="410"/>
      <c r="I303" s="274"/>
      <c r="J303" s="274"/>
      <c r="K303" s="274"/>
      <c r="L303" s="274"/>
      <c r="M303" s="274"/>
      <c r="N303" s="274"/>
      <c r="O303" s="274"/>
      <c r="P303" s="274"/>
      <c r="Q303" s="274"/>
      <c r="R303" s="274"/>
      <c r="S303" s="274"/>
      <c r="T303" s="274"/>
      <c r="U303" s="274"/>
      <c r="V303" s="274"/>
      <c r="W303" s="274"/>
      <c r="X303" s="274"/>
      <c r="Y303" s="274"/>
      <c r="Z303" s="274"/>
    </row>
    <row r="304" spans="1:2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  <outlinePr summaryBelow="0" summaryRight="0"/>
  </sheetPr>
  <dimension ref="A1:X1000"/>
  <sheetViews>
    <sheetView workbookViewId="0"/>
  </sheetViews>
  <sheetFormatPr defaultColWidth="12.6640625" defaultRowHeight="15" customHeight="1" x14ac:dyDescent="0.25"/>
  <cols>
    <col min="1" max="1" width="56.33203125" customWidth="1"/>
    <col min="2" max="2" width="49.33203125" customWidth="1"/>
    <col min="3" max="4" width="12.6640625" customWidth="1"/>
    <col min="5" max="5" width="15.88671875" customWidth="1"/>
    <col min="6" max="6" width="12.6640625" customWidth="1"/>
  </cols>
  <sheetData>
    <row r="1" spans="1:24" ht="15.75" customHeight="1" x14ac:dyDescent="0.25">
      <c r="C1" s="423"/>
      <c r="E1" s="410"/>
      <c r="G1" s="409"/>
      <c r="H1" s="410"/>
    </row>
    <row r="2" spans="1:24" ht="15.75" customHeight="1" x14ac:dyDescent="0.25">
      <c r="C2" s="423"/>
      <c r="E2" s="410"/>
      <c r="G2" s="409"/>
      <c r="H2" s="410"/>
    </row>
    <row r="3" spans="1:24" ht="27" customHeight="1" x14ac:dyDescent="0.25">
      <c r="A3" s="424" t="s">
        <v>495</v>
      </c>
      <c r="B3" s="424" t="s">
        <v>78</v>
      </c>
      <c r="C3" s="425" t="s">
        <v>515</v>
      </c>
      <c r="D3" s="426" t="s">
        <v>516</v>
      </c>
      <c r="E3" s="427" t="s">
        <v>517</v>
      </c>
      <c r="F3" s="426" t="s">
        <v>518</v>
      </c>
      <c r="G3" s="428" t="s">
        <v>519</v>
      </c>
      <c r="H3" s="429" t="s">
        <v>502</v>
      </c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</row>
    <row r="4" spans="1:24" ht="15.75" customHeight="1" x14ac:dyDescent="0.25">
      <c r="A4" s="430"/>
      <c r="B4" s="431" t="s">
        <v>27</v>
      </c>
      <c r="C4" s="423"/>
      <c r="D4" s="430"/>
      <c r="E4" s="410"/>
      <c r="F4" s="430"/>
      <c r="G4" s="409"/>
      <c r="H4" s="410"/>
    </row>
    <row r="5" spans="1:24" ht="15.75" customHeight="1" x14ac:dyDescent="0.25">
      <c r="A5" s="430"/>
      <c r="B5" s="431" t="s">
        <v>181</v>
      </c>
      <c r="C5" s="423"/>
      <c r="D5" s="430"/>
      <c r="E5" s="410"/>
      <c r="F5" s="430"/>
      <c r="G5" s="409"/>
      <c r="H5" s="410"/>
      <c r="I5" s="280">
        <v>1.1000000000000001</v>
      </c>
      <c r="J5" s="274" t="s">
        <v>503</v>
      </c>
    </row>
    <row r="6" spans="1:24" ht="15.75" customHeight="1" x14ac:dyDescent="0.25">
      <c r="B6" s="432" t="s">
        <v>182</v>
      </c>
      <c r="C6" s="423"/>
      <c r="E6" s="410"/>
      <c r="G6" s="409"/>
      <c r="H6" s="410"/>
    </row>
    <row r="7" spans="1:24" ht="15.75" customHeight="1" x14ac:dyDescent="0.25">
      <c r="B7" s="274" t="s">
        <v>184</v>
      </c>
      <c r="C7" s="423">
        <v>500</v>
      </c>
      <c r="D7" s="274">
        <f t="shared" ref="D7:D14" si="0">C7*$I$5+G7</f>
        <v>550</v>
      </c>
      <c r="E7" s="410">
        <v>300</v>
      </c>
      <c r="F7" s="274">
        <f t="shared" ref="F7:F14" si="1">E7*$I$7+H7</f>
        <v>350</v>
      </c>
      <c r="G7" s="409"/>
      <c r="H7" s="410">
        <v>20</v>
      </c>
      <c r="I7" s="280">
        <v>1.1000000000000001</v>
      </c>
      <c r="J7" s="274" t="s">
        <v>504</v>
      </c>
    </row>
    <row r="8" spans="1:24" ht="15.75" customHeight="1" x14ac:dyDescent="0.25">
      <c r="B8" s="274" t="s">
        <v>185</v>
      </c>
      <c r="C8" s="423">
        <v>1950</v>
      </c>
      <c r="D8" s="274">
        <f t="shared" si="0"/>
        <v>2150</v>
      </c>
      <c r="E8" s="410">
        <f>D8*0.5</f>
        <v>1075</v>
      </c>
      <c r="F8" s="274">
        <f t="shared" si="1"/>
        <v>1200</v>
      </c>
      <c r="G8" s="409">
        <v>5</v>
      </c>
      <c r="H8" s="410">
        <v>17.5</v>
      </c>
    </row>
    <row r="9" spans="1:24" ht="15.75" customHeight="1" x14ac:dyDescent="0.25">
      <c r="B9" s="274" t="s">
        <v>187</v>
      </c>
      <c r="C9" s="423">
        <v>800</v>
      </c>
      <c r="D9" s="274">
        <f t="shared" si="0"/>
        <v>880.00000000000011</v>
      </c>
      <c r="E9" s="410">
        <v>300</v>
      </c>
      <c r="F9" s="274">
        <f t="shared" si="1"/>
        <v>350</v>
      </c>
      <c r="G9" s="409"/>
      <c r="H9" s="410">
        <v>20</v>
      </c>
    </row>
    <row r="10" spans="1:24" ht="15.75" customHeight="1" x14ac:dyDescent="0.25">
      <c r="B10" s="274" t="s">
        <v>188</v>
      </c>
      <c r="C10" s="423">
        <v>3000</v>
      </c>
      <c r="D10" s="274">
        <f t="shared" si="0"/>
        <v>3300.0000000000005</v>
      </c>
      <c r="E10" s="410">
        <f t="shared" ref="E10:E11" si="2">C10*0.5</f>
        <v>1500</v>
      </c>
      <c r="F10" s="274">
        <f t="shared" si="1"/>
        <v>1650.0000000000002</v>
      </c>
      <c r="G10" s="409"/>
      <c r="H10" s="410"/>
    </row>
    <row r="11" spans="1:24" ht="15.75" customHeight="1" x14ac:dyDescent="0.25">
      <c r="A11" s="263"/>
      <c r="B11" s="263" t="s">
        <v>189</v>
      </c>
      <c r="C11" s="433">
        <v>6000</v>
      </c>
      <c r="D11" s="274">
        <f t="shared" si="0"/>
        <v>6600.0000000000009</v>
      </c>
      <c r="E11" s="419">
        <f t="shared" si="2"/>
        <v>3000</v>
      </c>
      <c r="F11" s="274">
        <f t="shared" si="1"/>
        <v>3300.0000000000005</v>
      </c>
      <c r="G11" s="418"/>
      <c r="H11" s="419"/>
      <c r="I11" s="263"/>
      <c r="J11" s="263"/>
      <c r="K11" s="263"/>
      <c r="L11" s="263"/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X11" s="263"/>
    </row>
    <row r="12" spans="1:24" ht="15.75" customHeight="1" x14ac:dyDescent="0.25">
      <c r="B12" s="274" t="s">
        <v>190</v>
      </c>
      <c r="C12" s="423">
        <v>300</v>
      </c>
      <c r="D12" s="274">
        <f t="shared" si="0"/>
        <v>350</v>
      </c>
      <c r="E12" s="410">
        <v>300</v>
      </c>
      <c r="F12" s="274">
        <f t="shared" si="1"/>
        <v>350</v>
      </c>
      <c r="G12" s="409">
        <v>20</v>
      </c>
      <c r="H12" s="410">
        <v>20</v>
      </c>
    </row>
    <row r="13" spans="1:24" ht="15.75" customHeight="1" x14ac:dyDescent="0.25">
      <c r="B13" s="274" t="s">
        <v>191</v>
      </c>
      <c r="C13" s="423">
        <v>750</v>
      </c>
      <c r="D13" s="274">
        <f t="shared" si="0"/>
        <v>825.00000000000011</v>
      </c>
      <c r="E13" s="410">
        <v>300</v>
      </c>
      <c r="F13" s="274">
        <f t="shared" si="1"/>
        <v>350</v>
      </c>
      <c r="G13" s="409"/>
      <c r="H13" s="410">
        <v>20</v>
      </c>
    </row>
    <row r="14" spans="1:24" ht="15.75" customHeight="1" x14ac:dyDescent="0.25">
      <c r="B14" s="274" t="s">
        <v>520</v>
      </c>
      <c r="C14" s="423">
        <v>1250</v>
      </c>
      <c r="D14" s="274">
        <f t="shared" si="0"/>
        <v>1375</v>
      </c>
      <c r="E14" s="410">
        <f>C14*0.5</f>
        <v>625</v>
      </c>
      <c r="F14" s="274">
        <f t="shared" si="1"/>
        <v>700</v>
      </c>
      <c r="G14" s="409"/>
      <c r="H14" s="410">
        <v>12.5</v>
      </c>
    </row>
    <row r="15" spans="1:24" ht="15.75" customHeight="1" x14ac:dyDescent="0.25">
      <c r="B15" s="432" t="s">
        <v>193</v>
      </c>
      <c r="C15" s="423"/>
      <c r="E15" s="410"/>
      <c r="G15" s="409"/>
      <c r="H15" s="410"/>
    </row>
    <row r="16" spans="1:24" ht="15.75" customHeight="1" x14ac:dyDescent="0.25">
      <c r="B16" s="274" t="s">
        <v>194</v>
      </c>
      <c r="C16" s="423">
        <v>750</v>
      </c>
      <c r="D16" s="274">
        <f t="shared" ref="D16:D20" si="3">C16*$I$5+G16</f>
        <v>825.00000000000011</v>
      </c>
      <c r="E16" s="410">
        <v>300</v>
      </c>
      <c r="F16" s="274">
        <f t="shared" ref="F16:F20" si="4">E16*$I$7+H16</f>
        <v>350</v>
      </c>
      <c r="G16" s="409"/>
      <c r="H16" s="410">
        <v>20</v>
      </c>
    </row>
    <row r="17" spans="1:24" ht="15.75" customHeight="1" x14ac:dyDescent="0.25">
      <c r="B17" s="274" t="s">
        <v>195</v>
      </c>
      <c r="C17" s="423">
        <v>1950</v>
      </c>
      <c r="D17" s="274">
        <f t="shared" si="3"/>
        <v>2150</v>
      </c>
      <c r="E17" s="410">
        <f>D17*0.5</f>
        <v>1075</v>
      </c>
      <c r="F17" s="274">
        <f t="shared" si="4"/>
        <v>1200</v>
      </c>
      <c r="G17" s="409">
        <v>5</v>
      </c>
      <c r="H17" s="410">
        <v>17.5</v>
      </c>
    </row>
    <row r="18" spans="1:24" ht="15.75" customHeight="1" x14ac:dyDescent="0.25">
      <c r="A18" s="263"/>
      <c r="B18" s="263" t="s">
        <v>196</v>
      </c>
      <c r="C18" s="433">
        <v>1250</v>
      </c>
      <c r="D18" s="274">
        <f t="shared" si="3"/>
        <v>1375</v>
      </c>
      <c r="E18" s="410">
        <f>C18*0.5</f>
        <v>625</v>
      </c>
      <c r="F18" s="274">
        <f t="shared" si="4"/>
        <v>700</v>
      </c>
      <c r="G18" s="418"/>
      <c r="H18" s="410">
        <v>12.5</v>
      </c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</row>
    <row r="19" spans="1:24" ht="15.75" customHeight="1" x14ac:dyDescent="0.25">
      <c r="B19" s="274" t="s">
        <v>197</v>
      </c>
      <c r="C19" s="423">
        <f>$C$12</f>
        <v>300</v>
      </c>
      <c r="D19" s="274">
        <f t="shared" si="3"/>
        <v>350</v>
      </c>
      <c r="E19" s="410">
        <v>300</v>
      </c>
      <c r="F19" s="274">
        <f t="shared" si="4"/>
        <v>350</v>
      </c>
      <c r="G19" s="409">
        <v>20</v>
      </c>
      <c r="H19" s="410">
        <v>20</v>
      </c>
    </row>
    <row r="20" spans="1:24" ht="15.75" customHeight="1" x14ac:dyDescent="0.25">
      <c r="B20" s="274" t="s">
        <v>198</v>
      </c>
      <c r="C20" s="423">
        <v>500</v>
      </c>
      <c r="D20" s="274">
        <f t="shared" si="3"/>
        <v>550</v>
      </c>
      <c r="E20" s="410">
        <v>300</v>
      </c>
      <c r="F20" s="274">
        <f t="shared" si="4"/>
        <v>350</v>
      </c>
      <c r="G20" s="409"/>
      <c r="H20" s="410">
        <v>20</v>
      </c>
    </row>
    <row r="21" spans="1:24" ht="15.75" customHeight="1" x14ac:dyDescent="0.25">
      <c r="A21" s="430"/>
      <c r="B21" s="431" t="s">
        <v>200</v>
      </c>
      <c r="C21" s="423"/>
      <c r="D21" s="430"/>
      <c r="E21" s="410"/>
      <c r="F21" s="430"/>
      <c r="G21" s="409"/>
      <c r="H21" s="410"/>
    </row>
    <row r="22" spans="1:24" ht="15.75" customHeight="1" x14ac:dyDescent="0.25">
      <c r="B22" s="274" t="s">
        <v>233</v>
      </c>
      <c r="C22" s="423">
        <f>C56</f>
        <v>300</v>
      </c>
      <c r="D22" s="274">
        <f t="shared" ref="D22:D26" si="5">C22*$I$5+G22</f>
        <v>350</v>
      </c>
      <c r="E22" s="410">
        <f t="shared" ref="E22:E23" si="6">E56</f>
        <v>300</v>
      </c>
      <c r="F22" s="274">
        <f t="shared" ref="F22:F26" si="7">E22*$I$7+H22</f>
        <v>350</v>
      </c>
      <c r="G22" s="409">
        <v>20</v>
      </c>
      <c r="H22" s="410">
        <v>20</v>
      </c>
    </row>
    <row r="23" spans="1:24" ht="15.75" customHeight="1" x14ac:dyDescent="0.25">
      <c r="A23" s="434"/>
      <c r="B23" s="434" t="s">
        <v>521</v>
      </c>
      <c r="C23" s="435">
        <v>500</v>
      </c>
      <c r="D23" s="274">
        <f t="shared" si="5"/>
        <v>550</v>
      </c>
      <c r="E23" s="410">
        <f t="shared" si="6"/>
        <v>300</v>
      </c>
      <c r="F23" s="274">
        <f t="shared" si="7"/>
        <v>350</v>
      </c>
      <c r="G23" s="409"/>
      <c r="H23" s="410">
        <v>20</v>
      </c>
      <c r="I23" s="434"/>
      <c r="J23" s="434"/>
      <c r="K23" s="434"/>
      <c r="L23" s="434"/>
      <c r="M23" s="434"/>
      <c r="N23" s="434"/>
      <c r="O23" s="434"/>
      <c r="P23" s="434"/>
      <c r="Q23" s="434"/>
      <c r="R23" s="434"/>
      <c r="S23" s="434"/>
      <c r="T23" s="434"/>
      <c r="U23" s="434"/>
      <c r="V23" s="434"/>
      <c r="W23" s="434"/>
      <c r="X23" s="434"/>
    </row>
    <row r="24" spans="1:24" ht="15.75" customHeight="1" x14ac:dyDescent="0.25">
      <c r="B24" s="274" t="s">
        <v>204</v>
      </c>
      <c r="C24" s="423">
        <v>300</v>
      </c>
      <c r="D24" s="274">
        <f t="shared" si="5"/>
        <v>350</v>
      </c>
      <c r="E24" s="410">
        <f>$E$19</f>
        <v>300</v>
      </c>
      <c r="F24" s="274">
        <f t="shared" si="7"/>
        <v>350</v>
      </c>
      <c r="G24" s="409">
        <v>20</v>
      </c>
      <c r="H24" s="410">
        <v>20</v>
      </c>
    </row>
    <row r="25" spans="1:24" ht="15.75" customHeight="1" x14ac:dyDescent="0.25">
      <c r="A25" s="263"/>
      <c r="B25" s="263" t="s">
        <v>205</v>
      </c>
      <c r="C25" s="433">
        <v>850</v>
      </c>
      <c r="D25" s="274">
        <f t="shared" si="5"/>
        <v>950.00000000000011</v>
      </c>
      <c r="E25" s="419">
        <v>300</v>
      </c>
      <c r="F25" s="274">
        <f t="shared" si="7"/>
        <v>350</v>
      </c>
      <c r="G25" s="418">
        <v>15</v>
      </c>
      <c r="H25" s="419">
        <v>20</v>
      </c>
      <c r="I25" s="263"/>
      <c r="J25" s="263"/>
      <c r="K25" s="263"/>
      <c r="L25" s="263"/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3"/>
      <c r="X25" s="263"/>
    </row>
    <row r="26" spans="1:24" ht="15.75" customHeight="1" x14ac:dyDescent="0.25">
      <c r="B26" s="274" t="s">
        <v>522</v>
      </c>
      <c r="C26" s="423">
        <v>300</v>
      </c>
      <c r="D26" s="274">
        <f t="shared" si="5"/>
        <v>350</v>
      </c>
      <c r="E26" s="410">
        <v>300</v>
      </c>
      <c r="F26" s="274">
        <f t="shared" si="7"/>
        <v>350</v>
      </c>
      <c r="G26" s="409">
        <v>20</v>
      </c>
      <c r="H26" s="410">
        <v>20</v>
      </c>
    </row>
    <row r="27" spans="1:24" ht="15.75" customHeight="1" x14ac:dyDescent="0.25">
      <c r="B27" s="432" t="s">
        <v>208</v>
      </c>
      <c r="C27" s="423"/>
      <c r="E27" s="410"/>
      <c r="G27" s="409"/>
      <c r="H27" s="410"/>
    </row>
    <row r="28" spans="1:24" ht="15.75" customHeight="1" x14ac:dyDescent="0.25">
      <c r="B28" s="432" t="s">
        <v>132</v>
      </c>
      <c r="C28" s="423"/>
      <c r="E28" s="410"/>
      <c r="G28" s="409"/>
      <c r="H28" s="410"/>
    </row>
    <row r="29" spans="1:24" ht="15.75" customHeight="1" x14ac:dyDescent="0.25">
      <c r="B29" s="274" t="s">
        <v>209</v>
      </c>
      <c r="C29" s="423">
        <v>300</v>
      </c>
      <c r="D29" s="274">
        <f t="shared" ref="D29:D30" si="8">C29*$I$5+G29</f>
        <v>350</v>
      </c>
      <c r="E29" s="410">
        <v>300</v>
      </c>
      <c r="F29" s="274">
        <f t="shared" ref="F29:F30" si="9">E29*$I$7+H29</f>
        <v>350</v>
      </c>
      <c r="G29" s="409">
        <v>20</v>
      </c>
      <c r="H29" s="410">
        <v>20</v>
      </c>
    </row>
    <row r="30" spans="1:24" ht="15.75" customHeight="1" x14ac:dyDescent="0.25">
      <c r="A30" s="263"/>
      <c r="B30" s="263" t="s">
        <v>210</v>
      </c>
      <c r="C30" s="433">
        <v>500</v>
      </c>
      <c r="D30" s="274">
        <f t="shared" si="8"/>
        <v>550</v>
      </c>
      <c r="E30" s="419">
        <v>300</v>
      </c>
      <c r="F30" s="274">
        <f t="shared" si="9"/>
        <v>350</v>
      </c>
      <c r="G30" s="418"/>
      <c r="H30" s="419">
        <v>20</v>
      </c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3"/>
    </row>
    <row r="31" spans="1:24" ht="15.75" customHeight="1" x14ac:dyDescent="0.25">
      <c r="B31" s="432" t="s">
        <v>523</v>
      </c>
      <c r="C31" s="423"/>
      <c r="E31" s="410"/>
      <c r="G31" s="409"/>
      <c r="H31" s="410"/>
    </row>
    <row r="32" spans="1:24" ht="15.75" customHeight="1" x14ac:dyDescent="0.25">
      <c r="B32" s="274" t="s">
        <v>212</v>
      </c>
      <c r="C32" s="423">
        <v>300</v>
      </c>
      <c r="D32" s="274">
        <f t="shared" ref="D32:D37" si="10">C32*$I$5+G32</f>
        <v>350</v>
      </c>
      <c r="E32" s="410">
        <v>300</v>
      </c>
      <c r="F32" s="274">
        <f t="shared" ref="F32:F37" si="11">E32*$I$7+H32</f>
        <v>350</v>
      </c>
      <c r="G32" s="409">
        <v>20</v>
      </c>
      <c r="H32" s="410">
        <v>20</v>
      </c>
    </row>
    <row r="33" spans="2:8" ht="15.75" customHeight="1" x14ac:dyDescent="0.25">
      <c r="B33" s="274" t="s">
        <v>213</v>
      </c>
      <c r="C33" s="423">
        <v>1000</v>
      </c>
      <c r="D33" s="274">
        <f t="shared" si="10"/>
        <v>1100</v>
      </c>
      <c r="E33" s="410">
        <f>$E$9</f>
        <v>300</v>
      </c>
      <c r="F33" s="274">
        <f t="shared" si="11"/>
        <v>330</v>
      </c>
      <c r="G33" s="409"/>
      <c r="H33" s="410"/>
    </row>
    <row r="34" spans="2:8" ht="15.75" customHeight="1" x14ac:dyDescent="0.25">
      <c r="B34" s="274" t="s">
        <v>214</v>
      </c>
      <c r="C34" s="423">
        <v>300</v>
      </c>
      <c r="D34" s="274">
        <f t="shared" si="10"/>
        <v>350</v>
      </c>
      <c r="E34" s="410">
        <v>300</v>
      </c>
      <c r="F34" s="274">
        <f t="shared" si="11"/>
        <v>350</v>
      </c>
      <c r="G34" s="409">
        <v>20</v>
      </c>
      <c r="H34" s="410">
        <v>20</v>
      </c>
    </row>
    <row r="35" spans="2:8" ht="15.75" customHeight="1" x14ac:dyDescent="0.25">
      <c r="B35" s="274" t="s">
        <v>524</v>
      </c>
      <c r="C35" s="423">
        <v>860</v>
      </c>
      <c r="D35" s="274">
        <f t="shared" si="10"/>
        <v>950.00000000000011</v>
      </c>
      <c r="E35" s="410">
        <f>$E$20</f>
        <v>300</v>
      </c>
      <c r="F35" s="274">
        <f t="shared" si="11"/>
        <v>350</v>
      </c>
      <c r="G35" s="409">
        <v>4</v>
      </c>
      <c r="H35" s="410">
        <v>20</v>
      </c>
    </row>
    <row r="36" spans="2:8" ht="15.75" customHeight="1" x14ac:dyDescent="0.25">
      <c r="B36" s="274" t="s">
        <v>216</v>
      </c>
      <c r="C36" s="423">
        <v>700</v>
      </c>
      <c r="D36" s="274">
        <f t="shared" si="10"/>
        <v>770.00000000000011</v>
      </c>
      <c r="E36" s="410">
        <v>300</v>
      </c>
      <c r="F36" s="274">
        <f t="shared" si="11"/>
        <v>350</v>
      </c>
      <c r="G36" s="409"/>
      <c r="H36" s="410">
        <v>20</v>
      </c>
    </row>
    <row r="37" spans="2:8" ht="15.75" customHeight="1" x14ac:dyDescent="0.25">
      <c r="B37" s="274" t="s">
        <v>217</v>
      </c>
      <c r="C37" s="423">
        <v>1300</v>
      </c>
      <c r="D37" s="274">
        <f t="shared" si="10"/>
        <v>1450.0000000000002</v>
      </c>
      <c r="E37" s="410">
        <v>300</v>
      </c>
      <c r="F37" s="274">
        <f t="shared" si="11"/>
        <v>350</v>
      </c>
      <c r="G37" s="409">
        <v>20</v>
      </c>
      <c r="H37" s="410">
        <v>20</v>
      </c>
    </row>
    <row r="38" spans="2:8" ht="15.75" customHeight="1" x14ac:dyDescent="0.25">
      <c r="B38" s="432" t="s">
        <v>135</v>
      </c>
      <c r="C38" s="423"/>
      <c r="E38" s="410"/>
      <c r="G38" s="409"/>
      <c r="H38" s="410"/>
    </row>
    <row r="39" spans="2:8" ht="15.75" customHeight="1" x14ac:dyDescent="0.25">
      <c r="B39" s="274" t="s">
        <v>218</v>
      </c>
      <c r="C39" s="423">
        <f>$C$12</f>
        <v>300</v>
      </c>
      <c r="D39" s="274">
        <f t="shared" ref="D39:D42" si="12">C39*$I$5+G39</f>
        <v>350</v>
      </c>
      <c r="E39" s="410">
        <f>$E$19</f>
        <v>300</v>
      </c>
      <c r="F39" s="274">
        <f t="shared" ref="F39:F42" si="13">E39*$I$7+H39</f>
        <v>350</v>
      </c>
      <c r="G39" s="409">
        <v>20</v>
      </c>
      <c r="H39" s="410">
        <v>20</v>
      </c>
    </row>
    <row r="40" spans="2:8" ht="15.75" customHeight="1" x14ac:dyDescent="0.25">
      <c r="B40" s="274" t="s">
        <v>219</v>
      </c>
      <c r="C40" s="423">
        <f>$C$9</f>
        <v>800</v>
      </c>
      <c r="D40" s="274">
        <f t="shared" si="12"/>
        <v>880.00000000000011</v>
      </c>
      <c r="E40" s="410">
        <f>$E$9</f>
        <v>300</v>
      </c>
      <c r="F40" s="274">
        <f t="shared" si="13"/>
        <v>330</v>
      </c>
      <c r="G40" s="409"/>
      <c r="H40" s="410"/>
    </row>
    <row r="41" spans="2:8" ht="15.75" customHeight="1" x14ac:dyDescent="0.25">
      <c r="B41" s="274" t="s">
        <v>223</v>
      </c>
      <c r="C41" s="423">
        <f>$C$34</f>
        <v>300</v>
      </c>
      <c r="D41" s="274">
        <f t="shared" si="12"/>
        <v>330</v>
      </c>
      <c r="E41" s="410"/>
      <c r="F41" s="274">
        <f t="shared" si="13"/>
        <v>0</v>
      </c>
      <c r="G41" s="409"/>
      <c r="H41" s="410"/>
    </row>
    <row r="42" spans="2:8" ht="15.75" customHeight="1" x14ac:dyDescent="0.25">
      <c r="B42" s="274" t="s">
        <v>221</v>
      </c>
      <c r="C42" s="423">
        <f>$C$7</f>
        <v>500</v>
      </c>
      <c r="D42" s="274">
        <f t="shared" si="12"/>
        <v>550</v>
      </c>
      <c r="E42" s="410">
        <f>$E$7</f>
        <v>300</v>
      </c>
      <c r="F42" s="274">
        <f t="shared" si="13"/>
        <v>330</v>
      </c>
      <c r="G42" s="409"/>
      <c r="H42" s="410"/>
    </row>
    <row r="43" spans="2:8" ht="15.75" customHeight="1" x14ac:dyDescent="0.25">
      <c r="B43" s="432" t="s">
        <v>137</v>
      </c>
      <c r="C43" s="423"/>
      <c r="E43" s="410"/>
      <c r="G43" s="409"/>
      <c r="H43" s="410"/>
    </row>
    <row r="44" spans="2:8" ht="15.75" customHeight="1" x14ac:dyDescent="0.25">
      <c r="B44" s="274" t="s">
        <v>222</v>
      </c>
      <c r="C44" s="423">
        <v>300</v>
      </c>
      <c r="D44" s="274">
        <f t="shared" ref="D44:D46" si="14">C44*$I$5+G44</f>
        <v>350</v>
      </c>
      <c r="E44" s="410">
        <v>300</v>
      </c>
      <c r="F44" s="274">
        <f t="shared" ref="F44:F46" si="15">E44*$I$7+H44</f>
        <v>350</v>
      </c>
      <c r="G44" s="409">
        <v>20</v>
      </c>
      <c r="H44" s="410">
        <v>20</v>
      </c>
    </row>
    <row r="45" spans="2:8" ht="15.75" customHeight="1" x14ac:dyDescent="0.25">
      <c r="B45" s="274" t="s">
        <v>220</v>
      </c>
      <c r="C45" s="423">
        <f>$C$34</f>
        <v>300</v>
      </c>
      <c r="D45" s="274">
        <f t="shared" si="14"/>
        <v>330</v>
      </c>
      <c r="E45" s="410">
        <v>300</v>
      </c>
      <c r="F45" s="274">
        <f t="shared" si="15"/>
        <v>350</v>
      </c>
      <c r="G45" s="409"/>
      <c r="H45" s="410">
        <v>20</v>
      </c>
    </row>
    <row r="46" spans="2:8" ht="15.75" customHeight="1" x14ac:dyDescent="0.25">
      <c r="B46" s="274" t="s">
        <v>221</v>
      </c>
      <c r="C46" s="423">
        <f>$C$7</f>
        <v>500</v>
      </c>
      <c r="D46" s="274">
        <f t="shared" si="14"/>
        <v>550</v>
      </c>
      <c r="E46" s="410">
        <f>$E$7</f>
        <v>300</v>
      </c>
      <c r="F46" s="274">
        <f t="shared" si="15"/>
        <v>330</v>
      </c>
      <c r="G46" s="409"/>
      <c r="H46" s="410"/>
    </row>
    <row r="47" spans="2:8" ht="15.75" customHeight="1" x14ac:dyDescent="0.25">
      <c r="B47" s="432" t="s">
        <v>138</v>
      </c>
      <c r="C47" s="423"/>
      <c r="E47" s="410"/>
      <c r="G47" s="409"/>
      <c r="H47" s="410"/>
    </row>
    <row r="48" spans="2:8" ht="15.75" customHeight="1" x14ac:dyDescent="0.25">
      <c r="B48" s="274" t="s">
        <v>224</v>
      </c>
      <c r="C48" s="423">
        <f>$C$12</f>
        <v>300</v>
      </c>
      <c r="D48" s="274">
        <f>C48*$I$5+G48</f>
        <v>350</v>
      </c>
      <c r="E48" s="410">
        <f>$E$19</f>
        <v>300</v>
      </c>
      <c r="F48" s="274">
        <f>E48*$I$7+H48</f>
        <v>350</v>
      </c>
      <c r="G48" s="409">
        <v>20</v>
      </c>
      <c r="H48" s="410">
        <v>20</v>
      </c>
    </row>
    <row r="49" spans="1:24" ht="15.75" customHeight="1" x14ac:dyDescent="0.25">
      <c r="B49" s="432" t="s">
        <v>225</v>
      </c>
      <c r="C49" s="423"/>
      <c r="E49" s="410"/>
      <c r="G49" s="409"/>
      <c r="H49" s="410"/>
    </row>
    <row r="50" spans="1:24" ht="15.75" customHeight="1" x14ac:dyDescent="0.25">
      <c r="B50" s="274" t="s">
        <v>226</v>
      </c>
      <c r="C50" s="423">
        <f>$C$36</f>
        <v>700</v>
      </c>
      <c r="D50" s="274">
        <f t="shared" ref="D50:D53" si="16">C50*$I$5+G50</f>
        <v>770.00000000000011</v>
      </c>
      <c r="E50" s="410">
        <v>300</v>
      </c>
      <c r="F50" s="274">
        <f t="shared" ref="F50:F53" si="17">E50*$I$7+H50</f>
        <v>350</v>
      </c>
      <c r="G50" s="409"/>
      <c r="H50" s="410">
        <v>20</v>
      </c>
    </row>
    <row r="51" spans="1:24" ht="15.75" customHeight="1" x14ac:dyDescent="0.25">
      <c r="B51" s="274" t="s">
        <v>227</v>
      </c>
      <c r="C51" s="423">
        <v>580</v>
      </c>
      <c r="D51" s="274">
        <f t="shared" si="16"/>
        <v>650</v>
      </c>
      <c r="E51" s="410">
        <v>300</v>
      </c>
      <c r="F51" s="274">
        <f t="shared" si="17"/>
        <v>350</v>
      </c>
      <c r="G51" s="409">
        <v>12</v>
      </c>
      <c r="H51" s="410">
        <v>20</v>
      </c>
    </row>
    <row r="52" spans="1:24" ht="15.75" customHeight="1" x14ac:dyDescent="0.25">
      <c r="B52" s="274" t="s">
        <v>228</v>
      </c>
      <c r="C52" s="423">
        <v>1200</v>
      </c>
      <c r="D52" s="274">
        <f t="shared" si="16"/>
        <v>1320</v>
      </c>
      <c r="E52" s="410">
        <f>C52*0.5</f>
        <v>600</v>
      </c>
      <c r="F52" s="274">
        <f t="shared" si="17"/>
        <v>700</v>
      </c>
      <c r="G52" s="409"/>
      <c r="H52" s="410">
        <v>40</v>
      </c>
    </row>
    <row r="53" spans="1:24" ht="15.75" customHeight="1" x14ac:dyDescent="0.25">
      <c r="B53" s="432" t="s">
        <v>229</v>
      </c>
      <c r="C53" s="423">
        <f>$C$11</f>
        <v>6000</v>
      </c>
      <c r="D53" s="274">
        <f t="shared" si="16"/>
        <v>6600.0000000000009</v>
      </c>
      <c r="E53" s="410">
        <f>$E$11</f>
        <v>3000</v>
      </c>
      <c r="F53" s="274">
        <f t="shared" si="17"/>
        <v>3300.0000000000005</v>
      </c>
      <c r="G53" s="409"/>
      <c r="H53" s="410"/>
    </row>
    <row r="54" spans="1:24" ht="15.75" customHeight="1" x14ac:dyDescent="0.25">
      <c r="A54" s="430"/>
      <c r="B54" s="431" t="s">
        <v>231</v>
      </c>
      <c r="C54" s="436"/>
      <c r="D54" s="430"/>
      <c r="E54" s="430"/>
      <c r="F54" s="430"/>
      <c r="G54" s="430"/>
      <c r="H54" s="430"/>
    </row>
    <row r="55" spans="1:24" ht="15.75" customHeight="1" x14ac:dyDescent="0.25">
      <c r="B55" s="432" t="s">
        <v>232</v>
      </c>
      <c r="C55" s="423"/>
      <c r="E55" s="410"/>
      <c r="G55" s="409"/>
      <c r="H55" s="410"/>
    </row>
    <row r="56" spans="1:24" ht="15.75" customHeight="1" x14ac:dyDescent="0.25">
      <c r="B56" s="274" t="s">
        <v>233</v>
      </c>
      <c r="C56" s="423">
        <v>300</v>
      </c>
      <c r="D56" s="274">
        <f t="shared" ref="D56:D60" si="18">C56*$I$5+G56</f>
        <v>350</v>
      </c>
      <c r="E56" s="410">
        <v>300</v>
      </c>
      <c r="F56" s="274">
        <f t="shared" ref="F56:F60" si="19">E56*$I$7+H56</f>
        <v>350</v>
      </c>
      <c r="G56" s="409">
        <v>20</v>
      </c>
      <c r="H56" s="410">
        <v>20</v>
      </c>
    </row>
    <row r="57" spans="1:24" ht="15.75" customHeight="1" x14ac:dyDescent="0.25">
      <c r="B57" s="274" t="s">
        <v>234</v>
      </c>
      <c r="C57" s="423">
        <v>870</v>
      </c>
      <c r="D57" s="274">
        <f t="shared" si="18"/>
        <v>960.00000000000011</v>
      </c>
      <c r="E57" s="410">
        <f>$E$9</f>
        <v>300</v>
      </c>
      <c r="F57" s="274">
        <f t="shared" si="19"/>
        <v>350</v>
      </c>
      <c r="G57" s="409">
        <v>3</v>
      </c>
      <c r="H57" s="410">
        <v>20</v>
      </c>
    </row>
    <row r="58" spans="1:24" ht="15.75" customHeight="1" x14ac:dyDescent="0.25">
      <c r="B58" s="274" t="s">
        <v>204</v>
      </c>
      <c r="C58" s="423">
        <f>$C$12</f>
        <v>300</v>
      </c>
      <c r="D58" s="274">
        <f t="shared" si="18"/>
        <v>350</v>
      </c>
      <c r="E58" s="410">
        <f>$E$19</f>
        <v>300</v>
      </c>
      <c r="F58" s="274">
        <f t="shared" si="19"/>
        <v>350</v>
      </c>
      <c r="G58" s="409">
        <v>20</v>
      </c>
      <c r="H58" s="410">
        <v>20</v>
      </c>
    </row>
    <row r="59" spans="1:24" ht="15.75" customHeight="1" x14ac:dyDescent="0.25">
      <c r="A59" s="437"/>
      <c r="B59" s="437" t="s">
        <v>521</v>
      </c>
      <c r="C59" s="438">
        <f>$C$23</f>
        <v>500</v>
      </c>
      <c r="D59" s="437">
        <f t="shared" si="18"/>
        <v>550</v>
      </c>
      <c r="E59" s="437">
        <f>$E$23</f>
        <v>300</v>
      </c>
      <c r="F59" s="437">
        <f t="shared" si="19"/>
        <v>350</v>
      </c>
      <c r="G59" s="437"/>
      <c r="H59" s="410">
        <v>20</v>
      </c>
      <c r="I59" s="437"/>
      <c r="J59" s="437"/>
      <c r="K59" s="437"/>
      <c r="L59" s="437"/>
      <c r="M59" s="437"/>
      <c r="N59" s="437"/>
      <c r="O59" s="437"/>
      <c r="P59" s="437"/>
      <c r="Q59" s="437"/>
      <c r="R59" s="437"/>
      <c r="S59" s="437"/>
      <c r="T59" s="437"/>
      <c r="U59" s="437"/>
      <c r="V59" s="437"/>
      <c r="W59" s="437"/>
      <c r="X59" s="437"/>
    </row>
    <row r="60" spans="1:24" ht="15.75" customHeight="1" x14ac:dyDescent="0.25">
      <c r="A60" s="263"/>
      <c r="B60" s="263" t="s">
        <v>205</v>
      </c>
      <c r="C60" s="433">
        <v>850</v>
      </c>
      <c r="D60" s="274">
        <f t="shared" si="18"/>
        <v>950.00000000000011</v>
      </c>
      <c r="E60" s="419">
        <v>300</v>
      </c>
      <c r="F60" s="274">
        <f t="shared" si="19"/>
        <v>350</v>
      </c>
      <c r="G60" s="418">
        <v>15</v>
      </c>
      <c r="H60" s="419">
        <v>20</v>
      </c>
      <c r="I60" s="263"/>
      <c r="J60" s="263"/>
      <c r="K60" s="263"/>
      <c r="L60" s="263"/>
      <c r="M60" s="263"/>
      <c r="N60" s="263"/>
      <c r="O60" s="263"/>
      <c r="P60" s="263"/>
      <c r="Q60" s="263"/>
      <c r="R60" s="263"/>
      <c r="S60" s="263"/>
      <c r="T60" s="263"/>
      <c r="U60" s="263"/>
      <c r="V60" s="263"/>
      <c r="W60" s="263"/>
      <c r="X60" s="263"/>
    </row>
    <row r="61" spans="1:24" ht="15.75" customHeight="1" x14ac:dyDescent="0.25"/>
    <row r="62" spans="1:24" ht="15.75" customHeight="1" x14ac:dyDescent="0.25">
      <c r="A62" s="430"/>
      <c r="B62" s="439" t="s">
        <v>239</v>
      </c>
      <c r="C62" s="440"/>
      <c r="D62" s="441"/>
      <c r="E62" s="441"/>
      <c r="F62" s="441"/>
      <c r="G62" s="441"/>
      <c r="H62" s="441"/>
    </row>
    <row r="63" spans="1:24" ht="15.75" customHeight="1" x14ac:dyDescent="0.25">
      <c r="B63" s="432" t="s">
        <v>240</v>
      </c>
      <c r="C63" s="423"/>
      <c r="E63" s="410"/>
      <c r="G63" s="409"/>
      <c r="H63" s="410"/>
    </row>
    <row r="64" spans="1:24" ht="15.75" customHeight="1" x14ac:dyDescent="0.25">
      <c r="B64" s="274" t="s">
        <v>241</v>
      </c>
      <c r="C64" s="423">
        <f>$C$12</f>
        <v>300</v>
      </c>
      <c r="D64" s="274">
        <f>C64*$I$5+G64</f>
        <v>350</v>
      </c>
      <c r="E64" s="410">
        <v>300</v>
      </c>
      <c r="F64" s="274">
        <f>E64*$I$7+H64</f>
        <v>350</v>
      </c>
      <c r="G64" s="409">
        <v>20</v>
      </c>
      <c r="H64" s="410">
        <v>20</v>
      </c>
    </row>
    <row r="65" spans="1:24" ht="15.75" customHeight="1" x14ac:dyDescent="0.25">
      <c r="B65" s="432" t="s">
        <v>242</v>
      </c>
      <c r="C65" s="423"/>
      <c r="E65" s="410"/>
      <c r="G65" s="409"/>
      <c r="H65" s="410"/>
    </row>
    <row r="66" spans="1:24" ht="15.75" customHeight="1" x14ac:dyDescent="0.25">
      <c r="B66" s="274" t="s">
        <v>525</v>
      </c>
      <c r="C66" s="423">
        <v>300</v>
      </c>
      <c r="D66" s="274">
        <f t="shared" ref="D66:D67" si="20">C66*$I$5+G66</f>
        <v>350</v>
      </c>
      <c r="E66" s="410">
        <v>300</v>
      </c>
      <c r="F66" s="274">
        <f t="shared" ref="F66:F67" si="21">E66*$I$7+H66</f>
        <v>350</v>
      </c>
      <c r="G66" s="409">
        <v>20</v>
      </c>
      <c r="H66" s="410">
        <v>20</v>
      </c>
    </row>
    <row r="67" spans="1:24" ht="15.75" customHeight="1" x14ac:dyDescent="0.25">
      <c r="B67" s="274" t="s">
        <v>244</v>
      </c>
      <c r="C67" s="423">
        <f>$C$33</f>
        <v>1000</v>
      </c>
      <c r="D67" s="274">
        <f t="shared" si="20"/>
        <v>1100</v>
      </c>
      <c r="E67" s="410">
        <f>$E$9</f>
        <v>300</v>
      </c>
      <c r="F67" s="274">
        <f t="shared" si="21"/>
        <v>330</v>
      </c>
      <c r="G67" s="409"/>
      <c r="H67" s="410"/>
    </row>
    <row r="68" spans="1:24" ht="15.75" customHeight="1" x14ac:dyDescent="0.25">
      <c r="B68" s="432" t="s">
        <v>245</v>
      </c>
      <c r="C68" s="423"/>
      <c r="E68" s="410"/>
      <c r="G68" s="409"/>
      <c r="H68" s="410"/>
    </row>
    <row r="69" spans="1:24" ht="15.75" customHeight="1" x14ac:dyDescent="0.25">
      <c r="B69" s="274" t="s">
        <v>526</v>
      </c>
      <c r="C69" s="423">
        <v>400</v>
      </c>
      <c r="D69" s="274">
        <f t="shared" ref="D69:D70" si="22">C69*$I$5+G69</f>
        <v>450.00000000000006</v>
      </c>
      <c r="E69" s="410">
        <v>300</v>
      </c>
      <c r="F69" s="274">
        <f t="shared" ref="F69:F70" si="23">E69*$I$7+H69</f>
        <v>350</v>
      </c>
      <c r="G69" s="409">
        <v>10</v>
      </c>
      <c r="H69" s="410">
        <v>20</v>
      </c>
    </row>
    <row r="70" spans="1:24" ht="15.75" customHeight="1" x14ac:dyDescent="0.25">
      <c r="B70" s="274" t="s">
        <v>527</v>
      </c>
      <c r="C70" s="423">
        <f>$C$29</f>
        <v>300</v>
      </c>
      <c r="D70" s="274">
        <f t="shared" si="22"/>
        <v>330</v>
      </c>
      <c r="E70" s="410">
        <v>300</v>
      </c>
      <c r="F70" s="274">
        <f t="shared" si="23"/>
        <v>350</v>
      </c>
      <c r="G70" s="409"/>
      <c r="H70" s="410">
        <v>20</v>
      </c>
    </row>
    <row r="71" spans="1:24" ht="15.75" customHeight="1" x14ac:dyDescent="0.25">
      <c r="B71" s="432" t="s">
        <v>248</v>
      </c>
      <c r="C71" s="423"/>
      <c r="E71" s="410"/>
      <c r="G71" s="409"/>
      <c r="H71" s="410"/>
    </row>
    <row r="72" spans="1:24" ht="15.75" customHeight="1" x14ac:dyDescent="0.25">
      <c r="B72" s="274" t="s">
        <v>249</v>
      </c>
      <c r="C72" s="423">
        <v>1000</v>
      </c>
      <c r="D72" s="274">
        <f t="shared" ref="D72:D73" si="24">C72*$I$5+G72</f>
        <v>1100</v>
      </c>
      <c r="E72" s="410">
        <v>300</v>
      </c>
      <c r="F72" s="274">
        <f t="shared" ref="F72:F73" si="25">E72*$I$7+H72</f>
        <v>350</v>
      </c>
      <c r="G72" s="409"/>
      <c r="H72" s="410">
        <v>20</v>
      </c>
    </row>
    <row r="73" spans="1:24" ht="15.75" customHeight="1" x14ac:dyDescent="0.25">
      <c r="B73" s="274" t="s">
        <v>250</v>
      </c>
      <c r="C73" s="423">
        <f>$C$29</f>
        <v>300</v>
      </c>
      <c r="D73" s="274">
        <f t="shared" si="24"/>
        <v>350</v>
      </c>
      <c r="E73" s="410">
        <f>$E$29</f>
        <v>300</v>
      </c>
      <c r="F73" s="274">
        <f t="shared" si="25"/>
        <v>350</v>
      </c>
      <c r="G73" s="409">
        <v>20</v>
      </c>
      <c r="H73" s="410">
        <v>20</v>
      </c>
    </row>
    <row r="74" spans="1:24" ht="15.75" customHeight="1" x14ac:dyDescent="0.25">
      <c r="B74" s="432" t="s">
        <v>138</v>
      </c>
      <c r="C74" s="423"/>
      <c r="E74" s="410"/>
      <c r="G74" s="409"/>
      <c r="H74" s="410"/>
    </row>
    <row r="75" spans="1:24" ht="15.75" customHeight="1" x14ac:dyDescent="0.25">
      <c r="B75" s="274" t="s">
        <v>251</v>
      </c>
      <c r="C75" s="423">
        <f>$C$12</f>
        <v>300</v>
      </c>
      <c r="D75" s="274">
        <f t="shared" ref="D75:D76" si="26">C75*$I$5+G75</f>
        <v>350</v>
      </c>
      <c r="E75" s="410">
        <f>$E$19</f>
        <v>300</v>
      </c>
      <c r="F75" s="274">
        <f t="shared" ref="F75:F76" si="27">E75*$I$7+H75</f>
        <v>350</v>
      </c>
      <c r="G75" s="409">
        <v>20</v>
      </c>
      <c r="H75" s="410">
        <v>20</v>
      </c>
    </row>
    <row r="76" spans="1:24" ht="15.75" customHeight="1" x14ac:dyDescent="0.25">
      <c r="B76" s="274" t="s">
        <v>250</v>
      </c>
      <c r="C76" s="423">
        <f>$C$29</f>
        <v>300</v>
      </c>
      <c r="D76" s="274">
        <f t="shared" si="26"/>
        <v>330</v>
      </c>
      <c r="E76" s="410">
        <v>300</v>
      </c>
      <c r="F76" s="274">
        <f t="shared" si="27"/>
        <v>350</v>
      </c>
      <c r="G76" s="409"/>
      <c r="H76" s="410">
        <v>20</v>
      </c>
    </row>
    <row r="77" spans="1:24" ht="15.75" customHeight="1" x14ac:dyDescent="0.25">
      <c r="A77" s="430"/>
      <c r="B77" s="431" t="s">
        <v>254</v>
      </c>
      <c r="C77" s="436"/>
      <c r="D77" s="430"/>
      <c r="E77" s="430"/>
      <c r="F77" s="430"/>
      <c r="G77" s="430"/>
      <c r="H77" s="430"/>
    </row>
    <row r="78" spans="1:24" ht="15.75" customHeight="1" x14ac:dyDescent="0.25">
      <c r="B78" s="432" t="s">
        <v>232</v>
      </c>
      <c r="C78" s="423"/>
      <c r="E78" s="410"/>
      <c r="G78" s="409"/>
      <c r="H78" s="410"/>
    </row>
    <row r="79" spans="1:24" ht="15.75" customHeight="1" x14ac:dyDescent="0.25">
      <c r="B79" s="274" t="s">
        <v>528</v>
      </c>
      <c r="C79" s="423">
        <f>$C$26</f>
        <v>300</v>
      </c>
      <c r="D79" s="274">
        <f t="shared" ref="D79:D81" si="28">C79*$I$5+G79</f>
        <v>350</v>
      </c>
      <c r="E79" s="410">
        <f>$E$19</f>
        <v>300</v>
      </c>
      <c r="F79" s="274">
        <f t="shared" ref="F79:F81" si="29">E79*$I$7+H79</f>
        <v>350</v>
      </c>
      <c r="G79" s="409">
        <v>20</v>
      </c>
      <c r="H79" s="410">
        <v>20</v>
      </c>
    </row>
    <row r="80" spans="1:24" ht="15.75" customHeight="1" x14ac:dyDescent="0.25">
      <c r="A80" s="263"/>
      <c r="B80" s="263" t="s">
        <v>205</v>
      </c>
      <c r="C80" s="433">
        <v>850</v>
      </c>
      <c r="D80" s="274">
        <f t="shared" si="28"/>
        <v>950.00000000000011</v>
      </c>
      <c r="E80" s="419">
        <v>300</v>
      </c>
      <c r="F80" s="274">
        <f t="shared" si="29"/>
        <v>350</v>
      </c>
      <c r="G80" s="418">
        <v>15</v>
      </c>
      <c r="H80" s="419">
        <v>20</v>
      </c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</row>
    <row r="81" spans="1:24" ht="15.75" customHeight="1" x14ac:dyDescent="0.25">
      <c r="A81" s="263"/>
      <c r="B81" s="263" t="s">
        <v>529</v>
      </c>
      <c r="C81" s="433">
        <v>300</v>
      </c>
      <c r="D81" s="274">
        <f t="shared" si="28"/>
        <v>350</v>
      </c>
      <c r="E81" s="419">
        <v>300</v>
      </c>
      <c r="F81" s="274">
        <f t="shared" si="29"/>
        <v>350</v>
      </c>
      <c r="G81" s="418">
        <v>20</v>
      </c>
      <c r="H81" s="419">
        <v>20</v>
      </c>
      <c r="I81" s="263"/>
      <c r="J81" s="263"/>
      <c r="K81" s="263"/>
      <c r="L81" s="263"/>
      <c r="M81" s="263"/>
      <c r="N81" s="263"/>
      <c r="O81" s="263"/>
      <c r="P81" s="263"/>
      <c r="Q81" s="263"/>
      <c r="R81" s="263"/>
      <c r="S81" s="263"/>
      <c r="T81" s="263"/>
      <c r="U81" s="263"/>
      <c r="V81" s="263"/>
      <c r="W81" s="263"/>
      <c r="X81" s="263"/>
    </row>
    <row r="82" spans="1:24" ht="15.75" customHeight="1" x14ac:dyDescent="0.25">
      <c r="A82" s="430"/>
      <c r="B82" s="431" t="s">
        <v>257</v>
      </c>
      <c r="C82" s="436"/>
      <c r="D82" s="430"/>
      <c r="E82" s="430"/>
      <c r="F82" s="430"/>
      <c r="G82" s="430"/>
      <c r="H82" s="430"/>
    </row>
    <row r="83" spans="1:24" ht="15.75" customHeight="1" x14ac:dyDescent="0.25">
      <c r="B83" s="274" t="s">
        <v>258</v>
      </c>
      <c r="C83" s="423">
        <v>500</v>
      </c>
      <c r="D83" s="274">
        <f t="shared" ref="D83:D89" si="30">C83*$I$5+G83</f>
        <v>550</v>
      </c>
      <c r="E83" s="410">
        <f>$E$9</f>
        <v>300</v>
      </c>
      <c r="F83" s="274">
        <f t="shared" ref="F83:F89" si="31">E83*$I$7+H83</f>
        <v>350</v>
      </c>
      <c r="G83" s="409"/>
      <c r="H83" s="410">
        <v>20</v>
      </c>
    </row>
    <row r="84" spans="1:24" ht="15.75" customHeight="1" x14ac:dyDescent="0.25">
      <c r="B84" s="274" t="s">
        <v>197</v>
      </c>
      <c r="C84" s="423">
        <f>$C$12</f>
        <v>300</v>
      </c>
      <c r="D84" s="274">
        <f t="shared" si="30"/>
        <v>350</v>
      </c>
      <c r="E84" s="410">
        <f>$E$19</f>
        <v>300</v>
      </c>
      <c r="F84" s="274">
        <f t="shared" si="31"/>
        <v>350</v>
      </c>
      <c r="G84" s="409">
        <v>20</v>
      </c>
      <c r="H84" s="410">
        <v>20</v>
      </c>
    </row>
    <row r="85" spans="1:24" ht="15.75" customHeight="1" x14ac:dyDescent="0.25">
      <c r="B85" s="263" t="s">
        <v>206</v>
      </c>
      <c r="C85" s="423">
        <v>300</v>
      </c>
      <c r="D85" s="274">
        <f t="shared" si="30"/>
        <v>350</v>
      </c>
      <c r="E85" s="410">
        <f>$E$26</f>
        <v>300</v>
      </c>
      <c r="F85" s="274">
        <f t="shared" si="31"/>
        <v>350</v>
      </c>
      <c r="G85" s="409">
        <v>20</v>
      </c>
      <c r="H85" s="410">
        <v>20</v>
      </c>
    </row>
    <row r="86" spans="1:24" ht="15.75" customHeight="1" x14ac:dyDescent="0.25">
      <c r="B86" s="274" t="s">
        <v>530</v>
      </c>
      <c r="C86" s="423">
        <v>5700</v>
      </c>
      <c r="D86" s="274">
        <f t="shared" si="30"/>
        <v>6300.0000000000009</v>
      </c>
      <c r="E86" s="410">
        <f t="shared" ref="E86:E88" si="32">C86*0.2</f>
        <v>1140</v>
      </c>
      <c r="F86" s="274">
        <f t="shared" si="31"/>
        <v>1260</v>
      </c>
      <c r="G86" s="409">
        <v>30</v>
      </c>
      <c r="H86" s="410">
        <v>6</v>
      </c>
    </row>
    <row r="87" spans="1:24" ht="15.75" customHeight="1" x14ac:dyDescent="0.25">
      <c r="B87" s="263" t="s">
        <v>531</v>
      </c>
      <c r="C87" s="423">
        <f t="shared" ref="C87:C88" si="33">$C$86</f>
        <v>5700</v>
      </c>
      <c r="D87" s="274">
        <f t="shared" si="30"/>
        <v>6300.0000000000009</v>
      </c>
      <c r="E87" s="410">
        <f t="shared" si="32"/>
        <v>1140</v>
      </c>
      <c r="F87" s="274">
        <f t="shared" si="31"/>
        <v>1260</v>
      </c>
      <c r="G87" s="409">
        <v>30</v>
      </c>
      <c r="H87" s="410">
        <v>6</v>
      </c>
    </row>
    <row r="88" spans="1:24" ht="15.75" customHeight="1" x14ac:dyDescent="0.25">
      <c r="B88" s="263" t="s">
        <v>532</v>
      </c>
      <c r="C88" s="423">
        <f t="shared" si="33"/>
        <v>5700</v>
      </c>
      <c r="D88" s="274">
        <f t="shared" si="30"/>
        <v>6300.0000000000009</v>
      </c>
      <c r="E88" s="410">
        <f t="shared" si="32"/>
        <v>1140</v>
      </c>
      <c r="F88" s="274">
        <f t="shared" si="31"/>
        <v>1260</v>
      </c>
      <c r="G88" s="409">
        <v>30</v>
      </c>
      <c r="H88" s="410">
        <v>6</v>
      </c>
    </row>
    <row r="89" spans="1:24" ht="15.75" customHeight="1" x14ac:dyDescent="0.25">
      <c r="B89" s="274" t="s">
        <v>520</v>
      </c>
      <c r="C89" s="423">
        <f>$C$14</f>
        <v>1250</v>
      </c>
      <c r="D89" s="274">
        <f t="shared" si="30"/>
        <v>1375</v>
      </c>
      <c r="E89" s="410">
        <f>C89*0.5</f>
        <v>625</v>
      </c>
      <c r="F89" s="274">
        <f t="shared" si="31"/>
        <v>700</v>
      </c>
      <c r="G89" s="409"/>
      <c r="H89" s="410">
        <v>12.5</v>
      </c>
    </row>
    <row r="90" spans="1:24" ht="15.75" customHeight="1" x14ac:dyDescent="0.25">
      <c r="C90" s="442"/>
    </row>
    <row r="91" spans="1:24" ht="15.75" customHeight="1" x14ac:dyDescent="0.25">
      <c r="C91" s="442"/>
    </row>
    <row r="92" spans="1:24" ht="15.75" customHeight="1" x14ac:dyDescent="0.25">
      <c r="C92" s="442"/>
    </row>
    <row r="93" spans="1:24" ht="15.75" customHeight="1" x14ac:dyDescent="0.25">
      <c r="C93" s="442"/>
    </row>
    <row r="94" spans="1:24" ht="15.75" customHeight="1" x14ac:dyDescent="0.25">
      <c r="C94" s="442"/>
    </row>
    <row r="95" spans="1:24" ht="15.75" customHeight="1" x14ac:dyDescent="0.25">
      <c r="C95" s="442"/>
    </row>
    <row r="96" spans="1:24" ht="15.75" customHeight="1" x14ac:dyDescent="0.25">
      <c r="C96" s="442"/>
    </row>
    <row r="97" spans="3:3" ht="15.75" customHeight="1" x14ac:dyDescent="0.25">
      <c r="C97" s="442"/>
    </row>
    <row r="98" spans="3:3" ht="15.75" customHeight="1" x14ac:dyDescent="0.25">
      <c r="C98" s="442"/>
    </row>
    <row r="99" spans="3:3" ht="15.75" customHeight="1" x14ac:dyDescent="0.25">
      <c r="C99" s="442"/>
    </row>
    <row r="100" spans="3:3" ht="15.75" customHeight="1" x14ac:dyDescent="0.25">
      <c r="C100" s="442"/>
    </row>
    <row r="101" spans="3:3" ht="15.75" customHeight="1" x14ac:dyDescent="0.25">
      <c r="C101" s="442"/>
    </row>
    <row r="102" spans="3:3" ht="15.75" customHeight="1" x14ac:dyDescent="0.25">
      <c r="C102" s="442"/>
    </row>
    <row r="103" spans="3:3" ht="15.75" customHeight="1" x14ac:dyDescent="0.25">
      <c r="C103" s="442"/>
    </row>
    <row r="104" spans="3:3" ht="15.75" customHeight="1" x14ac:dyDescent="0.25">
      <c r="C104" s="442"/>
    </row>
    <row r="105" spans="3:3" ht="15.75" customHeight="1" x14ac:dyDescent="0.25">
      <c r="C105" s="442"/>
    </row>
    <row r="106" spans="3:3" ht="15.75" customHeight="1" x14ac:dyDescent="0.25">
      <c r="C106" s="442"/>
    </row>
    <row r="107" spans="3:3" ht="15.75" customHeight="1" x14ac:dyDescent="0.25">
      <c r="C107" s="442"/>
    </row>
    <row r="108" spans="3:3" ht="15.75" customHeight="1" x14ac:dyDescent="0.25">
      <c r="C108" s="442"/>
    </row>
    <row r="109" spans="3:3" ht="15.75" customHeight="1" x14ac:dyDescent="0.25">
      <c r="C109" s="442"/>
    </row>
    <row r="110" spans="3:3" ht="15.75" customHeight="1" x14ac:dyDescent="0.25">
      <c r="C110" s="442"/>
    </row>
    <row r="111" spans="3:3" ht="15.75" customHeight="1" x14ac:dyDescent="0.25">
      <c r="C111" s="442"/>
    </row>
    <row r="112" spans="3:3" ht="15.75" customHeight="1" x14ac:dyDescent="0.25">
      <c r="C112" s="442"/>
    </row>
    <row r="113" spans="3:3" ht="15.75" customHeight="1" x14ac:dyDescent="0.25">
      <c r="C113" s="442"/>
    </row>
    <row r="114" spans="3:3" ht="15.75" customHeight="1" x14ac:dyDescent="0.25">
      <c r="C114" s="442"/>
    </row>
    <row r="115" spans="3:3" ht="15.75" customHeight="1" x14ac:dyDescent="0.25">
      <c r="C115" s="442"/>
    </row>
    <row r="116" spans="3:3" ht="15.75" customHeight="1" x14ac:dyDescent="0.25">
      <c r="C116" s="442"/>
    </row>
    <row r="117" spans="3:3" ht="15.75" customHeight="1" x14ac:dyDescent="0.25">
      <c r="C117" s="442"/>
    </row>
    <row r="118" spans="3:3" ht="15.75" customHeight="1" x14ac:dyDescent="0.25">
      <c r="C118" s="442"/>
    </row>
    <row r="119" spans="3:3" ht="15.75" customHeight="1" x14ac:dyDescent="0.25">
      <c r="C119" s="442"/>
    </row>
    <row r="120" spans="3:3" ht="15.75" customHeight="1" x14ac:dyDescent="0.25">
      <c r="C120" s="442"/>
    </row>
    <row r="121" spans="3:3" ht="15.75" customHeight="1" x14ac:dyDescent="0.25">
      <c r="C121" s="442"/>
    </row>
    <row r="122" spans="3:3" ht="15.75" customHeight="1" x14ac:dyDescent="0.25">
      <c r="C122" s="442"/>
    </row>
    <row r="123" spans="3:3" ht="15.75" customHeight="1" x14ac:dyDescent="0.25">
      <c r="C123" s="442"/>
    </row>
    <row r="124" spans="3:3" ht="15.75" customHeight="1" x14ac:dyDescent="0.25">
      <c r="C124" s="442"/>
    </row>
    <row r="125" spans="3:3" ht="15.75" customHeight="1" x14ac:dyDescent="0.25">
      <c r="C125" s="442"/>
    </row>
    <row r="126" spans="3:3" ht="15.75" customHeight="1" x14ac:dyDescent="0.25">
      <c r="C126" s="442"/>
    </row>
    <row r="127" spans="3:3" ht="15.75" customHeight="1" x14ac:dyDescent="0.25">
      <c r="C127" s="442"/>
    </row>
    <row r="128" spans="3:3" ht="15.75" customHeight="1" x14ac:dyDescent="0.25">
      <c r="C128" s="442"/>
    </row>
    <row r="129" spans="3:3" ht="15.75" customHeight="1" x14ac:dyDescent="0.25">
      <c r="C129" s="442"/>
    </row>
    <row r="130" spans="3:3" ht="15.75" customHeight="1" x14ac:dyDescent="0.25">
      <c r="C130" s="442"/>
    </row>
    <row r="131" spans="3:3" ht="15.75" customHeight="1" x14ac:dyDescent="0.25">
      <c r="C131" s="442"/>
    </row>
    <row r="132" spans="3:3" ht="15.75" customHeight="1" x14ac:dyDescent="0.25">
      <c r="C132" s="442"/>
    </row>
    <row r="133" spans="3:3" ht="15.75" customHeight="1" x14ac:dyDescent="0.25">
      <c r="C133" s="442"/>
    </row>
    <row r="134" spans="3:3" ht="15.75" customHeight="1" x14ac:dyDescent="0.25">
      <c r="C134" s="442"/>
    </row>
    <row r="135" spans="3:3" ht="15.75" customHeight="1" x14ac:dyDescent="0.25">
      <c r="C135" s="442"/>
    </row>
    <row r="136" spans="3:3" ht="15.75" customHeight="1" x14ac:dyDescent="0.25">
      <c r="C136" s="442"/>
    </row>
    <row r="137" spans="3:3" ht="15.75" customHeight="1" x14ac:dyDescent="0.25">
      <c r="C137" s="442"/>
    </row>
    <row r="138" spans="3:3" ht="15.75" customHeight="1" x14ac:dyDescent="0.25">
      <c r="C138" s="442"/>
    </row>
    <row r="139" spans="3:3" ht="15.75" customHeight="1" x14ac:dyDescent="0.25">
      <c r="C139" s="442"/>
    </row>
    <row r="140" spans="3:3" ht="15.75" customHeight="1" x14ac:dyDescent="0.25">
      <c r="C140" s="442"/>
    </row>
    <row r="141" spans="3:3" ht="15.75" customHeight="1" x14ac:dyDescent="0.25">
      <c r="C141" s="442"/>
    </row>
    <row r="142" spans="3:3" ht="15.75" customHeight="1" x14ac:dyDescent="0.25">
      <c r="C142" s="442"/>
    </row>
    <row r="143" spans="3:3" ht="15.75" customHeight="1" x14ac:dyDescent="0.25">
      <c r="C143" s="442"/>
    </row>
    <row r="144" spans="3:3" ht="15.75" customHeight="1" x14ac:dyDescent="0.25">
      <c r="C144" s="442"/>
    </row>
    <row r="145" spans="3:3" ht="15.75" customHeight="1" x14ac:dyDescent="0.25">
      <c r="C145" s="442"/>
    </row>
    <row r="146" spans="3:3" ht="15.75" customHeight="1" x14ac:dyDescent="0.25">
      <c r="C146" s="442"/>
    </row>
    <row r="147" spans="3:3" ht="15.75" customHeight="1" x14ac:dyDescent="0.25">
      <c r="C147" s="442"/>
    </row>
    <row r="148" spans="3:3" ht="15.75" customHeight="1" x14ac:dyDescent="0.25">
      <c r="C148" s="442"/>
    </row>
    <row r="149" spans="3:3" ht="15.75" customHeight="1" x14ac:dyDescent="0.25">
      <c r="C149" s="442"/>
    </row>
    <row r="150" spans="3:3" ht="15.75" customHeight="1" x14ac:dyDescent="0.25">
      <c r="C150" s="442"/>
    </row>
    <row r="151" spans="3:3" ht="15.75" customHeight="1" x14ac:dyDescent="0.25">
      <c r="C151" s="442"/>
    </row>
    <row r="152" spans="3:3" ht="15.75" customHeight="1" x14ac:dyDescent="0.25">
      <c r="C152" s="442"/>
    </row>
    <row r="153" spans="3:3" ht="15.75" customHeight="1" x14ac:dyDescent="0.25">
      <c r="C153" s="442"/>
    </row>
    <row r="154" spans="3:3" ht="15.75" customHeight="1" x14ac:dyDescent="0.25">
      <c r="C154" s="442"/>
    </row>
    <row r="155" spans="3:3" ht="15.75" customHeight="1" x14ac:dyDescent="0.25">
      <c r="C155" s="442"/>
    </row>
    <row r="156" spans="3:3" ht="15.75" customHeight="1" x14ac:dyDescent="0.25">
      <c r="C156" s="442"/>
    </row>
    <row r="157" spans="3:3" ht="15.75" customHeight="1" x14ac:dyDescent="0.25">
      <c r="C157" s="442"/>
    </row>
    <row r="158" spans="3:3" ht="15.75" customHeight="1" x14ac:dyDescent="0.25">
      <c r="C158" s="442"/>
    </row>
    <row r="159" spans="3:3" ht="15.75" customHeight="1" x14ac:dyDescent="0.25">
      <c r="C159" s="442"/>
    </row>
    <row r="160" spans="3:3" ht="15.75" customHeight="1" x14ac:dyDescent="0.25">
      <c r="C160" s="442"/>
    </row>
    <row r="161" spans="3:3" ht="15.75" customHeight="1" x14ac:dyDescent="0.25">
      <c r="C161" s="442"/>
    </row>
    <row r="162" spans="3:3" ht="15.75" customHeight="1" x14ac:dyDescent="0.25">
      <c r="C162" s="442"/>
    </row>
    <row r="163" spans="3:3" ht="15.75" customHeight="1" x14ac:dyDescent="0.25">
      <c r="C163" s="442"/>
    </row>
    <row r="164" spans="3:3" ht="15.75" customHeight="1" x14ac:dyDescent="0.25">
      <c r="C164" s="442"/>
    </row>
    <row r="165" spans="3:3" ht="15.75" customHeight="1" x14ac:dyDescent="0.25">
      <c r="C165" s="442"/>
    </row>
    <row r="166" spans="3:3" ht="15.75" customHeight="1" x14ac:dyDescent="0.25">
      <c r="C166" s="442"/>
    </row>
    <row r="167" spans="3:3" ht="15.75" customHeight="1" x14ac:dyDescent="0.25">
      <c r="C167" s="442"/>
    </row>
    <row r="168" spans="3:3" ht="15.75" customHeight="1" x14ac:dyDescent="0.25">
      <c r="C168" s="442"/>
    </row>
    <row r="169" spans="3:3" ht="15.75" customHeight="1" x14ac:dyDescent="0.25">
      <c r="C169" s="442"/>
    </row>
    <row r="170" spans="3:3" ht="15.75" customHeight="1" x14ac:dyDescent="0.25">
      <c r="C170" s="442"/>
    </row>
    <row r="171" spans="3:3" ht="15.75" customHeight="1" x14ac:dyDescent="0.25">
      <c r="C171" s="442"/>
    </row>
    <row r="172" spans="3:3" ht="15.75" customHeight="1" x14ac:dyDescent="0.25">
      <c r="C172" s="442"/>
    </row>
    <row r="173" spans="3:3" ht="15.75" customHeight="1" x14ac:dyDescent="0.25">
      <c r="C173" s="442"/>
    </row>
    <row r="174" spans="3:3" ht="15.75" customHeight="1" x14ac:dyDescent="0.25">
      <c r="C174" s="442"/>
    </row>
    <row r="175" spans="3:3" ht="15.75" customHeight="1" x14ac:dyDescent="0.25">
      <c r="C175" s="442"/>
    </row>
    <row r="176" spans="3:3" ht="15.75" customHeight="1" x14ac:dyDescent="0.25">
      <c r="C176" s="442"/>
    </row>
    <row r="177" spans="3:8" ht="15.75" customHeight="1" x14ac:dyDescent="0.25">
      <c r="C177" s="442"/>
    </row>
    <row r="178" spans="3:8" ht="15.75" customHeight="1" x14ac:dyDescent="0.25">
      <c r="C178" s="442"/>
    </row>
    <row r="179" spans="3:8" ht="15.75" customHeight="1" x14ac:dyDescent="0.25">
      <c r="C179" s="442"/>
    </row>
    <row r="180" spans="3:8" ht="15.75" customHeight="1" x14ac:dyDescent="0.25">
      <c r="C180" s="442"/>
    </row>
    <row r="181" spans="3:8" ht="15.75" customHeight="1" x14ac:dyDescent="0.25">
      <c r="C181" s="442"/>
    </row>
    <row r="182" spans="3:8" ht="15.75" customHeight="1" x14ac:dyDescent="0.25">
      <c r="C182" s="442"/>
    </row>
    <row r="183" spans="3:8" ht="15.75" customHeight="1" x14ac:dyDescent="0.25">
      <c r="C183" s="442"/>
    </row>
    <row r="184" spans="3:8" ht="15.75" customHeight="1" x14ac:dyDescent="0.25">
      <c r="C184" s="442"/>
    </row>
    <row r="185" spans="3:8" ht="15.75" customHeight="1" x14ac:dyDescent="0.25">
      <c r="C185" s="423"/>
      <c r="E185" s="410"/>
      <c r="G185" s="409"/>
      <c r="H185" s="410"/>
    </row>
    <row r="186" spans="3:8" ht="15.75" customHeight="1" x14ac:dyDescent="0.25">
      <c r="C186" s="423"/>
      <c r="E186" s="410"/>
      <c r="G186" s="409"/>
      <c r="H186" s="410"/>
    </row>
    <row r="187" spans="3:8" ht="15.75" customHeight="1" x14ac:dyDescent="0.25">
      <c r="C187" s="423"/>
      <c r="E187" s="410"/>
      <c r="G187" s="409"/>
      <c r="H187" s="410"/>
    </row>
    <row r="188" spans="3:8" ht="15.75" customHeight="1" x14ac:dyDescent="0.25">
      <c r="C188" s="423"/>
      <c r="E188" s="410"/>
      <c r="G188" s="409"/>
      <c r="H188" s="410"/>
    </row>
    <row r="189" spans="3:8" ht="15.75" customHeight="1" x14ac:dyDescent="0.25">
      <c r="C189" s="423"/>
      <c r="E189" s="410"/>
      <c r="G189" s="409"/>
      <c r="H189" s="410"/>
    </row>
    <row r="190" spans="3:8" ht="15.75" customHeight="1" x14ac:dyDescent="0.25">
      <c r="C190" s="423"/>
      <c r="E190" s="410"/>
      <c r="G190" s="409"/>
      <c r="H190" s="410"/>
    </row>
    <row r="191" spans="3:8" ht="15.75" customHeight="1" x14ac:dyDescent="0.25">
      <c r="C191" s="423"/>
      <c r="E191" s="410"/>
      <c r="G191" s="409"/>
      <c r="H191" s="410"/>
    </row>
    <row r="192" spans="3:8" ht="15.75" customHeight="1" x14ac:dyDescent="0.25">
      <c r="C192" s="423"/>
      <c r="E192" s="410"/>
      <c r="G192" s="409"/>
      <c r="H192" s="410"/>
    </row>
    <row r="193" spans="3:8" ht="15.75" customHeight="1" x14ac:dyDescent="0.25">
      <c r="C193" s="423"/>
      <c r="E193" s="410"/>
      <c r="G193" s="409"/>
      <c r="H193" s="410"/>
    </row>
    <row r="194" spans="3:8" ht="15.75" customHeight="1" x14ac:dyDescent="0.25">
      <c r="C194" s="423"/>
      <c r="E194" s="410"/>
      <c r="G194" s="409"/>
      <c r="H194" s="410"/>
    </row>
    <row r="195" spans="3:8" ht="15.75" customHeight="1" x14ac:dyDescent="0.25">
      <c r="C195" s="423"/>
      <c r="E195" s="410"/>
      <c r="G195" s="409"/>
      <c r="H195" s="410"/>
    </row>
    <row r="196" spans="3:8" ht="15.75" customHeight="1" x14ac:dyDescent="0.25">
      <c r="C196" s="423"/>
      <c r="E196" s="410"/>
      <c r="G196" s="409"/>
      <c r="H196" s="410"/>
    </row>
    <row r="197" spans="3:8" ht="15.75" customHeight="1" x14ac:dyDescent="0.25">
      <c r="C197" s="423"/>
      <c r="E197" s="410"/>
      <c r="G197" s="409"/>
      <c r="H197" s="410"/>
    </row>
    <row r="198" spans="3:8" ht="15.75" customHeight="1" x14ac:dyDescent="0.25">
      <c r="C198" s="423"/>
      <c r="E198" s="410"/>
      <c r="G198" s="409"/>
      <c r="H198" s="410"/>
    </row>
    <row r="199" spans="3:8" ht="15.75" customHeight="1" x14ac:dyDescent="0.25">
      <c r="C199" s="423"/>
      <c r="E199" s="410"/>
      <c r="G199" s="409"/>
      <c r="H199" s="410"/>
    </row>
    <row r="200" spans="3:8" ht="15.75" customHeight="1" x14ac:dyDescent="0.25">
      <c r="C200" s="423"/>
      <c r="E200" s="410"/>
      <c r="G200" s="409"/>
      <c r="H200" s="410"/>
    </row>
    <row r="201" spans="3:8" ht="15.75" customHeight="1" x14ac:dyDescent="0.25">
      <c r="C201" s="423"/>
      <c r="E201" s="410"/>
      <c r="G201" s="409"/>
      <c r="H201" s="410"/>
    </row>
    <row r="202" spans="3:8" ht="15.75" customHeight="1" x14ac:dyDescent="0.25">
      <c r="C202" s="423"/>
      <c r="E202" s="410"/>
      <c r="G202" s="409"/>
      <c r="H202" s="410"/>
    </row>
    <row r="203" spans="3:8" ht="15.75" customHeight="1" x14ac:dyDescent="0.25">
      <c r="C203" s="423"/>
      <c r="E203" s="410"/>
      <c r="G203" s="409"/>
      <c r="H203" s="410"/>
    </row>
    <row r="204" spans="3:8" ht="15.75" customHeight="1" x14ac:dyDescent="0.25">
      <c r="C204" s="423"/>
      <c r="E204" s="410"/>
      <c r="G204" s="409"/>
      <c r="H204" s="410"/>
    </row>
    <row r="205" spans="3:8" ht="15.75" customHeight="1" x14ac:dyDescent="0.25">
      <c r="C205" s="423"/>
      <c r="E205" s="410"/>
      <c r="G205" s="409"/>
      <c r="H205" s="410"/>
    </row>
    <row r="206" spans="3:8" ht="15.75" customHeight="1" x14ac:dyDescent="0.25">
      <c r="C206" s="423"/>
      <c r="E206" s="410"/>
      <c r="G206" s="409"/>
      <c r="H206" s="410"/>
    </row>
    <row r="207" spans="3:8" ht="15.75" customHeight="1" x14ac:dyDescent="0.25">
      <c r="C207" s="423"/>
      <c r="E207" s="410"/>
      <c r="G207" s="409"/>
      <c r="H207" s="410"/>
    </row>
    <row r="208" spans="3:8" ht="15.75" customHeight="1" x14ac:dyDescent="0.25">
      <c r="C208" s="423"/>
      <c r="E208" s="410"/>
      <c r="G208" s="409"/>
      <c r="H208" s="410"/>
    </row>
    <row r="209" spans="3:8" ht="15.75" customHeight="1" x14ac:dyDescent="0.25">
      <c r="C209" s="423"/>
      <c r="E209" s="410"/>
      <c r="G209" s="409"/>
      <c r="H209" s="410"/>
    </row>
    <row r="210" spans="3:8" ht="15.75" customHeight="1" x14ac:dyDescent="0.25">
      <c r="C210" s="423"/>
      <c r="E210" s="410"/>
      <c r="G210" s="409"/>
      <c r="H210" s="410"/>
    </row>
    <row r="211" spans="3:8" ht="15.75" customHeight="1" x14ac:dyDescent="0.25">
      <c r="C211" s="423"/>
      <c r="E211" s="410"/>
      <c r="G211" s="409"/>
      <c r="H211" s="410"/>
    </row>
    <row r="212" spans="3:8" ht="15.75" customHeight="1" x14ac:dyDescent="0.25">
      <c r="C212" s="423"/>
      <c r="E212" s="410"/>
      <c r="G212" s="409"/>
      <c r="H212" s="410"/>
    </row>
    <row r="213" spans="3:8" ht="15.75" customHeight="1" x14ac:dyDescent="0.25">
      <c r="C213" s="423"/>
      <c r="E213" s="410"/>
      <c r="G213" s="409"/>
      <c r="H213" s="410"/>
    </row>
    <row r="214" spans="3:8" ht="15.75" customHeight="1" x14ac:dyDescent="0.25">
      <c r="C214" s="423"/>
      <c r="E214" s="410"/>
      <c r="G214" s="409"/>
      <c r="H214" s="410"/>
    </row>
    <row r="215" spans="3:8" ht="15.75" customHeight="1" x14ac:dyDescent="0.25">
      <c r="C215" s="423"/>
      <c r="E215" s="410"/>
      <c r="G215" s="409"/>
      <c r="H215" s="410"/>
    </row>
    <row r="216" spans="3:8" ht="15.75" customHeight="1" x14ac:dyDescent="0.25">
      <c r="C216" s="423"/>
      <c r="E216" s="410"/>
      <c r="G216" s="409"/>
      <c r="H216" s="410"/>
    </row>
    <row r="217" spans="3:8" ht="15.75" customHeight="1" x14ac:dyDescent="0.25">
      <c r="C217" s="423"/>
      <c r="E217" s="410"/>
      <c r="G217" s="409"/>
      <c r="H217" s="410"/>
    </row>
    <row r="218" spans="3:8" ht="15.75" customHeight="1" x14ac:dyDescent="0.25">
      <c r="C218" s="423"/>
      <c r="E218" s="410"/>
      <c r="G218" s="409"/>
      <c r="H218" s="410"/>
    </row>
    <row r="219" spans="3:8" ht="15.75" customHeight="1" x14ac:dyDescent="0.25">
      <c r="C219" s="423"/>
      <c r="E219" s="410"/>
      <c r="G219" s="409"/>
      <c r="H219" s="410"/>
    </row>
    <row r="220" spans="3:8" ht="15.75" customHeight="1" x14ac:dyDescent="0.25">
      <c r="C220" s="423"/>
      <c r="E220" s="410"/>
      <c r="G220" s="409"/>
      <c r="H220" s="410"/>
    </row>
    <row r="221" spans="3:8" ht="15.75" customHeight="1" x14ac:dyDescent="0.25">
      <c r="C221" s="423"/>
      <c r="E221" s="410"/>
      <c r="G221" s="409"/>
      <c r="H221" s="410"/>
    </row>
    <row r="222" spans="3:8" ht="15.75" customHeight="1" x14ac:dyDescent="0.25">
      <c r="C222" s="423"/>
      <c r="E222" s="410"/>
      <c r="G222" s="409"/>
      <c r="H222" s="410"/>
    </row>
    <row r="223" spans="3:8" ht="15.75" customHeight="1" x14ac:dyDescent="0.25">
      <c r="C223" s="423"/>
      <c r="E223" s="410"/>
      <c r="G223" s="409"/>
      <c r="H223" s="410"/>
    </row>
    <row r="224" spans="3:8" ht="15.75" customHeight="1" x14ac:dyDescent="0.25">
      <c r="C224" s="423"/>
      <c r="E224" s="410"/>
      <c r="G224" s="409"/>
      <c r="H224" s="410"/>
    </row>
    <row r="225" spans="3:8" ht="15.75" customHeight="1" x14ac:dyDescent="0.25">
      <c r="C225" s="423"/>
      <c r="E225" s="410"/>
      <c r="G225" s="409"/>
      <c r="H225" s="410"/>
    </row>
    <row r="226" spans="3:8" ht="15.75" customHeight="1" x14ac:dyDescent="0.25">
      <c r="C226" s="423"/>
      <c r="E226" s="410"/>
      <c r="G226" s="409"/>
      <c r="H226" s="410"/>
    </row>
    <row r="227" spans="3:8" ht="15.75" customHeight="1" x14ac:dyDescent="0.25">
      <c r="C227" s="423"/>
      <c r="E227" s="410"/>
      <c r="G227" s="409"/>
      <c r="H227" s="410"/>
    </row>
    <row r="228" spans="3:8" ht="15.75" customHeight="1" x14ac:dyDescent="0.25">
      <c r="C228" s="423"/>
      <c r="E228" s="410"/>
      <c r="G228" s="409"/>
      <c r="H228" s="410"/>
    </row>
    <row r="229" spans="3:8" ht="15.75" customHeight="1" x14ac:dyDescent="0.25">
      <c r="C229" s="423"/>
      <c r="E229" s="410"/>
      <c r="G229" s="409"/>
      <c r="H229" s="410"/>
    </row>
    <row r="230" spans="3:8" ht="15.75" customHeight="1" x14ac:dyDescent="0.25">
      <c r="C230" s="423"/>
      <c r="E230" s="410"/>
      <c r="G230" s="409"/>
      <c r="H230" s="410"/>
    </row>
    <row r="231" spans="3:8" ht="15.75" customHeight="1" x14ac:dyDescent="0.25">
      <c r="C231" s="423"/>
      <c r="E231" s="410"/>
      <c r="G231" s="409"/>
      <c r="H231" s="410"/>
    </row>
    <row r="232" spans="3:8" ht="15.75" customHeight="1" x14ac:dyDescent="0.25">
      <c r="C232" s="423"/>
      <c r="E232" s="410"/>
      <c r="G232" s="409"/>
      <c r="H232" s="410"/>
    </row>
    <row r="233" spans="3:8" ht="15.75" customHeight="1" x14ac:dyDescent="0.25">
      <c r="C233" s="423"/>
      <c r="E233" s="410"/>
      <c r="G233" s="409"/>
      <c r="H233" s="410"/>
    </row>
    <row r="234" spans="3:8" ht="15.75" customHeight="1" x14ac:dyDescent="0.25">
      <c r="C234" s="423"/>
      <c r="E234" s="410"/>
      <c r="G234" s="409"/>
      <c r="H234" s="410"/>
    </row>
    <row r="235" spans="3:8" ht="15.75" customHeight="1" x14ac:dyDescent="0.25">
      <c r="C235" s="423"/>
      <c r="E235" s="410"/>
      <c r="G235" s="409"/>
      <c r="H235" s="410"/>
    </row>
    <row r="236" spans="3:8" ht="15.75" customHeight="1" x14ac:dyDescent="0.25">
      <c r="C236" s="423"/>
      <c r="E236" s="410"/>
      <c r="G236" s="409"/>
      <c r="H236" s="410"/>
    </row>
    <row r="237" spans="3:8" ht="15.75" customHeight="1" x14ac:dyDescent="0.25">
      <c r="C237" s="423"/>
      <c r="E237" s="410"/>
      <c r="G237" s="409"/>
      <c r="H237" s="410"/>
    </row>
    <row r="238" spans="3:8" ht="15.75" customHeight="1" x14ac:dyDescent="0.25">
      <c r="C238" s="423"/>
      <c r="E238" s="410"/>
      <c r="G238" s="409"/>
      <c r="H238" s="410"/>
    </row>
    <row r="239" spans="3:8" ht="15.75" customHeight="1" x14ac:dyDescent="0.25">
      <c r="C239" s="423"/>
      <c r="E239" s="410"/>
      <c r="G239" s="409"/>
      <c r="H239" s="410"/>
    </row>
    <row r="240" spans="3:8" ht="15.75" customHeight="1" x14ac:dyDescent="0.25">
      <c r="C240" s="423"/>
      <c r="E240" s="410"/>
      <c r="G240" s="409"/>
      <c r="H240" s="410"/>
    </row>
    <row r="241" spans="3:8" ht="15.75" customHeight="1" x14ac:dyDescent="0.25">
      <c r="C241" s="423"/>
      <c r="E241" s="410"/>
      <c r="G241" s="409"/>
      <c r="H241" s="410"/>
    </row>
    <row r="242" spans="3:8" ht="15.75" customHeight="1" x14ac:dyDescent="0.25">
      <c r="C242" s="423"/>
      <c r="E242" s="410"/>
      <c r="G242" s="409"/>
      <c r="H242" s="410"/>
    </row>
    <row r="243" spans="3:8" ht="15.75" customHeight="1" x14ac:dyDescent="0.25">
      <c r="C243" s="423"/>
      <c r="E243" s="410"/>
      <c r="G243" s="409"/>
      <c r="H243" s="410"/>
    </row>
    <row r="244" spans="3:8" ht="15.75" customHeight="1" x14ac:dyDescent="0.25">
      <c r="C244" s="423"/>
      <c r="E244" s="410"/>
      <c r="G244" s="409"/>
      <c r="H244" s="410"/>
    </row>
    <row r="245" spans="3:8" ht="15.75" customHeight="1" x14ac:dyDescent="0.25">
      <c r="C245" s="423"/>
      <c r="E245" s="410"/>
      <c r="G245" s="409"/>
      <c r="H245" s="410"/>
    </row>
    <row r="246" spans="3:8" ht="15.75" customHeight="1" x14ac:dyDescent="0.25">
      <c r="C246" s="423"/>
      <c r="E246" s="410"/>
      <c r="G246" s="409"/>
      <c r="H246" s="410"/>
    </row>
    <row r="247" spans="3:8" ht="15.75" customHeight="1" x14ac:dyDescent="0.25">
      <c r="C247" s="423"/>
      <c r="E247" s="410"/>
      <c r="G247" s="409"/>
      <c r="H247" s="410"/>
    </row>
    <row r="248" spans="3:8" ht="15.75" customHeight="1" x14ac:dyDescent="0.25">
      <c r="C248" s="423"/>
      <c r="E248" s="410"/>
      <c r="G248" s="409"/>
      <c r="H248" s="410"/>
    </row>
    <row r="249" spans="3:8" ht="15.75" customHeight="1" x14ac:dyDescent="0.25">
      <c r="C249" s="423"/>
      <c r="E249" s="410"/>
      <c r="G249" s="409"/>
      <c r="H249" s="410"/>
    </row>
    <row r="250" spans="3:8" ht="15.75" customHeight="1" x14ac:dyDescent="0.25">
      <c r="C250" s="423"/>
      <c r="E250" s="410"/>
      <c r="G250" s="409"/>
      <c r="H250" s="410"/>
    </row>
    <row r="251" spans="3:8" ht="15.75" customHeight="1" x14ac:dyDescent="0.25">
      <c r="C251" s="423"/>
      <c r="E251" s="410"/>
      <c r="G251" s="409"/>
      <c r="H251" s="410"/>
    </row>
    <row r="252" spans="3:8" ht="15.75" customHeight="1" x14ac:dyDescent="0.25">
      <c r="C252" s="423"/>
      <c r="E252" s="410"/>
      <c r="G252" s="409"/>
      <c r="H252" s="410"/>
    </row>
    <row r="253" spans="3:8" ht="15.75" customHeight="1" x14ac:dyDescent="0.25">
      <c r="C253" s="423"/>
      <c r="E253" s="410"/>
      <c r="G253" s="409"/>
      <c r="H253" s="410"/>
    </row>
    <row r="254" spans="3:8" ht="15.75" customHeight="1" x14ac:dyDescent="0.25">
      <c r="C254" s="423"/>
      <c r="E254" s="410"/>
      <c r="G254" s="409"/>
      <c r="H254" s="410"/>
    </row>
    <row r="255" spans="3:8" ht="15.75" customHeight="1" x14ac:dyDescent="0.25">
      <c r="C255" s="423"/>
      <c r="E255" s="410"/>
      <c r="G255" s="409"/>
      <c r="H255" s="410"/>
    </row>
    <row r="256" spans="3:8" ht="15.75" customHeight="1" x14ac:dyDescent="0.25">
      <c r="C256" s="423"/>
      <c r="E256" s="410"/>
      <c r="G256" s="409"/>
      <c r="H256" s="410"/>
    </row>
    <row r="257" spans="3:8" ht="15.75" customHeight="1" x14ac:dyDescent="0.25">
      <c r="C257" s="423"/>
      <c r="E257" s="410"/>
      <c r="G257" s="409"/>
      <c r="H257" s="410"/>
    </row>
    <row r="258" spans="3:8" ht="15.75" customHeight="1" x14ac:dyDescent="0.25">
      <c r="C258" s="423"/>
      <c r="E258" s="410"/>
      <c r="G258" s="409"/>
      <c r="H258" s="410"/>
    </row>
    <row r="259" spans="3:8" ht="15.75" customHeight="1" x14ac:dyDescent="0.25">
      <c r="C259" s="423"/>
      <c r="E259" s="410"/>
      <c r="G259" s="409"/>
      <c r="H259" s="410"/>
    </row>
    <row r="260" spans="3:8" ht="15.75" customHeight="1" x14ac:dyDescent="0.25">
      <c r="C260" s="423"/>
      <c r="E260" s="410"/>
      <c r="G260" s="409"/>
      <c r="H260" s="410"/>
    </row>
    <row r="261" spans="3:8" ht="15.75" customHeight="1" x14ac:dyDescent="0.25">
      <c r="C261" s="423"/>
      <c r="E261" s="410"/>
      <c r="G261" s="409"/>
      <c r="H261" s="410"/>
    </row>
    <row r="262" spans="3:8" ht="15.75" customHeight="1" x14ac:dyDescent="0.25">
      <c r="C262" s="423"/>
      <c r="E262" s="410"/>
      <c r="G262" s="409"/>
      <c r="H262" s="410"/>
    </row>
    <row r="263" spans="3:8" ht="15.75" customHeight="1" x14ac:dyDescent="0.25">
      <c r="C263" s="423"/>
      <c r="E263" s="410"/>
      <c r="G263" s="409"/>
      <c r="H263" s="410"/>
    </row>
    <row r="264" spans="3:8" ht="15.75" customHeight="1" x14ac:dyDescent="0.25">
      <c r="C264" s="423"/>
      <c r="E264" s="410"/>
      <c r="G264" s="409"/>
      <c r="H264" s="410"/>
    </row>
    <row r="265" spans="3:8" ht="15.75" customHeight="1" x14ac:dyDescent="0.25">
      <c r="C265" s="423"/>
      <c r="E265" s="410"/>
      <c r="G265" s="409"/>
      <c r="H265" s="410"/>
    </row>
    <row r="266" spans="3:8" ht="15.75" customHeight="1" x14ac:dyDescent="0.25">
      <c r="C266" s="423"/>
      <c r="E266" s="410"/>
      <c r="G266" s="409"/>
      <c r="H266" s="410"/>
    </row>
    <row r="267" spans="3:8" ht="15.75" customHeight="1" x14ac:dyDescent="0.25">
      <c r="C267" s="423"/>
      <c r="E267" s="410"/>
      <c r="G267" s="409"/>
      <c r="H267" s="410"/>
    </row>
    <row r="268" spans="3:8" ht="15.75" customHeight="1" x14ac:dyDescent="0.25">
      <c r="C268" s="423"/>
      <c r="E268" s="410"/>
      <c r="G268" s="409"/>
      <c r="H268" s="410"/>
    </row>
    <row r="269" spans="3:8" ht="15.75" customHeight="1" x14ac:dyDescent="0.25">
      <c r="C269" s="423"/>
      <c r="E269" s="410"/>
      <c r="G269" s="409"/>
      <c r="H269" s="410"/>
    </row>
    <row r="270" spans="3:8" ht="15.75" customHeight="1" x14ac:dyDescent="0.25">
      <c r="C270" s="423"/>
      <c r="E270" s="410"/>
      <c r="G270" s="409"/>
      <c r="H270" s="410"/>
    </row>
    <row r="271" spans="3:8" ht="15.75" customHeight="1" x14ac:dyDescent="0.25">
      <c r="C271" s="423"/>
      <c r="E271" s="410"/>
      <c r="G271" s="409"/>
      <c r="H271" s="410"/>
    </row>
    <row r="272" spans="3:8" ht="15.75" customHeight="1" x14ac:dyDescent="0.25">
      <c r="C272" s="423"/>
      <c r="E272" s="410"/>
      <c r="G272" s="409"/>
      <c r="H272" s="410"/>
    </row>
    <row r="273" spans="3:8" ht="15.75" customHeight="1" x14ac:dyDescent="0.25">
      <c r="C273" s="423"/>
      <c r="E273" s="410"/>
      <c r="G273" s="409"/>
      <c r="H273" s="410"/>
    </row>
    <row r="274" spans="3:8" ht="15.75" customHeight="1" x14ac:dyDescent="0.25">
      <c r="C274" s="423"/>
      <c r="E274" s="410"/>
      <c r="G274" s="409"/>
      <c r="H274" s="410"/>
    </row>
    <row r="275" spans="3:8" ht="15.75" customHeight="1" x14ac:dyDescent="0.25">
      <c r="C275" s="423"/>
      <c r="E275" s="410"/>
      <c r="G275" s="409"/>
      <c r="H275" s="410"/>
    </row>
    <row r="276" spans="3:8" ht="15.75" customHeight="1" x14ac:dyDescent="0.25">
      <c r="C276" s="423"/>
      <c r="E276" s="410"/>
      <c r="G276" s="409"/>
      <c r="H276" s="410"/>
    </row>
    <row r="277" spans="3:8" ht="15.75" customHeight="1" x14ac:dyDescent="0.25">
      <c r="C277" s="423"/>
      <c r="E277" s="410"/>
      <c r="G277" s="409"/>
      <c r="H277" s="410"/>
    </row>
    <row r="278" spans="3:8" ht="15.75" customHeight="1" x14ac:dyDescent="0.25">
      <c r="C278" s="423"/>
      <c r="E278" s="410"/>
      <c r="G278" s="409"/>
      <c r="H278" s="410"/>
    </row>
    <row r="279" spans="3:8" ht="15.75" customHeight="1" x14ac:dyDescent="0.25">
      <c r="C279" s="423"/>
      <c r="E279" s="410"/>
      <c r="G279" s="409"/>
      <c r="H279" s="410"/>
    </row>
    <row r="280" spans="3:8" ht="15.75" customHeight="1" x14ac:dyDescent="0.25">
      <c r="C280" s="423"/>
      <c r="E280" s="410"/>
      <c r="G280" s="409"/>
      <c r="H280" s="410"/>
    </row>
    <row r="281" spans="3:8" ht="15.75" customHeight="1" x14ac:dyDescent="0.25">
      <c r="C281" s="423"/>
      <c r="E281" s="410"/>
      <c r="G281" s="409"/>
      <c r="H281" s="410"/>
    </row>
    <row r="282" spans="3:8" ht="15.75" customHeight="1" x14ac:dyDescent="0.25">
      <c r="C282" s="423"/>
      <c r="E282" s="410"/>
      <c r="G282" s="409"/>
      <c r="H282" s="410"/>
    </row>
    <row r="283" spans="3:8" ht="15.75" customHeight="1" x14ac:dyDescent="0.25">
      <c r="C283" s="423"/>
      <c r="E283" s="410"/>
      <c r="G283" s="409"/>
      <c r="H283" s="410"/>
    </row>
    <row r="284" spans="3:8" ht="15.75" customHeight="1" x14ac:dyDescent="0.25">
      <c r="C284" s="423"/>
      <c r="E284" s="410"/>
      <c r="G284" s="409"/>
      <c r="H284" s="410"/>
    </row>
    <row r="285" spans="3:8" ht="15.75" customHeight="1" x14ac:dyDescent="0.25">
      <c r="C285" s="423"/>
      <c r="E285" s="410"/>
      <c r="G285" s="409"/>
      <c r="H285" s="410"/>
    </row>
    <row r="286" spans="3:8" ht="15.75" customHeight="1" x14ac:dyDescent="0.25">
      <c r="C286" s="423"/>
      <c r="E286" s="410"/>
      <c r="G286" s="409"/>
      <c r="H286" s="410"/>
    </row>
    <row r="287" spans="3:8" ht="15.75" customHeight="1" x14ac:dyDescent="0.25">
      <c r="C287" s="423"/>
      <c r="E287" s="410"/>
      <c r="G287" s="409"/>
      <c r="H287" s="410"/>
    </row>
    <row r="288" spans="3:8" ht="15.75" customHeight="1" x14ac:dyDescent="0.25">
      <c r="C288" s="423"/>
      <c r="E288" s="410"/>
      <c r="G288" s="409"/>
      <c r="H288" s="410"/>
    </row>
    <row r="289" spans="3:8" ht="15.75" customHeight="1" x14ac:dyDescent="0.25">
      <c r="C289" s="423"/>
      <c r="E289" s="410"/>
      <c r="G289" s="409"/>
      <c r="H289" s="410"/>
    </row>
    <row r="290" spans="3:8" ht="15.75" customHeight="1" x14ac:dyDescent="0.25"/>
    <row r="291" spans="3:8" ht="15.75" customHeight="1" x14ac:dyDescent="0.25"/>
    <row r="292" spans="3:8" ht="15.75" customHeight="1" x14ac:dyDescent="0.25"/>
    <row r="293" spans="3:8" ht="15.75" customHeight="1" x14ac:dyDescent="0.25"/>
    <row r="294" spans="3:8" ht="15.75" customHeight="1" x14ac:dyDescent="0.25"/>
    <row r="295" spans="3:8" ht="15.75" customHeight="1" x14ac:dyDescent="0.25"/>
    <row r="296" spans="3:8" ht="15.75" customHeight="1" x14ac:dyDescent="0.25"/>
    <row r="297" spans="3:8" ht="15.75" customHeight="1" x14ac:dyDescent="0.25"/>
    <row r="298" spans="3:8" ht="15.75" customHeight="1" x14ac:dyDescent="0.25"/>
    <row r="299" spans="3:8" ht="15.75" customHeight="1" x14ac:dyDescent="0.25"/>
    <row r="300" spans="3:8" ht="15.75" customHeight="1" x14ac:dyDescent="0.25"/>
    <row r="301" spans="3:8" ht="15.75" customHeight="1" x14ac:dyDescent="0.25"/>
    <row r="302" spans="3:8" ht="15.75" customHeight="1" x14ac:dyDescent="0.25"/>
    <row r="303" spans="3:8" ht="15.75" customHeight="1" x14ac:dyDescent="0.25"/>
    <row r="304" spans="3:8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FF"/>
    <outlinePr summaryBelow="0" summaryRight="0"/>
  </sheetPr>
  <dimension ref="A1:W1000"/>
  <sheetViews>
    <sheetView workbookViewId="0"/>
  </sheetViews>
  <sheetFormatPr defaultColWidth="12.6640625" defaultRowHeight="15" customHeight="1" x14ac:dyDescent="0.25"/>
  <cols>
    <col min="1" max="1" width="42.44140625" customWidth="1"/>
    <col min="2" max="2" width="43.88671875" customWidth="1"/>
    <col min="3" max="3" width="17.109375" customWidth="1"/>
    <col min="4" max="4" width="21.33203125" customWidth="1"/>
    <col min="5" max="5" width="21.21875" customWidth="1"/>
    <col min="6" max="6" width="23.109375" customWidth="1"/>
  </cols>
  <sheetData>
    <row r="1" spans="1:23" ht="15.75" customHeight="1" x14ac:dyDescent="0.25"/>
    <row r="2" spans="1:23" ht="15.75" customHeight="1" x14ac:dyDescent="0.25">
      <c r="A2" s="424" t="s">
        <v>495</v>
      </c>
      <c r="B2" s="424" t="s">
        <v>78</v>
      </c>
      <c r="C2" s="426" t="s">
        <v>80</v>
      </c>
      <c r="D2" s="443" t="s">
        <v>533</v>
      </c>
      <c r="E2" s="426" t="s">
        <v>534</v>
      </c>
      <c r="F2" s="444" t="s">
        <v>535</v>
      </c>
      <c r="G2" s="263" t="s">
        <v>501</v>
      </c>
      <c r="H2" s="263" t="s">
        <v>502</v>
      </c>
      <c r="I2" s="263"/>
      <c r="J2" s="263"/>
      <c r="K2" s="445" t="s">
        <v>536</v>
      </c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</row>
    <row r="3" spans="1:23" ht="15.75" customHeight="1" x14ac:dyDescent="0.25">
      <c r="A3" s="431"/>
      <c r="B3" s="431" t="s">
        <v>537</v>
      </c>
      <c r="C3" s="431"/>
      <c r="D3" s="446"/>
      <c r="E3" s="431"/>
      <c r="F3" s="447"/>
      <c r="J3" s="448">
        <v>1.1000000000000001</v>
      </c>
      <c r="K3" s="448" t="s">
        <v>538</v>
      </c>
    </row>
    <row r="4" spans="1:23" ht="15.75" customHeight="1" x14ac:dyDescent="0.25">
      <c r="B4" s="274" t="s">
        <v>347</v>
      </c>
      <c r="C4" s="274">
        <v>23000</v>
      </c>
      <c r="D4" s="449">
        <f t="shared" ref="D4:D18" si="0">C4*$J$3+G4</f>
        <v>25300.000000000004</v>
      </c>
      <c r="E4" s="274">
        <f t="shared" ref="E4:E18" si="1">D4*$J$5</f>
        <v>12650.000000000002</v>
      </c>
      <c r="F4" s="450">
        <f t="shared" ref="F4:F18" si="2">E4*$J$4+H4</f>
        <v>13300.000000000002</v>
      </c>
      <c r="H4" s="274">
        <v>17.5</v>
      </c>
      <c r="J4" s="448">
        <v>1.05</v>
      </c>
      <c r="K4" s="448" t="s">
        <v>534</v>
      </c>
    </row>
    <row r="5" spans="1:23" ht="15.75" customHeight="1" x14ac:dyDescent="0.25">
      <c r="A5" s="263"/>
      <c r="B5" s="263" t="s">
        <v>350</v>
      </c>
      <c r="C5" s="263">
        <v>23000</v>
      </c>
      <c r="D5" s="449">
        <f t="shared" si="0"/>
        <v>25300.000000000004</v>
      </c>
      <c r="E5" s="274">
        <f t="shared" si="1"/>
        <v>12650.000000000002</v>
      </c>
      <c r="F5" s="450">
        <f t="shared" si="2"/>
        <v>13300.000000000002</v>
      </c>
      <c r="G5" s="263"/>
      <c r="H5" s="263">
        <v>17.5</v>
      </c>
      <c r="I5" s="263"/>
      <c r="J5" s="448">
        <v>0.5</v>
      </c>
      <c r="K5" s="448" t="s">
        <v>534</v>
      </c>
      <c r="L5" s="263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</row>
    <row r="6" spans="1:23" ht="15.75" customHeight="1" x14ac:dyDescent="0.25">
      <c r="A6" s="263"/>
      <c r="B6" s="263" t="s">
        <v>352</v>
      </c>
      <c r="C6" s="263">
        <v>21000</v>
      </c>
      <c r="D6" s="449">
        <f t="shared" si="0"/>
        <v>23100.000000000004</v>
      </c>
      <c r="E6" s="274">
        <f t="shared" si="1"/>
        <v>11550.000000000002</v>
      </c>
      <c r="F6" s="450">
        <f t="shared" si="2"/>
        <v>12130.000000000002</v>
      </c>
      <c r="G6" s="263"/>
      <c r="H6" s="263">
        <v>2.5</v>
      </c>
      <c r="I6" s="263"/>
      <c r="J6" s="263"/>
      <c r="K6" s="445" t="s">
        <v>539</v>
      </c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</row>
    <row r="7" spans="1:23" ht="15.75" customHeight="1" x14ac:dyDescent="0.25">
      <c r="A7" s="263"/>
      <c r="B7" s="263" t="s">
        <v>355</v>
      </c>
      <c r="C7" s="263">
        <v>21000</v>
      </c>
      <c r="D7" s="449">
        <f t="shared" si="0"/>
        <v>23100.000000000004</v>
      </c>
      <c r="E7" s="274">
        <f t="shared" si="1"/>
        <v>11550.000000000002</v>
      </c>
      <c r="F7" s="450">
        <f t="shared" si="2"/>
        <v>12130.000000000002</v>
      </c>
      <c r="G7" s="263"/>
      <c r="H7" s="263">
        <v>2.5</v>
      </c>
      <c r="I7" s="263"/>
      <c r="J7" s="451">
        <v>1.1000000000000001</v>
      </c>
      <c r="K7" s="451" t="s">
        <v>538</v>
      </c>
      <c r="L7" s="263"/>
      <c r="M7" s="263"/>
      <c r="N7" s="263"/>
      <c r="O7" s="263"/>
      <c r="P7" s="263"/>
      <c r="Q7" s="263"/>
      <c r="R7" s="263"/>
      <c r="S7" s="263"/>
      <c r="T7" s="263"/>
      <c r="U7" s="263"/>
      <c r="V7" s="263"/>
      <c r="W7" s="263"/>
    </row>
    <row r="8" spans="1:23" ht="15.75" customHeight="1" x14ac:dyDescent="0.25">
      <c r="A8" s="263"/>
      <c r="B8" s="263" t="s">
        <v>357</v>
      </c>
      <c r="C8" s="263">
        <v>34000</v>
      </c>
      <c r="D8" s="449">
        <f t="shared" si="0"/>
        <v>37400</v>
      </c>
      <c r="E8" s="274">
        <f t="shared" si="1"/>
        <v>18700</v>
      </c>
      <c r="F8" s="450">
        <f t="shared" si="2"/>
        <v>19640</v>
      </c>
      <c r="G8" s="263"/>
      <c r="H8" s="263">
        <v>5</v>
      </c>
      <c r="I8" s="263"/>
      <c r="J8" s="451"/>
      <c r="K8" s="451"/>
      <c r="L8" s="263"/>
      <c r="M8" s="263"/>
      <c r="N8" s="263"/>
      <c r="O8" s="263"/>
      <c r="P8" s="263"/>
      <c r="Q8" s="263"/>
      <c r="R8" s="263"/>
      <c r="S8" s="263"/>
      <c r="T8" s="263"/>
      <c r="U8" s="263"/>
      <c r="V8" s="263"/>
      <c r="W8" s="263"/>
    </row>
    <row r="9" spans="1:23" ht="15.75" customHeight="1" x14ac:dyDescent="0.25">
      <c r="A9" s="263"/>
      <c r="B9" s="263" t="s">
        <v>359</v>
      </c>
      <c r="C9" s="263">
        <v>8300</v>
      </c>
      <c r="D9" s="449">
        <f t="shared" si="0"/>
        <v>9130</v>
      </c>
      <c r="E9" s="274">
        <f t="shared" si="1"/>
        <v>4565</v>
      </c>
      <c r="F9" s="450">
        <f t="shared" si="2"/>
        <v>4800</v>
      </c>
      <c r="G9" s="263"/>
      <c r="H9" s="263">
        <v>6.75</v>
      </c>
      <c r="I9" s="263"/>
      <c r="J9" s="451"/>
      <c r="K9" s="451"/>
      <c r="L9" s="263"/>
      <c r="M9" s="263"/>
      <c r="N9" s="263"/>
      <c r="O9" s="263"/>
      <c r="P9" s="263"/>
      <c r="Q9" s="263"/>
      <c r="R9" s="263"/>
      <c r="S9" s="263"/>
      <c r="T9" s="263"/>
      <c r="U9" s="263"/>
      <c r="V9" s="263"/>
      <c r="W9" s="263"/>
    </row>
    <row r="10" spans="1:23" ht="15.75" customHeight="1" x14ac:dyDescent="0.25">
      <c r="A10" s="263"/>
      <c r="B10" s="263" t="s">
        <v>361</v>
      </c>
      <c r="C10" s="263">
        <v>16560</v>
      </c>
      <c r="D10" s="449">
        <f t="shared" si="0"/>
        <v>18220</v>
      </c>
      <c r="E10" s="274">
        <f t="shared" si="1"/>
        <v>9110</v>
      </c>
      <c r="F10" s="450">
        <f t="shared" si="2"/>
        <v>9572.4</v>
      </c>
      <c r="G10" s="263">
        <v>4</v>
      </c>
      <c r="H10" s="263">
        <v>6.9</v>
      </c>
      <c r="I10" s="263"/>
      <c r="J10" s="451">
        <v>1.05</v>
      </c>
      <c r="K10" s="451" t="s">
        <v>534</v>
      </c>
      <c r="L10" s="263"/>
      <c r="M10" s="263"/>
      <c r="N10" s="263"/>
      <c r="O10" s="263"/>
      <c r="P10" s="263"/>
      <c r="Q10" s="263"/>
      <c r="R10" s="263"/>
      <c r="S10" s="263"/>
      <c r="T10" s="263"/>
      <c r="U10" s="263"/>
      <c r="V10" s="263"/>
      <c r="W10" s="263"/>
    </row>
    <row r="11" spans="1:23" ht="15.75" customHeight="1" x14ac:dyDescent="0.25">
      <c r="A11" s="263"/>
      <c r="B11" s="263" t="s">
        <v>363</v>
      </c>
      <c r="C11" s="263">
        <v>45540</v>
      </c>
      <c r="D11" s="449">
        <f t="shared" si="0"/>
        <v>50100.000000000007</v>
      </c>
      <c r="E11" s="274">
        <f t="shared" si="1"/>
        <v>25050.000000000004</v>
      </c>
      <c r="F11" s="450">
        <f t="shared" si="2"/>
        <v>26312.000000000004</v>
      </c>
      <c r="G11" s="263">
        <v>6</v>
      </c>
      <c r="H11" s="263">
        <v>9.5</v>
      </c>
      <c r="I11" s="263"/>
      <c r="J11" s="451">
        <v>0.5</v>
      </c>
      <c r="K11" s="451" t="s">
        <v>534</v>
      </c>
      <c r="L11" s="263"/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</row>
    <row r="12" spans="1:23" ht="15.75" customHeight="1" x14ac:dyDescent="0.25">
      <c r="A12" s="263"/>
      <c r="B12" s="263" t="s">
        <v>365</v>
      </c>
      <c r="C12" s="263">
        <v>44250</v>
      </c>
      <c r="D12" s="449">
        <f t="shared" si="0"/>
        <v>48700.000000000007</v>
      </c>
      <c r="E12" s="274">
        <f t="shared" si="1"/>
        <v>24350.000000000004</v>
      </c>
      <c r="F12" s="450">
        <f t="shared" si="2"/>
        <v>25574.000000000004</v>
      </c>
      <c r="G12" s="263">
        <v>25</v>
      </c>
      <c r="H12" s="263">
        <v>6.5</v>
      </c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3"/>
      <c r="T12" s="263"/>
      <c r="U12" s="263"/>
      <c r="V12" s="263"/>
      <c r="W12" s="263"/>
    </row>
    <row r="13" spans="1:23" ht="15.75" customHeight="1" x14ac:dyDescent="0.25">
      <c r="A13" s="263"/>
      <c r="B13" s="263" t="s">
        <v>367</v>
      </c>
      <c r="C13" s="263">
        <v>30268</v>
      </c>
      <c r="D13" s="449">
        <f t="shared" si="0"/>
        <v>33300</v>
      </c>
      <c r="E13" s="274">
        <f t="shared" si="1"/>
        <v>16650</v>
      </c>
      <c r="F13" s="450">
        <f t="shared" si="2"/>
        <v>17486</v>
      </c>
      <c r="G13" s="263">
        <v>5.2</v>
      </c>
      <c r="H13" s="263">
        <v>3.5</v>
      </c>
      <c r="I13" s="263"/>
      <c r="J13" s="263"/>
      <c r="K13" s="445" t="s">
        <v>540</v>
      </c>
      <c r="L13" s="263"/>
      <c r="M13" s="263"/>
      <c r="N13" s="263"/>
      <c r="O13" s="263"/>
      <c r="P13" s="263"/>
      <c r="Q13" s="263"/>
      <c r="R13" s="263"/>
      <c r="S13" s="263"/>
      <c r="T13" s="263"/>
      <c r="U13" s="263"/>
      <c r="V13" s="263"/>
      <c r="W13" s="263"/>
    </row>
    <row r="14" spans="1:23" ht="15.75" customHeight="1" x14ac:dyDescent="0.25">
      <c r="A14" s="263"/>
      <c r="B14" s="263" t="s">
        <v>369</v>
      </c>
      <c r="C14" s="263">
        <v>24840</v>
      </c>
      <c r="D14" s="449">
        <f t="shared" si="0"/>
        <v>27330.000000000004</v>
      </c>
      <c r="E14" s="274">
        <f t="shared" si="1"/>
        <v>13665.000000000002</v>
      </c>
      <c r="F14" s="450">
        <f t="shared" si="2"/>
        <v>14348.600000000002</v>
      </c>
      <c r="G14" s="263">
        <v>6</v>
      </c>
      <c r="H14" s="263">
        <v>0.35</v>
      </c>
      <c r="I14" s="263"/>
      <c r="J14" s="451">
        <v>1.1000000000000001</v>
      </c>
      <c r="K14" s="451" t="s">
        <v>541</v>
      </c>
      <c r="L14" s="263"/>
      <c r="M14" s="263"/>
      <c r="N14" s="263"/>
      <c r="O14" s="263"/>
      <c r="P14" s="263"/>
      <c r="Q14" s="263"/>
      <c r="R14" s="263"/>
      <c r="S14" s="263"/>
      <c r="T14" s="263"/>
      <c r="U14" s="263"/>
      <c r="V14" s="263"/>
      <c r="W14" s="263"/>
    </row>
    <row r="15" spans="1:23" ht="15.75" customHeight="1" x14ac:dyDescent="0.25">
      <c r="A15" s="263"/>
      <c r="B15" s="263" t="s">
        <v>371</v>
      </c>
      <c r="C15" s="263">
        <v>46800</v>
      </c>
      <c r="D15" s="449">
        <f t="shared" si="0"/>
        <v>51480.000000000007</v>
      </c>
      <c r="E15" s="274">
        <f t="shared" si="1"/>
        <v>25740.000000000004</v>
      </c>
      <c r="F15" s="450">
        <f t="shared" si="2"/>
        <v>27031.600000000002</v>
      </c>
      <c r="G15" s="263"/>
      <c r="H15" s="263">
        <v>4.5999999999999996</v>
      </c>
      <c r="I15" s="263"/>
      <c r="J15" s="451">
        <v>1.05</v>
      </c>
      <c r="K15" s="451" t="s">
        <v>517</v>
      </c>
      <c r="L15" s="263"/>
      <c r="M15" s="263"/>
      <c r="N15" s="263"/>
      <c r="O15" s="263"/>
      <c r="P15" s="263"/>
      <c r="Q15" s="263"/>
      <c r="R15" s="263"/>
      <c r="S15" s="263"/>
      <c r="T15" s="263"/>
      <c r="U15" s="263"/>
      <c r="V15" s="263"/>
      <c r="W15" s="263"/>
    </row>
    <row r="16" spans="1:23" ht="15.75" customHeight="1" x14ac:dyDescent="0.25">
      <c r="A16" s="263"/>
      <c r="B16" s="263" t="s">
        <v>373</v>
      </c>
      <c r="C16" s="263">
        <v>43470</v>
      </c>
      <c r="D16" s="449">
        <f t="shared" si="0"/>
        <v>47820.000000000007</v>
      </c>
      <c r="E16" s="274">
        <f t="shared" si="1"/>
        <v>23910.000000000004</v>
      </c>
      <c r="F16" s="450">
        <f t="shared" si="2"/>
        <v>25109.400000000005</v>
      </c>
      <c r="G16" s="263">
        <v>3</v>
      </c>
      <c r="H16" s="263">
        <v>3.9</v>
      </c>
      <c r="I16" s="263"/>
      <c r="J16" s="451">
        <v>0.5</v>
      </c>
      <c r="K16" s="451" t="s">
        <v>517</v>
      </c>
      <c r="L16" s="263"/>
      <c r="M16" s="263"/>
      <c r="N16" s="263"/>
      <c r="O16" s="263"/>
      <c r="P16" s="263"/>
      <c r="Q16" s="263"/>
      <c r="R16" s="263"/>
      <c r="S16" s="263"/>
      <c r="T16" s="263"/>
      <c r="U16" s="263"/>
      <c r="V16" s="263"/>
      <c r="W16" s="263"/>
    </row>
    <row r="17" spans="1:23" ht="15.75" customHeight="1" x14ac:dyDescent="0.25">
      <c r="A17" s="263"/>
      <c r="B17" s="263" t="s">
        <v>375</v>
      </c>
      <c r="C17" s="263">
        <v>41400</v>
      </c>
      <c r="D17" s="449">
        <f t="shared" si="0"/>
        <v>45540.000000000007</v>
      </c>
      <c r="E17" s="274">
        <f t="shared" si="1"/>
        <v>22770.000000000004</v>
      </c>
      <c r="F17" s="450">
        <f t="shared" si="2"/>
        <v>23916.800000000003</v>
      </c>
      <c r="G17" s="263"/>
      <c r="H17" s="263">
        <v>8.3000000000000007</v>
      </c>
      <c r="I17" s="263"/>
      <c r="J17" s="263"/>
      <c r="K17" s="263"/>
      <c r="L17" s="263"/>
      <c r="M17" s="263"/>
      <c r="N17" s="263"/>
      <c r="O17" s="263"/>
      <c r="P17" s="263"/>
      <c r="Q17" s="263"/>
      <c r="R17" s="263"/>
      <c r="S17" s="263"/>
      <c r="T17" s="263"/>
      <c r="U17" s="263"/>
      <c r="V17" s="263"/>
      <c r="W17" s="263"/>
    </row>
    <row r="18" spans="1:23" ht="15.75" customHeight="1" x14ac:dyDescent="0.25">
      <c r="A18" s="263"/>
      <c r="B18" s="263" t="s">
        <v>377</v>
      </c>
      <c r="C18" s="263">
        <v>31050</v>
      </c>
      <c r="D18" s="449">
        <f t="shared" si="0"/>
        <v>34160</v>
      </c>
      <c r="E18" s="274">
        <f t="shared" si="1"/>
        <v>17080</v>
      </c>
      <c r="F18" s="450">
        <f t="shared" si="2"/>
        <v>17937.2</v>
      </c>
      <c r="G18" s="263">
        <v>5</v>
      </c>
      <c r="H18" s="263">
        <v>3.2</v>
      </c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</row>
    <row r="19" spans="1:23" ht="15.75" customHeight="1" x14ac:dyDescent="0.25">
      <c r="D19" s="449"/>
      <c r="F19" s="450"/>
    </row>
    <row r="20" spans="1:23" ht="15.75" customHeight="1" x14ac:dyDescent="0.25">
      <c r="A20" s="430"/>
      <c r="B20" s="431" t="s">
        <v>379</v>
      </c>
      <c r="C20" s="430"/>
      <c r="D20" s="449"/>
      <c r="E20" s="430"/>
      <c r="F20" s="450"/>
    </row>
    <row r="21" spans="1:23" ht="15.75" customHeight="1" x14ac:dyDescent="0.25">
      <c r="A21" s="263"/>
      <c r="B21" s="263" t="s">
        <v>381</v>
      </c>
      <c r="C21" s="263">
        <v>22080</v>
      </c>
      <c r="D21" s="452">
        <f t="shared" ref="D21:D29" si="3">C21*$J$7+G21</f>
        <v>24290.000000000004</v>
      </c>
      <c r="E21" s="263">
        <f t="shared" ref="E21:E28" si="4">D21*$J$11</f>
        <v>12145.000000000002</v>
      </c>
      <c r="F21" s="450">
        <f t="shared" ref="F21:F29" si="5">E21*$J$10+H21</f>
        <v>12761.800000000001</v>
      </c>
      <c r="G21" s="263">
        <v>2</v>
      </c>
      <c r="H21" s="263">
        <v>9.5500000000000007</v>
      </c>
      <c r="I21" s="263"/>
      <c r="J21" s="263"/>
      <c r="K21" s="263"/>
      <c r="L21" s="263"/>
      <c r="M21" s="263"/>
      <c r="N21" s="263"/>
      <c r="O21" s="263"/>
      <c r="P21" s="263"/>
      <c r="Q21" s="263"/>
      <c r="R21" s="263"/>
      <c r="S21" s="263"/>
      <c r="T21" s="263"/>
      <c r="U21" s="263"/>
      <c r="V21" s="263"/>
      <c r="W21" s="263"/>
    </row>
    <row r="22" spans="1:23" ht="15.75" customHeight="1" x14ac:dyDescent="0.25">
      <c r="A22" s="263"/>
      <c r="B22" s="263" t="s">
        <v>383</v>
      </c>
      <c r="C22" s="263">
        <v>19320</v>
      </c>
      <c r="D22" s="452">
        <f t="shared" si="3"/>
        <v>21260</v>
      </c>
      <c r="E22" s="263">
        <f t="shared" si="4"/>
        <v>10630</v>
      </c>
      <c r="F22" s="450">
        <f t="shared" si="5"/>
        <v>11169.2</v>
      </c>
      <c r="G22" s="263">
        <v>8</v>
      </c>
      <c r="H22" s="263">
        <v>7.7</v>
      </c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</row>
    <row r="23" spans="1:23" ht="15.75" customHeight="1" x14ac:dyDescent="0.25">
      <c r="A23" s="263"/>
      <c r="B23" s="263" t="s">
        <v>385</v>
      </c>
      <c r="C23" s="263">
        <v>5800</v>
      </c>
      <c r="D23" s="452">
        <f t="shared" si="3"/>
        <v>6380.0000000000009</v>
      </c>
      <c r="E23" s="263">
        <f t="shared" si="4"/>
        <v>3190.0000000000005</v>
      </c>
      <c r="F23" s="450">
        <f t="shared" si="5"/>
        <v>3349.6000000000004</v>
      </c>
      <c r="G23" s="263"/>
      <c r="H23" s="263">
        <v>0.1</v>
      </c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</row>
    <row r="24" spans="1:23" ht="15.75" customHeight="1" x14ac:dyDescent="0.25">
      <c r="A24" s="263"/>
      <c r="B24" s="263" t="s">
        <v>387</v>
      </c>
      <c r="C24" s="263">
        <v>2500</v>
      </c>
      <c r="D24" s="452">
        <f t="shared" si="3"/>
        <v>2750</v>
      </c>
      <c r="E24" s="263">
        <f t="shared" si="4"/>
        <v>1375</v>
      </c>
      <c r="F24" s="450">
        <f t="shared" si="5"/>
        <v>1445</v>
      </c>
      <c r="G24" s="263"/>
      <c r="H24" s="263">
        <v>1.25</v>
      </c>
      <c r="I24" s="263"/>
      <c r="J24" s="263"/>
      <c r="K24" s="263"/>
      <c r="L24" s="263"/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</row>
    <row r="25" spans="1:23" ht="15.75" customHeight="1" x14ac:dyDescent="0.25">
      <c r="A25" s="263"/>
      <c r="B25" s="263" t="s">
        <v>389</v>
      </c>
      <c r="C25" s="263">
        <v>5200</v>
      </c>
      <c r="D25" s="452">
        <f t="shared" si="3"/>
        <v>5720.0000000000009</v>
      </c>
      <c r="E25" s="263">
        <f t="shared" si="4"/>
        <v>2860.0000000000005</v>
      </c>
      <c r="F25" s="450">
        <f t="shared" si="5"/>
        <v>3012.4000000000005</v>
      </c>
      <c r="G25" s="263"/>
      <c r="H25" s="263">
        <v>9.4</v>
      </c>
      <c r="I25" s="263"/>
      <c r="J25" s="263"/>
      <c r="K25" s="263"/>
      <c r="L25" s="263"/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3"/>
    </row>
    <row r="26" spans="1:23" ht="15.75" customHeight="1" x14ac:dyDescent="0.25">
      <c r="A26" s="263"/>
      <c r="B26" s="263" t="s">
        <v>391</v>
      </c>
      <c r="C26" s="263">
        <v>12500</v>
      </c>
      <c r="D26" s="452">
        <f t="shared" si="3"/>
        <v>13750.000000000002</v>
      </c>
      <c r="E26" s="263">
        <f t="shared" si="4"/>
        <v>6875.0000000000009</v>
      </c>
      <c r="F26" s="450">
        <f t="shared" si="5"/>
        <v>7225.0000000000009</v>
      </c>
      <c r="G26" s="263"/>
      <c r="H26" s="263">
        <v>6.25</v>
      </c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263"/>
      <c r="T26" s="263"/>
      <c r="U26" s="263"/>
      <c r="V26" s="263"/>
      <c r="W26" s="263"/>
    </row>
    <row r="27" spans="1:23" ht="15.75" customHeight="1" x14ac:dyDescent="0.25">
      <c r="A27" s="263"/>
      <c r="B27" s="263" t="s">
        <v>393</v>
      </c>
      <c r="C27" s="263">
        <v>8500</v>
      </c>
      <c r="D27" s="452">
        <f t="shared" si="3"/>
        <v>9350</v>
      </c>
      <c r="E27" s="263">
        <f t="shared" si="4"/>
        <v>4675</v>
      </c>
      <c r="F27" s="450">
        <f t="shared" si="5"/>
        <v>4917</v>
      </c>
      <c r="G27" s="263"/>
      <c r="H27" s="263">
        <v>8.25</v>
      </c>
      <c r="I27" s="263"/>
      <c r="J27" s="263"/>
      <c r="K27" s="263"/>
      <c r="L27" s="263"/>
      <c r="M27" s="263"/>
      <c r="N27" s="263"/>
      <c r="O27" s="263"/>
      <c r="P27" s="263"/>
      <c r="Q27" s="263"/>
      <c r="R27" s="263"/>
      <c r="S27" s="263"/>
      <c r="T27" s="263"/>
      <c r="U27" s="263"/>
      <c r="V27" s="263"/>
      <c r="W27" s="263"/>
    </row>
    <row r="28" spans="1:23" ht="15.75" customHeight="1" x14ac:dyDescent="0.25">
      <c r="A28" s="263"/>
      <c r="B28" s="263" t="s">
        <v>395</v>
      </c>
      <c r="C28" s="263">
        <v>18200</v>
      </c>
      <c r="D28" s="452">
        <f t="shared" si="3"/>
        <v>20020</v>
      </c>
      <c r="E28" s="263">
        <f t="shared" si="4"/>
        <v>10010</v>
      </c>
      <c r="F28" s="450">
        <f t="shared" si="5"/>
        <v>10518.4</v>
      </c>
      <c r="G28" s="263"/>
      <c r="H28" s="263">
        <v>7.9</v>
      </c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3"/>
      <c r="U28" s="263"/>
      <c r="V28" s="263"/>
      <c r="W28" s="263"/>
    </row>
    <row r="29" spans="1:23" ht="15.75" customHeight="1" x14ac:dyDescent="0.25">
      <c r="D29" s="452">
        <f t="shared" si="3"/>
        <v>0</v>
      </c>
      <c r="F29" s="450">
        <f t="shared" si="5"/>
        <v>0</v>
      </c>
    </row>
    <row r="30" spans="1:23" ht="15.75" customHeight="1" x14ac:dyDescent="0.25">
      <c r="B30" s="263" t="s">
        <v>399</v>
      </c>
      <c r="C30" s="274">
        <v>6000</v>
      </c>
      <c r="D30" s="452">
        <f t="shared" ref="D30:D38" si="6">C30*$J$14+G30</f>
        <v>6600.0000000000009</v>
      </c>
      <c r="E30" s="274">
        <v>3300</v>
      </c>
      <c r="F30" s="274">
        <f t="shared" ref="F30:F38" si="7">D30*$J$16</f>
        <v>3300.0000000000005</v>
      </c>
    </row>
    <row r="31" spans="1:23" ht="15.75" customHeight="1" x14ac:dyDescent="0.25">
      <c r="B31" s="263" t="s">
        <v>401</v>
      </c>
      <c r="C31" s="274">
        <v>6000</v>
      </c>
      <c r="D31" s="452">
        <f t="shared" si="6"/>
        <v>6600.0000000000009</v>
      </c>
      <c r="E31" s="274">
        <f t="shared" ref="E31:E38" si="8">D31*$J$16</f>
        <v>3300.0000000000005</v>
      </c>
      <c r="F31" s="274">
        <f t="shared" si="7"/>
        <v>3300.0000000000005</v>
      </c>
    </row>
    <row r="32" spans="1:23" ht="15.75" customHeight="1" x14ac:dyDescent="0.25">
      <c r="B32" s="263" t="s">
        <v>403</v>
      </c>
      <c r="C32" s="274">
        <v>6000</v>
      </c>
      <c r="D32" s="452">
        <f t="shared" si="6"/>
        <v>6600.0000000000009</v>
      </c>
      <c r="E32" s="274">
        <f t="shared" si="8"/>
        <v>3300.0000000000005</v>
      </c>
      <c r="F32" s="274">
        <f t="shared" si="7"/>
        <v>3300.0000000000005</v>
      </c>
    </row>
    <row r="33" spans="2:6" ht="15.75" customHeight="1" x14ac:dyDescent="0.25">
      <c r="B33" s="263" t="s">
        <v>405</v>
      </c>
      <c r="C33" s="274">
        <v>6000</v>
      </c>
      <c r="D33" s="452">
        <f t="shared" si="6"/>
        <v>6600.0000000000009</v>
      </c>
      <c r="E33" s="274">
        <f t="shared" si="8"/>
        <v>3300.0000000000005</v>
      </c>
      <c r="F33" s="274">
        <f t="shared" si="7"/>
        <v>3300.0000000000005</v>
      </c>
    </row>
    <row r="34" spans="2:6" ht="15.75" customHeight="1" x14ac:dyDescent="0.25">
      <c r="B34" s="263" t="s">
        <v>407</v>
      </c>
      <c r="C34" s="274">
        <v>6000</v>
      </c>
      <c r="D34" s="452">
        <f t="shared" si="6"/>
        <v>6600.0000000000009</v>
      </c>
      <c r="E34" s="274">
        <f t="shared" si="8"/>
        <v>3300.0000000000005</v>
      </c>
      <c r="F34" s="274">
        <f t="shared" si="7"/>
        <v>3300.0000000000005</v>
      </c>
    </row>
    <row r="35" spans="2:6" ht="15.75" customHeight="1" x14ac:dyDescent="0.25">
      <c r="B35" s="274" t="s">
        <v>409</v>
      </c>
      <c r="C35" s="274">
        <v>6000</v>
      </c>
      <c r="D35" s="452">
        <f t="shared" si="6"/>
        <v>6600.0000000000009</v>
      </c>
      <c r="E35" s="274">
        <f t="shared" si="8"/>
        <v>3300.0000000000005</v>
      </c>
      <c r="F35" s="274">
        <f t="shared" si="7"/>
        <v>3300.0000000000005</v>
      </c>
    </row>
    <row r="36" spans="2:6" ht="15.75" customHeight="1" x14ac:dyDescent="0.25">
      <c r="B36" s="274" t="s">
        <v>411</v>
      </c>
      <c r="C36" s="274">
        <v>6000</v>
      </c>
      <c r="D36" s="452">
        <f t="shared" si="6"/>
        <v>6600.0000000000009</v>
      </c>
      <c r="E36" s="274">
        <f t="shared" si="8"/>
        <v>3300.0000000000005</v>
      </c>
      <c r="F36" s="274">
        <f t="shared" si="7"/>
        <v>3300.0000000000005</v>
      </c>
    </row>
    <row r="37" spans="2:6" ht="15.75" customHeight="1" x14ac:dyDescent="0.25">
      <c r="B37" s="274" t="s">
        <v>413</v>
      </c>
      <c r="C37" s="274">
        <v>6000</v>
      </c>
      <c r="D37" s="452">
        <f t="shared" si="6"/>
        <v>6600.0000000000009</v>
      </c>
      <c r="E37" s="274">
        <f t="shared" si="8"/>
        <v>3300.0000000000005</v>
      </c>
      <c r="F37" s="274">
        <f t="shared" si="7"/>
        <v>3300.0000000000005</v>
      </c>
    </row>
    <row r="38" spans="2:6" ht="15.75" customHeight="1" x14ac:dyDescent="0.25">
      <c r="B38" s="274" t="s">
        <v>415</v>
      </c>
      <c r="C38" s="274">
        <v>6000</v>
      </c>
      <c r="D38" s="452">
        <f t="shared" si="6"/>
        <v>6600.0000000000009</v>
      </c>
      <c r="E38" s="274">
        <f t="shared" si="8"/>
        <v>3300.0000000000005</v>
      </c>
      <c r="F38" s="274">
        <f t="shared" si="7"/>
        <v>3300.0000000000005</v>
      </c>
    </row>
    <row r="39" spans="2:6" ht="15.75" customHeight="1" x14ac:dyDescent="0.25"/>
    <row r="40" spans="2:6" ht="15.75" customHeight="1" x14ac:dyDescent="0.25"/>
    <row r="41" spans="2:6" ht="15.75" customHeight="1" x14ac:dyDescent="0.25"/>
    <row r="42" spans="2:6" ht="15.75" customHeight="1" x14ac:dyDescent="0.25"/>
    <row r="43" spans="2:6" ht="15.75" customHeight="1" x14ac:dyDescent="0.25"/>
    <row r="44" spans="2:6" ht="15.75" customHeight="1" x14ac:dyDescent="0.25"/>
    <row r="45" spans="2:6" ht="15.75" customHeight="1" x14ac:dyDescent="0.25"/>
    <row r="46" spans="2:6" ht="15.75" customHeight="1" x14ac:dyDescent="0.25"/>
    <row r="47" spans="2:6" ht="15.75" customHeight="1" x14ac:dyDescent="0.25"/>
    <row r="48" spans="2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FF"/>
    <outlinePr summaryBelow="0" summaryRight="0"/>
  </sheetPr>
  <dimension ref="A1:Z1000"/>
  <sheetViews>
    <sheetView workbookViewId="0"/>
  </sheetViews>
  <sheetFormatPr defaultColWidth="12.6640625" defaultRowHeight="15" customHeight="1" x14ac:dyDescent="0.25"/>
  <cols>
    <col min="1" max="1" width="10.109375" customWidth="1"/>
    <col min="2" max="2" width="35.33203125" customWidth="1"/>
    <col min="3" max="3" width="8.33203125" customWidth="1"/>
    <col min="4" max="4" width="15" customWidth="1"/>
    <col min="5" max="5" width="8.33203125" customWidth="1"/>
    <col min="6" max="6" width="13.109375" customWidth="1"/>
    <col min="7" max="7" width="18.109375" customWidth="1"/>
    <col min="8" max="8" width="31.44140625" customWidth="1"/>
    <col min="9" max="26" width="12.6640625" customWidth="1"/>
  </cols>
  <sheetData>
    <row r="1" spans="1:26" ht="15.75" customHeight="1" x14ac:dyDescent="0.25"/>
    <row r="2" spans="1:26" ht="15.75" customHeight="1" x14ac:dyDescent="0.25"/>
    <row r="3" spans="1:26" ht="15.75" customHeight="1" x14ac:dyDescent="0.25">
      <c r="J3" s="453">
        <v>1.1000000000000001</v>
      </c>
      <c r="K3" s="453" t="s">
        <v>515</v>
      </c>
    </row>
    <row r="4" spans="1:26" ht="15.75" customHeight="1" x14ac:dyDescent="0.25">
      <c r="J4" s="453">
        <v>1.1000000000000001</v>
      </c>
      <c r="K4" s="453" t="s">
        <v>517</v>
      </c>
    </row>
    <row r="5" spans="1:26" ht="15.75" customHeight="1" x14ac:dyDescent="0.25"/>
    <row r="6" spans="1:26" ht="15.75" customHeight="1" x14ac:dyDescent="0.25"/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>
      <c r="A14" s="407" t="s">
        <v>495</v>
      </c>
      <c r="B14" s="407" t="s">
        <v>496</v>
      </c>
      <c r="C14" s="407" t="s">
        <v>497</v>
      </c>
      <c r="D14" s="407" t="s">
        <v>498</v>
      </c>
      <c r="E14" s="407" t="s">
        <v>499</v>
      </c>
      <c r="F14" s="407" t="s">
        <v>500</v>
      </c>
      <c r="G14" s="407" t="s">
        <v>501</v>
      </c>
      <c r="H14" s="407" t="s">
        <v>502</v>
      </c>
      <c r="I14" s="274"/>
      <c r="J14" s="274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</row>
    <row r="15" spans="1:26" ht="15.75" customHeight="1" x14ac:dyDescent="0.25">
      <c r="B15" s="454" t="s">
        <v>36</v>
      </c>
      <c r="C15" s="409"/>
      <c r="D15" s="274"/>
      <c r="E15" s="410"/>
      <c r="F15" s="274"/>
    </row>
    <row r="16" spans="1:26" ht="15.75" customHeight="1" x14ac:dyDescent="0.25">
      <c r="B16" s="455" t="s">
        <v>436</v>
      </c>
      <c r="C16" s="409"/>
      <c r="D16" s="274"/>
      <c r="E16" s="410"/>
      <c r="F16" s="274"/>
      <c r="P16" s="536"/>
      <c r="Q16" s="499"/>
      <c r="R16" s="499"/>
      <c r="S16" s="499"/>
      <c r="T16" s="499"/>
      <c r="U16" s="499"/>
      <c r="V16" s="499"/>
    </row>
    <row r="17" spans="2:22" ht="15.75" customHeight="1" x14ac:dyDescent="0.25">
      <c r="B17" s="284" t="s">
        <v>39</v>
      </c>
      <c r="C17" s="409"/>
      <c r="D17" s="274"/>
      <c r="E17" s="410"/>
      <c r="F17" s="274"/>
    </row>
    <row r="18" spans="2:22" ht="15.75" customHeight="1" x14ac:dyDescent="0.25">
      <c r="B18" s="283" t="s">
        <v>437</v>
      </c>
      <c r="C18" s="456">
        <v>250</v>
      </c>
      <c r="D18" s="457">
        <f t="shared" ref="D18:D19" si="0">C18*$J$3+G18</f>
        <v>275</v>
      </c>
      <c r="E18" s="458">
        <v>500</v>
      </c>
      <c r="F18" s="457">
        <f t="shared" ref="F18:F19" si="1">E18*$J$4+H18</f>
        <v>550</v>
      </c>
    </row>
    <row r="19" spans="2:22" ht="15.75" customHeight="1" x14ac:dyDescent="0.25">
      <c r="B19" s="283" t="s">
        <v>439</v>
      </c>
      <c r="C19" s="456">
        <v>250</v>
      </c>
      <c r="D19" s="457">
        <f t="shared" si="0"/>
        <v>275</v>
      </c>
      <c r="E19" s="458">
        <v>500</v>
      </c>
      <c r="F19" s="457">
        <f t="shared" si="1"/>
        <v>550</v>
      </c>
    </row>
    <row r="20" spans="2:22" ht="15.75" customHeight="1" x14ac:dyDescent="0.25">
      <c r="B20" s="284" t="s">
        <v>38</v>
      </c>
      <c r="C20" s="409"/>
      <c r="D20" s="274"/>
      <c r="E20" s="410"/>
      <c r="F20" s="274"/>
    </row>
    <row r="21" spans="2:22" ht="15.75" customHeight="1" x14ac:dyDescent="0.25">
      <c r="B21" s="283" t="s">
        <v>441</v>
      </c>
      <c r="C21" s="456">
        <v>160</v>
      </c>
      <c r="D21" s="457">
        <f t="shared" ref="D21:D33" si="2">C21*$J$3+G21</f>
        <v>176</v>
      </c>
      <c r="E21" s="458">
        <v>500</v>
      </c>
      <c r="F21" s="457">
        <f t="shared" ref="F21:F33" si="3">E21*$J$4+H21</f>
        <v>550</v>
      </c>
      <c r="P21" s="536"/>
      <c r="Q21" s="499"/>
      <c r="R21" s="499"/>
      <c r="S21" s="499"/>
      <c r="T21" s="499"/>
      <c r="U21" s="499"/>
      <c r="V21" s="499"/>
    </row>
    <row r="22" spans="2:22" ht="15.75" customHeight="1" x14ac:dyDescent="0.25">
      <c r="B22" s="283" t="s">
        <v>442</v>
      </c>
      <c r="C22" s="456">
        <v>270</v>
      </c>
      <c r="D22" s="457">
        <f t="shared" si="2"/>
        <v>297</v>
      </c>
      <c r="E22" s="458">
        <v>500</v>
      </c>
      <c r="F22" s="457">
        <f t="shared" si="3"/>
        <v>550</v>
      </c>
    </row>
    <row r="23" spans="2:22" ht="15.75" customHeight="1" x14ac:dyDescent="0.25">
      <c r="B23" s="283" t="s">
        <v>443</v>
      </c>
      <c r="C23" s="456">
        <v>380</v>
      </c>
      <c r="D23" s="457">
        <f t="shared" si="2"/>
        <v>418.00000000000006</v>
      </c>
      <c r="E23" s="458">
        <v>500</v>
      </c>
      <c r="F23" s="457">
        <f t="shared" si="3"/>
        <v>550</v>
      </c>
    </row>
    <row r="24" spans="2:22" ht="15.75" customHeight="1" x14ac:dyDescent="0.25">
      <c r="B24" s="374" t="s">
        <v>446</v>
      </c>
      <c r="C24" s="456">
        <v>660</v>
      </c>
      <c r="D24" s="457">
        <f t="shared" si="2"/>
        <v>730.00000000000011</v>
      </c>
      <c r="E24" s="458">
        <v>500</v>
      </c>
      <c r="F24" s="457">
        <f t="shared" si="3"/>
        <v>550</v>
      </c>
      <c r="G24" s="274">
        <v>4</v>
      </c>
    </row>
    <row r="25" spans="2:22" ht="15.75" customHeight="1" x14ac:dyDescent="0.25">
      <c r="B25" s="283" t="s">
        <v>445</v>
      </c>
      <c r="C25" s="456">
        <v>400</v>
      </c>
      <c r="D25" s="457">
        <f t="shared" si="2"/>
        <v>440.00000000000006</v>
      </c>
      <c r="E25" s="458">
        <v>500</v>
      </c>
      <c r="F25" s="457">
        <f t="shared" si="3"/>
        <v>550</v>
      </c>
    </row>
    <row r="26" spans="2:22" ht="15.75" customHeight="1" x14ac:dyDescent="0.25">
      <c r="B26" s="283" t="s">
        <v>494</v>
      </c>
      <c r="C26" s="456">
        <v>120</v>
      </c>
      <c r="D26" s="457">
        <f t="shared" si="2"/>
        <v>132</v>
      </c>
      <c r="E26" s="458">
        <v>500</v>
      </c>
      <c r="F26" s="457">
        <f t="shared" si="3"/>
        <v>550</v>
      </c>
    </row>
    <row r="27" spans="2:22" ht="15.75" customHeight="1" x14ac:dyDescent="0.25">
      <c r="B27" s="283" t="s">
        <v>542</v>
      </c>
      <c r="C27" s="409">
        <v>1000</v>
      </c>
      <c r="D27" s="457">
        <f t="shared" si="2"/>
        <v>1100</v>
      </c>
      <c r="E27" s="458">
        <v>500</v>
      </c>
      <c r="F27" s="457">
        <f t="shared" si="3"/>
        <v>550</v>
      </c>
    </row>
    <row r="28" spans="2:22" ht="15.75" customHeight="1" x14ac:dyDescent="0.25">
      <c r="B28" s="283" t="s">
        <v>543</v>
      </c>
      <c r="C28" s="409">
        <v>1000</v>
      </c>
      <c r="D28" s="457">
        <f t="shared" si="2"/>
        <v>1100</v>
      </c>
      <c r="E28" s="458">
        <v>500</v>
      </c>
      <c r="F28" s="457">
        <f t="shared" si="3"/>
        <v>550</v>
      </c>
    </row>
    <row r="29" spans="2:22" ht="15.75" customHeight="1" x14ac:dyDescent="0.25">
      <c r="B29" s="283" t="s">
        <v>453</v>
      </c>
      <c r="C29" s="409">
        <v>7000</v>
      </c>
      <c r="D29" s="457">
        <f t="shared" si="2"/>
        <v>7700.0000000000009</v>
      </c>
      <c r="E29" s="458">
        <v>500</v>
      </c>
      <c r="F29" s="457">
        <f t="shared" si="3"/>
        <v>550</v>
      </c>
      <c r="P29" s="536"/>
      <c r="Q29" s="499"/>
      <c r="R29" s="499"/>
      <c r="S29" s="499"/>
      <c r="T29" s="499"/>
      <c r="U29" s="499"/>
      <c r="V29" s="499"/>
    </row>
    <row r="30" spans="2:22" ht="15.75" customHeight="1" x14ac:dyDescent="0.25">
      <c r="B30" s="283" t="s">
        <v>455</v>
      </c>
      <c r="C30" s="409">
        <v>127500</v>
      </c>
      <c r="D30" s="457">
        <f t="shared" si="2"/>
        <v>140250</v>
      </c>
      <c r="E30" s="458">
        <v>7000</v>
      </c>
      <c r="F30" s="457">
        <f t="shared" si="3"/>
        <v>7700.0000000000009</v>
      </c>
    </row>
    <row r="31" spans="2:22" ht="15.75" customHeight="1" x14ac:dyDescent="0.25">
      <c r="B31" s="283" t="s">
        <v>457</v>
      </c>
      <c r="C31" s="409">
        <v>5000</v>
      </c>
      <c r="D31" s="457">
        <f t="shared" si="2"/>
        <v>5500</v>
      </c>
      <c r="E31" s="458">
        <v>500</v>
      </c>
      <c r="F31" s="457">
        <f t="shared" si="3"/>
        <v>550</v>
      </c>
    </row>
    <row r="32" spans="2:22" ht="15.75" customHeight="1" x14ac:dyDescent="0.25">
      <c r="B32" s="374" t="s">
        <v>459</v>
      </c>
      <c r="C32" s="409">
        <v>10000</v>
      </c>
      <c r="D32" s="457">
        <f t="shared" si="2"/>
        <v>11000</v>
      </c>
      <c r="E32" s="458">
        <v>500</v>
      </c>
      <c r="F32" s="457">
        <f t="shared" si="3"/>
        <v>550</v>
      </c>
    </row>
    <row r="33" spans="2:22" ht="15.75" customHeight="1" x14ac:dyDescent="0.25">
      <c r="B33" s="374" t="s">
        <v>460</v>
      </c>
      <c r="C33" s="409">
        <v>5000</v>
      </c>
      <c r="D33" s="457">
        <f t="shared" si="2"/>
        <v>5500</v>
      </c>
      <c r="E33" s="458">
        <v>500</v>
      </c>
      <c r="F33" s="457">
        <f t="shared" si="3"/>
        <v>550</v>
      </c>
    </row>
    <row r="34" spans="2:22" ht="15.75" customHeight="1" x14ac:dyDescent="0.25">
      <c r="B34" s="284" t="s">
        <v>40</v>
      </c>
      <c r="C34" s="459"/>
      <c r="D34" s="274"/>
      <c r="E34" s="459"/>
      <c r="F34" s="274"/>
    </row>
    <row r="35" spans="2:22" ht="15.75" customHeight="1" x14ac:dyDescent="0.25">
      <c r="B35" s="284" t="s">
        <v>463</v>
      </c>
      <c r="C35" s="459"/>
      <c r="D35" s="274"/>
      <c r="E35" s="459"/>
      <c r="F35" s="274"/>
    </row>
    <row r="36" spans="2:22" ht="15.75" customHeight="1" x14ac:dyDescent="0.25">
      <c r="B36" s="283" t="s">
        <v>465</v>
      </c>
      <c r="C36" s="286">
        <v>37.6</v>
      </c>
      <c r="D36" s="460">
        <f t="shared" ref="D36:D37" si="4">C36*$J$3+G36</f>
        <v>41.360000000000007</v>
      </c>
      <c r="E36" s="286">
        <v>150</v>
      </c>
      <c r="F36" s="460">
        <f t="shared" ref="F36:F37" si="5">E36*$J$4+H36</f>
        <v>165</v>
      </c>
      <c r="P36" s="536"/>
      <c r="Q36" s="499"/>
      <c r="R36" s="499"/>
      <c r="S36" s="499"/>
      <c r="T36" s="499"/>
      <c r="U36" s="499"/>
      <c r="V36" s="499"/>
    </row>
    <row r="37" spans="2:22" ht="15.75" customHeight="1" x14ac:dyDescent="0.25">
      <c r="B37" s="283" t="s">
        <v>466</v>
      </c>
      <c r="C37" s="286">
        <v>53.2</v>
      </c>
      <c r="D37" s="460">
        <f t="shared" si="4"/>
        <v>58.52000000000001</v>
      </c>
      <c r="E37" s="286">
        <v>150</v>
      </c>
      <c r="F37" s="460">
        <f t="shared" si="5"/>
        <v>165</v>
      </c>
    </row>
    <row r="38" spans="2:22" ht="15.75" customHeight="1" x14ac:dyDescent="0.25">
      <c r="B38" s="284" t="s">
        <v>467</v>
      </c>
      <c r="C38" s="459"/>
      <c r="D38" s="274"/>
      <c r="E38" s="286"/>
      <c r="F38" s="274"/>
    </row>
    <row r="39" spans="2:22" ht="15.75" customHeight="1" x14ac:dyDescent="0.25">
      <c r="B39" s="283" t="s">
        <v>544</v>
      </c>
      <c r="C39" s="286">
        <v>35</v>
      </c>
      <c r="D39" s="460">
        <f>C39*$J$3+G39</f>
        <v>38.5</v>
      </c>
      <c r="E39" s="286">
        <v>150</v>
      </c>
      <c r="F39" s="460">
        <f>E39*$J$4+H39</f>
        <v>165</v>
      </c>
    </row>
    <row r="40" spans="2:22" ht="15.75" customHeight="1" x14ac:dyDescent="0.25"/>
    <row r="41" spans="2:22" ht="15.75" customHeight="1" x14ac:dyDescent="0.25">
      <c r="B41" s="38" t="s">
        <v>545</v>
      </c>
      <c r="C41" s="274">
        <v>15000</v>
      </c>
      <c r="D41" s="460">
        <f t="shared" ref="D41:D45" si="6">C41*$J$3+G41</f>
        <v>16500</v>
      </c>
      <c r="E41" s="286">
        <f t="shared" ref="E41:E45" si="7">D41*0.3</f>
        <v>4950</v>
      </c>
      <c r="F41" s="460">
        <f t="shared" ref="F41:F45" si="8">E41*$J$4+H41</f>
        <v>5445</v>
      </c>
    </row>
    <row r="42" spans="2:22" ht="15.75" customHeight="1" x14ac:dyDescent="0.25">
      <c r="B42" s="38" t="s">
        <v>546</v>
      </c>
      <c r="C42" s="274">
        <v>400</v>
      </c>
      <c r="D42" s="460">
        <f t="shared" si="6"/>
        <v>440.00000000000006</v>
      </c>
      <c r="E42" s="286">
        <f t="shared" si="7"/>
        <v>132</v>
      </c>
      <c r="F42" s="460">
        <f t="shared" si="8"/>
        <v>145.20000000000002</v>
      </c>
    </row>
    <row r="43" spans="2:22" ht="15.75" customHeight="1" x14ac:dyDescent="0.25">
      <c r="B43" s="38" t="s">
        <v>547</v>
      </c>
      <c r="C43" s="274">
        <v>400</v>
      </c>
      <c r="D43" s="460">
        <f t="shared" si="6"/>
        <v>440.00000000000006</v>
      </c>
      <c r="E43" s="286">
        <f t="shared" si="7"/>
        <v>132</v>
      </c>
      <c r="F43" s="460">
        <f t="shared" si="8"/>
        <v>145.20000000000002</v>
      </c>
    </row>
    <row r="44" spans="2:22" ht="15.75" customHeight="1" x14ac:dyDescent="0.25">
      <c r="B44" s="38" t="s">
        <v>548</v>
      </c>
      <c r="C44" s="274">
        <v>500</v>
      </c>
      <c r="D44" s="460">
        <f t="shared" si="6"/>
        <v>550</v>
      </c>
      <c r="E44" s="286">
        <f t="shared" si="7"/>
        <v>165</v>
      </c>
      <c r="F44" s="460">
        <f t="shared" si="8"/>
        <v>181.50000000000003</v>
      </c>
      <c r="P44" s="536"/>
      <c r="Q44" s="499"/>
      <c r="R44" s="499"/>
      <c r="S44" s="499"/>
      <c r="T44" s="499"/>
      <c r="U44" s="499"/>
      <c r="V44" s="499"/>
    </row>
    <row r="45" spans="2:22" ht="15.75" customHeight="1" x14ac:dyDescent="0.25">
      <c r="B45" s="38" t="s">
        <v>549</v>
      </c>
      <c r="C45" s="274">
        <v>500</v>
      </c>
      <c r="D45" s="460">
        <f t="shared" si="6"/>
        <v>550</v>
      </c>
      <c r="E45" s="286">
        <f t="shared" si="7"/>
        <v>165</v>
      </c>
      <c r="F45" s="460">
        <f t="shared" si="8"/>
        <v>181.50000000000003</v>
      </c>
      <c r="P45" s="536"/>
      <c r="Q45" s="499"/>
      <c r="R45" s="499"/>
      <c r="S45" s="499"/>
      <c r="T45" s="499"/>
      <c r="U45" s="499"/>
      <c r="V45" s="499"/>
    </row>
    <row r="46" spans="2:22" ht="15.75" customHeight="1" x14ac:dyDescent="0.25">
      <c r="B46" s="38"/>
      <c r="D46" s="460"/>
      <c r="E46" s="286"/>
      <c r="F46" s="460"/>
    </row>
    <row r="47" spans="2:22" ht="15.75" customHeight="1" x14ac:dyDescent="0.25">
      <c r="B47" s="38" t="s">
        <v>550</v>
      </c>
      <c r="D47" s="460">
        <f t="shared" ref="D47:D52" si="9">C47*$J$3+G47</f>
        <v>0</v>
      </c>
      <c r="E47" s="286">
        <f t="shared" ref="E47:E50" si="10">D47*0.3</f>
        <v>0</v>
      </c>
      <c r="F47" s="460">
        <f t="shared" ref="F47:F52" si="11">E47*$J$4+H47</f>
        <v>0</v>
      </c>
    </row>
    <row r="48" spans="2:22" ht="15.75" customHeight="1" x14ac:dyDescent="0.25">
      <c r="D48" s="460">
        <f t="shared" si="9"/>
        <v>0</v>
      </c>
      <c r="E48" s="286">
        <f t="shared" si="10"/>
        <v>0</v>
      </c>
      <c r="F48" s="460">
        <f t="shared" si="11"/>
        <v>0</v>
      </c>
    </row>
    <row r="49" spans="2:8" ht="15.75" customHeight="1" x14ac:dyDescent="0.25">
      <c r="B49" s="274" t="s">
        <v>482</v>
      </c>
      <c r="C49" s="274">
        <v>140</v>
      </c>
      <c r="D49" s="460">
        <f t="shared" si="9"/>
        <v>154</v>
      </c>
      <c r="E49" s="286">
        <f t="shared" si="10"/>
        <v>46.199999999999996</v>
      </c>
      <c r="F49" s="460">
        <f t="shared" si="11"/>
        <v>50.82</v>
      </c>
    </row>
    <row r="50" spans="2:8" ht="15.75" customHeight="1" x14ac:dyDescent="0.25">
      <c r="B50" s="274" t="s">
        <v>483</v>
      </c>
      <c r="C50" s="274">
        <v>115</v>
      </c>
      <c r="D50" s="460">
        <f t="shared" si="9"/>
        <v>126.50000000000001</v>
      </c>
      <c r="E50" s="286">
        <f t="shared" si="10"/>
        <v>37.950000000000003</v>
      </c>
      <c r="F50" s="460">
        <f t="shared" si="11"/>
        <v>41.745000000000005</v>
      </c>
    </row>
    <row r="51" spans="2:8" ht="15.75" customHeight="1" x14ac:dyDescent="0.25">
      <c r="B51" s="38" t="s">
        <v>472</v>
      </c>
      <c r="C51" s="274">
        <v>600</v>
      </c>
      <c r="D51" s="460">
        <f t="shared" si="9"/>
        <v>661</v>
      </c>
      <c r="E51" s="286">
        <v>300</v>
      </c>
      <c r="F51" s="460">
        <f t="shared" si="11"/>
        <v>350</v>
      </c>
      <c r="G51" s="274">
        <v>1</v>
      </c>
      <c r="H51" s="274">
        <v>20</v>
      </c>
    </row>
    <row r="52" spans="2:8" ht="15.75" customHeight="1" x14ac:dyDescent="0.25">
      <c r="B52" s="38" t="s">
        <v>473</v>
      </c>
      <c r="C52" s="274">
        <v>120</v>
      </c>
      <c r="D52" s="460">
        <f t="shared" si="9"/>
        <v>132</v>
      </c>
      <c r="E52" s="286">
        <v>250</v>
      </c>
      <c r="F52" s="460">
        <f t="shared" si="11"/>
        <v>275</v>
      </c>
    </row>
    <row r="53" spans="2:8" ht="15.75" customHeight="1" x14ac:dyDescent="0.25">
      <c r="D53" s="460"/>
      <c r="E53" s="286"/>
      <c r="F53" s="460"/>
    </row>
    <row r="54" spans="2:8" ht="15.75" customHeight="1" x14ac:dyDescent="0.25">
      <c r="B54" s="263" t="s">
        <v>475</v>
      </c>
      <c r="C54" s="274">
        <v>32000</v>
      </c>
      <c r="D54" s="460">
        <f t="shared" ref="D54:D59" si="12">C54*$J$3+G54</f>
        <v>35200</v>
      </c>
      <c r="E54" s="286">
        <f>D54*0.5</f>
        <v>17600</v>
      </c>
      <c r="F54" s="460">
        <f t="shared" ref="F54:F59" si="13">E54*$J$4+H54</f>
        <v>19360</v>
      </c>
    </row>
    <row r="55" spans="2:8" ht="15.75" customHeight="1" x14ac:dyDescent="0.25">
      <c r="D55" s="460">
        <f t="shared" si="12"/>
        <v>0</v>
      </c>
      <c r="E55" s="286"/>
      <c r="F55" s="460">
        <f t="shared" si="13"/>
        <v>0</v>
      </c>
    </row>
    <row r="56" spans="2:8" ht="15.75" customHeight="1" x14ac:dyDescent="0.25">
      <c r="B56" s="274" t="s">
        <v>477</v>
      </c>
      <c r="D56" s="460">
        <f t="shared" si="12"/>
        <v>0</v>
      </c>
      <c r="E56" s="286"/>
      <c r="F56" s="460">
        <f t="shared" si="13"/>
        <v>0</v>
      </c>
    </row>
    <row r="57" spans="2:8" ht="15.75" customHeight="1" x14ac:dyDescent="0.25">
      <c r="B57" s="274" t="s">
        <v>478</v>
      </c>
      <c r="D57" s="460">
        <f t="shared" si="12"/>
        <v>0</v>
      </c>
      <c r="E57" s="286"/>
      <c r="F57" s="460">
        <f t="shared" si="13"/>
        <v>0</v>
      </c>
    </row>
    <row r="58" spans="2:8" ht="15.75" customHeight="1" x14ac:dyDescent="0.25">
      <c r="B58" s="274" t="s">
        <v>479</v>
      </c>
      <c r="D58" s="460">
        <f t="shared" si="12"/>
        <v>0</v>
      </c>
      <c r="E58" s="286"/>
      <c r="F58" s="460">
        <f t="shared" si="13"/>
        <v>0</v>
      </c>
    </row>
    <row r="59" spans="2:8" ht="15.75" customHeight="1" x14ac:dyDescent="0.25">
      <c r="B59" s="274" t="s">
        <v>480</v>
      </c>
      <c r="D59" s="460">
        <f t="shared" si="12"/>
        <v>0</v>
      </c>
      <c r="E59" s="286"/>
      <c r="F59" s="460">
        <f t="shared" si="13"/>
        <v>0</v>
      </c>
    </row>
    <row r="60" spans="2:8" ht="15.75" customHeight="1" x14ac:dyDescent="0.25">
      <c r="B60" s="274" t="s">
        <v>481</v>
      </c>
    </row>
    <row r="61" spans="2:8" ht="15.75" customHeight="1" x14ac:dyDescent="0.25"/>
    <row r="62" spans="2:8" ht="15.75" customHeight="1" x14ac:dyDescent="0.25"/>
    <row r="63" spans="2:8" ht="15.75" customHeight="1" x14ac:dyDescent="0.25"/>
    <row r="64" spans="2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P45:V45"/>
    <mergeCell ref="P16:V16"/>
    <mergeCell ref="P21:V21"/>
    <mergeCell ref="P29:V29"/>
    <mergeCell ref="P36:V36"/>
    <mergeCell ref="P44:V44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FB43C8-8A68-46F8-A3FF-DC7CA3DB5A8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SUMMARY</vt:lpstr>
      <vt:lpstr>BOQ</vt:lpstr>
      <vt:lpstr>wall</vt:lpstr>
      <vt:lpstr>CABINETS</vt:lpstr>
      <vt:lpstr>DOORS &amp; WINDOW, PLUMBING, WOODE</vt:lpstr>
      <vt:lpstr>ELECTRICAL</vt:lpstr>
      <vt:lpstr>Material and Labor Cost</vt:lpstr>
      <vt:lpstr>MATERIAL AND LABOR COST FOR WAL</vt:lpstr>
      <vt:lpstr>Materials labor doors and windo</vt:lpstr>
      <vt:lpstr>electrical labor and materials</vt:lpstr>
      <vt:lpstr>BOQ!Print_Area</vt:lpstr>
      <vt:lpstr>CABINETS!Print_Area</vt:lpstr>
      <vt:lpstr>'DOORS &amp; WINDOW, PLUMBING, WOODE'!Print_Area</vt:lpstr>
      <vt:lpstr>ELECTRICAL!Print_Area</vt:lpstr>
      <vt:lpstr>SUMMARY!Print_Area</vt:lpstr>
      <vt:lpstr>wall!Print_Area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</dc:creator>
  <cp:lastModifiedBy>reginaddejesus9@outlook.com</cp:lastModifiedBy>
  <cp:lastPrinted>2026-08-17T04:19:00Z</cp:lastPrinted>
  <dcterms:created xsi:type="dcterms:W3CDTF">2026-08-15T05:21:10Z</dcterms:created>
  <dcterms:modified xsi:type="dcterms:W3CDTF">2026-08-17T05:41:21Z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{CEFB43C8-8A68-46F8-A3FF-DC7CA3DB5A8C}</vt:lpwstr>
  </property>
</Properties>
</file>